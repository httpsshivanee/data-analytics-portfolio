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E:\pysider\power bi\"/>
    </mc:Choice>
  </mc:AlternateContent>
  <xr:revisionPtr revIDLastSave="0" documentId="8_{C6965C60-226F-43D8-8731-206ED0773CC0}" xr6:coauthVersionLast="47" xr6:coauthVersionMax="47" xr10:uidLastSave="{00000000-0000-0000-0000-000000000000}"/>
  <bookViews>
    <workbookView xWindow="-108" yWindow="-108" windowWidth="23256" windowHeight="13896" activeTab="3" xr2:uid="{00000000-000D-0000-FFFF-FFFF00000000}"/>
  </bookViews>
  <sheets>
    <sheet name="Sheet2" sheetId="2" r:id="rId1"/>
    <sheet name="KPI" sheetId="4" r:id="rId2"/>
    <sheet name="CHARTS" sheetId="5" r:id="rId3"/>
    <sheet name="REPORTS" sheetId="6" r:id="rId4"/>
  </sheets>
  <definedNames>
    <definedName name="_xlnm._FilterDatabase" localSheetId="0" hidden="1">Sheet2!$A$1:$T$1499</definedName>
    <definedName name="Slicer_Category">#N/A</definedName>
    <definedName name="Slicer_City">#N/A</definedName>
    <definedName name="Slicer_Customer_Segment">#N/A</definedName>
    <definedName name="Slicer_WEEKDAY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2" l="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2" i="2"/>
  <c r="B4" i="4"/>
  <c r="B3" i="4"/>
  <c r="B2" i="4"/>
  <c r="B5" i="4"/>
  <c r="B1" i="4"/>
  <c r="X5" i="2"/>
  <c r="X4" i="2"/>
  <c r="X3" i="2"/>
</calcChain>
</file>

<file path=xl/sharedStrings.xml><?xml version="1.0" encoding="utf-8"?>
<sst xmlns="http://schemas.openxmlformats.org/spreadsheetml/2006/main" count="16522" uniqueCount="3767">
  <si>
    <t>Order_ID</t>
  </si>
  <si>
    <t>Order_Date</t>
  </si>
  <si>
    <t>Customer_Name</t>
  </si>
  <si>
    <t>Customer_Type</t>
  </si>
  <si>
    <t>Customer_Segment</t>
  </si>
  <si>
    <t>City</t>
  </si>
  <si>
    <t>Pincode</t>
  </si>
  <si>
    <t>Payment_Method</t>
  </si>
  <si>
    <t>SKU</t>
  </si>
  <si>
    <t>Product_Name</t>
  </si>
  <si>
    <t>Category</t>
  </si>
  <si>
    <t>Qty</t>
  </si>
  <si>
    <t>Price</t>
  </si>
  <si>
    <t>Discount</t>
  </si>
  <si>
    <t>Subtotal</t>
  </si>
  <si>
    <t>Tax</t>
  </si>
  <si>
    <t>Delivery_Fee</t>
  </si>
  <si>
    <t>Surge_Fee</t>
  </si>
  <si>
    <t>Delivery_Time</t>
  </si>
  <si>
    <t>O0001</t>
  </si>
  <si>
    <t>Cust_0</t>
  </si>
  <si>
    <t>Bulk</t>
  </si>
  <si>
    <t>Bakery</t>
  </si>
  <si>
    <t>Mumbai</t>
  </si>
  <si>
    <t>532498</t>
  </si>
  <si>
    <t>Wallet</t>
  </si>
  <si>
    <t>SKU0</t>
  </si>
  <si>
    <t>Product_0</t>
  </si>
  <si>
    <t>Veg</t>
  </si>
  <si>
    <t>O0002</t>
  </si>
  <si>
    <t>Cust_1</t>
  </si>
  <si>
    <t>157545</t>
  </si>
  <si>
    <t>SKU1</t>
  </si>
  <si>
    <t>Product_1</t>
  </si>
  <si>
    <t>Essentials</t>
  </si>
  <si>
    <t>Cust_2</t>
  </si>
  <si>
    <t>Café</t>
  </si>
  <si>
    <t>Delhi</t>
  </si>
  <si>
    <t>SKU2</t>
  </si>
  <si>
    <t>Product_2</t>
  </si>
  <si>
    <t>Fruits</t>
  </si>
  <si>
    <t>Cust_3</t>
  </si>
  <si>
    <t>Bangalore</t>
  </si>
  <si>
    <t>SKU3</t>
  </si>
  <si>
    <t>Product_3</t>
  </si>
  <si>
    <t>Frozen</t>
  </si>
  <si>
    <t>O0005</t>
  </si>
  <si>
    <t>Cust_4</t>
  </si>
  <si>
    <t>429670</t>
  </si>
  <si>
    <t>SKU4</t>
  </si>
  <si>
    <t>Product_4</t>
  </si>
  <si>
    <t>O0006</t>
  </si>
  <si>
    <t>Cust_5</t>
  </si>
  <si>
    <t>258768</t>
  </si>
  <si>
    <t>SKU5</t>
  </si>
  <si>
    <t>Product_5</t>
  </si>
  <si>
    <t>Other</t>
  </si>
  <si>
    <t>O0007</t>
  </si>
  <si>
    <t>Cust_6</t>
  </si>
  <si>
    <t>776926</t>
  </si>
  <si>
    <t>SKU6</t>
  </si>
  <si>
    <t>Product_6</t>
  </si>
  <si>
    <t>O0008</t>
  </si>
  <si>
    <t>Cust_7</t>
  </si>
  <si>
    <t>233554</t>
  </si>
  <si>
    <t>SKU7</t>
  </si>
  <si>
    <t>Product_7</t>
  </si>
  <si>
    <t>O0009</t>
  </si>
  <si>
    <t>Cust_8</t>
  </si>
  <si>
    <t>Office</t>
  </si>
  <si>
    <t>159676</t>
  </si>
  <si>
    <t>SKU8</t>
  </si>
  <si>
    <t>Product_8</t>
  </si>
  <si>
    <t>Snacks</t>
  </si>
  <si>
    <t>O0010</t>
  </si>
  <si>
    <t>Cust_9</t>
  </si>
  <si>
    <t>Cloud Kitchen</t>
  </si>
  <si>
    <t>688365</t>
  </si>
  <si>
    <t>SKU9</t>
  </si>
  <si>
    <t>Product_9</t>
  </si>
  <si>
    <t>O0011</t>
  </si>
  <si>
    <t>Cust_10</t>
  </si>
  <si>
    <t>New</t>
  </si>
  <si>
    <t>Household</t>
  </si>
  <si>
    <t>481915</t>
  </si>
  <si>
    <t>SKU10</t>
  </si>
  <si>
    <t>Product_10</t>
  </si>
  <si>
    <t>O0012</t>
  </si>
  <si>
    <t>Cust_11</t>
  </si>
  <si>
    <t>951587</t>
  </si>
  <si>
    <t>SKU11</t>
  </si>
  <si>
    <t>Product_11</t>
  </si>
  <si>
    <t>O0013</t>
  </si>
  <si>
    <t>Cust_12</t>
  </si>
  <si>
    <t>962061</t>
  </si>
  <si>
    <t>SKU12</t>
  </si>
  <si>
    <t>Product_12</t>
  </si>
  <si>
    <t>O0014</t>
  </si>
  <si>
    <t>Cust_13</t>
  </si>
  <si>
    <t>730235</t>
  </si>
  <si>
    <t>Card</t>
  </si>
  <si>
    <t>SKU13</t>
  </si>
  <si>
    <t>Product_13</t>
  </si>
  <si>
    <t>Baby</t>
  </si>
  <si>
    <t>O0015</t>
  </si>
  <si>
    <t>Cust_14</t>
  </si>
  <si>
    <t>Returning</t>
  </si>
  <si>
    <t>605815</t>
  </si>
  <si>
    <t>SKU14</t>
  </si>
  <si>
    <t>Product_14</t>
  </si>
  <si>
    <t>O0016</t>
  </si>
  <si>
    <t>Cust_15</t>
  </si>
  <si>
    <t>Tea Stall</t>
  </si>
  <si>
    <t>434402</t>
  </si>
  <si>
    <t>SKU15</t>
  </si>
  <si>
    <t>Product_15</t>
  </si>
  <si>
    <t>O0017</t>
  </si>
  <si>
    <t>Cust_16</t>
  </si>
  <si>
    <t>427073</t>
  </si>
  <si>
    <t>SKU16</t>
  </si>
  <si>
    <t>Product_16</t>
  </si>
  <si>
    <t>O0018</t>
  </si>
  <si>
    <t>Cust_17</t>
  </si>
  <si>
    <t>416915</t>
  </si>
  <si>
    <t>SKU17</t>
  </si>
  <si>
    <t>Product_17</t>
  </si>
  <si>
    <t>O0019</t>
  </si>
  <si>
    <t>Cust_18</t>
  </si>
  <si>
    <t>890857</t>
  </si>
  <si>
    <t>SKU18</t>
  </si>
  <si>
    <t>Product_18</t>
  </si>
  <si>
    <t>O0020</t>
  </si>
  <si>
    <t>Cust_19</t>
  </si>
  <si>
    <t>SKU19</t>
  </si>
  <si>
    <t>Product_19</t>
  </si>
  <si>
    <t>O0021</t>
  </si>
  <si>
    <t>Cust_20</t>
  </si>
  <si>
    <t>727433</t>
  </si>
  <si>
    <t>SKU20</t>
  </si>
  <si>
    <t>Product_20</t>
  </si>
  <si>
    <t>O0022</t>
  </si>
  <si>
    <t>Cust_21</t>
  </si>
  <si>
    <t>756639</t>
  </si>
  <si>
    <t>SKU21</t>
  </si>
  <si>
    <t>Product_21</t>
  </si>
  <si>
    <t>Beverages</t>
  </si>
  <si>
    <t>O0023</t>
  </si>
  <si>
    <t>Cust_22</t>
  </si>
  <si>
    <t>881817</t>
  </si>
  <si>
    <t>SKU22</t>
  </si>
  <si>
    <t>Product_22</t>
  </si>
  <si>
    <t>O0024</t>
  </si>
  <si>
    <t>Cust_23</t>
  </si>
  <si>
    <t>607606</t>
  </si>
  <si>
    <t>SKU23</t>
  </si>
  <si>
    <t>Product_23</t>
  </si>
  <si>
    <t>O0025</t>
  </si>
  <si>
    <t>Cust_24</t>
  </si>
  <si>
    <t>127856</t>
  </si>
  <si>
    <t>SKU24</t>
  </si>
  <si>
    <t>Product_24</t>
  </si>
  <si>
    <t>O0026</t>
  </si>
  <si>
    <t>Cust_25</t>
  </si>
  <si>
    <t>248757</t>
  </si>
  <si>
    <t>SKU25</t>
  </si>
  <si>
    <t>Product_25</t>
  </si>
  <si>
    <t>O0027</t>
  </si>
  <si>
    <t>Cust_26</t>
  </si>
  <si>
    <t>436676</t>
  </si>
  <si>
    <t>SKU26</t>
  </si>
  <si>
    <t>Product_26</t>
  </si>
  <si>
    <t>O0028</t>
  </si>
  <si>
    <t>Cust_27</t>
  </si>
  <si>
    <t>752665</t>
  </si>
  <si>
    <t>SKU27</t>
  </si>
  <si>
    <t>Product_27</t>
  </si>
  <si>
    <t>O0029</t>
  </si>
  <si>
    <t>Cust_28</t>
  </si>
  <si>
    <t>816756</t>
  </si>
  <si>
    <t>SKU28</t>
  </si>
  <si>
    <t>Product_28</t>
  </si>
  <si>
    <t>O0030</t>
  </si>
  <si>
    <t>Cust_29</t>
  </si>
  <si>
    <t>672212</t>
  </si>
  <si>
    <t>SKU29</t>
  </si>
  <si>
    <t>Product_29</t>
  </si>
  <si>
    <t>O0031</t>
  </si>
  <si>
    <t>Cust_30</t>
  </si>
  <si>
    <t>791757</t>
  </si>
  <si>
    <t>SKU30</t>
  </si>
  <si>
    <t>Product_30</t>
  </si>
  <si>
    <t>O0032</t>
  </si>
  <si>
    <t>Cust_31</t>
  </si>
  <si>
    <t>322320</t>
  </si>
  <si>
    <t>SKU31</t>
  </si>
  <si>
    <t>Product_31</t>
  </si>
  <si>
    <t>Dairy</t>
  </si>
  <si>
    <t>O0033</t>
  </si>
  <si>
    <t>Cust_32</t>
  </si>
  <si>
    <t>808662</t>
  </si>
  <si>
    <t>SKU32</t>
  </si>
  <si>
    <t>Product_32</t>
  </si>
  <si>
    <t>O0034</t>
  </si>
  <si>
    <t>Cust_33</t>
  </si>
  <si>
    <t>582615</t>
  </si>
  <si>
    <t>SKU33</t>
  </si>
  <si>
    <t>Product_33</t>
  </si>
  <si>
    <t>O0035</t>
  </si>
  <si>
    <t>Cust_34</t>
  </si>
  <si>
    <t>221789</t>
  </si>
  <si>
    <t>SKU34</t>
  </si>
  <si>
    <t>Product_34</t>
  </si>
  <si>
    <t>O0036</t>
  </si>
  <si>
    <t>Cust_35</t>
  </si>
  <si>
    <t>901480</t>
  </si>
  <si>
    <t>SKU35</t>
  </si>
  <si>
    <t>Product_35</t>
  </si>
  <si>
    <t>O0037</t>
  </si>
  <si>
    <t>Cust_36</t>
  </si>
  <si>
    <t>830026</t>
  </si>
  <si>
    <t>SKU36</t>
  </si>
  <si>
    <t>Product_36</t>
  </si>
  <si>
    <t>O0038</t>
  </si>
  <si>
    <t>Cust_37</t>
  </si>
  <si>
    <t>599883</t>
  </si>
  <si>
    <t>SKU37</t>
  </si>
  <si>
    <t>Product_37</t>
  </si>
  <si>
    <t>O0039</t>
  </si>
  <si>
    <t>Cust_38</t>
  </si>
  <si>
    <t>528988</t>
  </si>
  <si>
    <t>SKU38</t>
  </si>
  <si>
    <t>Product_38</t>
  </si>
  <si>
    <t>O0040</t>
  </si>
  <si>
    <t>Cust_39</t>
  </si>
  <si>
    <t>714615</t>
  </si>
  <si>
    <t>SKU39</t>
  </si>
  <si>
    <t>Product_39</t>
  </si>
  <si>
    <t>O0041</t>
  </si>
  <si>
    <t>Cust_40</t>
  </si>
  <si>
    <t>494966</t>
  </si>
  <si>
    <t>SKU40</t>
  </si>
  <si>
    <t>Product_40</t>
  </si>
  <si>
    <t>O0042</t>
  </si>
  <si>
    <t>Cust_41</t>
  </si>
  <si>
    <t>177454</t>
  </si>
  <si>
    <t>SKU41</t>
  </si>
  <si>
    <t>Product_41</t>
  </si>
  <si>
    <t>O0043</t>
  </si>
  <si>
    <t>Cust_42</t>
  </si>
  <si>
    <t>616142</t>
  </si>
  <si>
    <t>SKU42</t>
  </si>
  <si>
    <t>Product_42</t>
  </si>
  <si>
    <t>O0044</t>
  </si>
  <si>
    <t>Cust_43</t>
  </si>
  <si>
    <t>767542</t>
  </si>
  <si>
    <t>SKU43</t>
  </si>
  <si>
    <t>Product_43</t>
  </si>
  <si>
    <t>O0045</t>
  </si>
  <si>
    <t>Cust_44</t>
  </si>
  <si>
    <t>576657</t>
  </si>
  <si>
    <t>SKU44</t>
  </si>
  <si>
    <t>Product_44</t>
  </si>
  <si>
    <t>O0046</t>
  </si>
  <si>
    <t>Cust_45</t>
  </si>
  <si>
    <t>938003</t>
  </si>
  <si>
    <t>SKU45</t>
  </si>
  <si>
    <t>Product_45</t>
  </si>
  <si>
    <t>O0047</t>
  </si>
  <si>
    <t>Cust_46</t>
  </si>
  <si>
    <t>938807</t>
  </si>
  <si>
    <t>SKU46</t>
  </si>
  <si>
    <t>Product_46</t>
  </si>
  <si>
    <t>O0048</t>
  </si>
  <si>
    <t>Cust_47</t>
  </si>
  <si>
    <t>234055</t>
  </si>
  <si>
    <t>SKU47</t>
  </si>
  <si>
    <t>Product_47</t>
  </si>
  <si>
    <t>O0049</t>
  </si>
  <si>
    <t>Cust_48</t>
  </si>
  <si>
    <t>550062</t>
  </si>
  <si>
    <t>SKU48</t>
  </si>
  <si>
    <t>Product_48</t>
  </si>
  <si>
    <t>O0050</t>
  </si>
  <si>
    <t>Cust_49</t>
  </si>
  <si>
    <t>703561</t>
  </si>
  <si>
    <t>SKU49</t>
  </si>
  <si>
    <t>Product_49</t>
  </si>
  <si>
    <t>O0051</t>
  </si>
  <si>
    <t>Cust_50</t>
  </si>
  <si>
    <t>559297</t>
  </si>
  <si>
    <t>SKU50</t>
  </si>
  <si>
    <t>Product_50</t>
  </si>
  <si>
    <t>O0052</t>
  </si>
  <si>
    <t>Cust_51</t>
  </si>
  <si>
    <t>919471</t>
  </si>
  <si>
    <t>SKU51</t>
  </si>
  <si>
    <t>Product_51</t>
  </si>
  <si>
    <t>O0053</t>
  </si>
  <si>
    <t>Cust_52</t>
  </si>
  <si>
    <t>350195</t>
  </si>
  <si>
    <t>SKU52</t>
  </si>
  <si>
    <t>Product_52</t>
  </si>
  <si>
    <t>O0054</t>
  </si>
  <si>
    <t>Cust_53</t>
  </si>
  <si>
    <t>265873</t>
  </si>
  <si>
    <t>SKU53</t>
  </si>
  <si>
    <t>Product_53</t>
  </si>
  <si>
    <t>O0055</t>
  </si>
  <si>
    <t>Cust_54</t>
  </si>
  <si>
    <t>813135</t>
  </si>
  <si>
    <t>SKU54</t>
  </si>
  <si>
    <t>Product_54</t>
  </si>
  <si>
    <t>O0056</t>
  </si>
  <si>
    <t>Cust_55</t>
  </si>
  <si>
    <t>830051</t>
  </si>
  <si>
    <t>SKU55</t>
  </si>
  <si>
    <t>Product_55</t>
  </si>
  <si>
    <t>O0057</t>
  </si>
  <si>
    <t>Cust_56</t>
  </si>
  <si>
    <t>835457</t>
  </si>
  <si>
    <t>SKU56</t>
  </si>
  <si>
    <t>Product_56</t>
  </si>
  <si>
    <t>O0058</t>
  </si>
  <si>
    <t>Cust_57</t>
  </si>
  <si>
    <t>963561</t>
  </si>
  <si>
    <t>SKU57</t>
  </si>
  <si>
    <t>Product_57</t>
  </si>
  <si>
    <t>O0059</t>
  </si>
  <si>
    <t>Cust_58</t>
  </si>
  <si>
    <t>SKU58</t>
  </si>
  <si>
    <t>Product_58</t>
  </si>
  <si>
    <t>O0060</t>
  </si>
  <si>
    <t>Cust_59</t>
  </si>
  <si>
    <t>249369</t>
  </si>
  <si>
    <t>SKU59</t>
  </si>
  <si>
    <t>Product_59</t>
  </si>
  <si>
    <t>O0061</t>
  </si>
  <si>
    <t>Cust_60</t>
  </si>
  <si>
    <t>474999</t>
  </si>
  <si>
    <t>SKU60</t>
  </si>
  <si>
    <t>Product_60</t>
  </si>
  <si>
    <t>O0062</t>
  </si>
  <si>
    <t>Cust_61</t>
  </si>
  <si>
    <t>893719</t>
  </si>
  <si>
    <t>SKU61</t>
  </si>
  <si>
    <t>Product_61</t>
  </si>
  <si>
    <t>O0063</t>
  </si>
  <si>
    <t>Cust_62</t>
  </si>
  <si>
    <t>426916</t>
  </si>
  <si>
    <t>SKU62</t>
  </si>
  <si>
    <t>Product_62</t>
  </si>
  <si>
    <t>O0064</t>
  </si>
  <si>
    <t>Cust_63</t>
  </si>
  <si>
    <t>658030</t>
  </si>
  <si>
    <t>SKU63</t>
  </si>
  <si>
    <t>Product_63</t>
  </si>
  <si>
    <t>O0065</t>
  </si>
  <si>
    <t>Cust_64</t>
  </si>
  <si>
    <t>972388</t>
  </si>
  <si>
    <t>SKU64</t>
  </si>
  <si>
    <t>Product_64</t>
  </si>
  <si>
    <t>O0066</t>
  </si>
  <si>
    <t>Cust_65</t>
  </si>
  <si>
    <t>228322</t>
  </si>
  <si>
    <t>SKU65</t>
  </si>
  <si>
    <t>Product_65</t>
  </si>
  <si>
    <t>O0067</t>
  </si>
  <si>
    <t>Cust_66</t>
  </si>
  <si>
    <t>186231</t>
  </si>
  <si>
    <t>SKU66</t>
  </si>
  <si>
    <t>Product_66</t>
  </si>
  <si>
    <t>O0068</t>
  </si>
  <si>
    <t>Cust_67</t>
  </si>
  <si>
    <t>590042</t>
  </si>
  <si>
    <t>SKU67</t>
  </si>
  <si>
    <t>Product_67</t>
  </si>
  <si>
    <t>O0069</t>
  </si>
  <si>
    <t>Cust_68</t>
  </si>
  <si>
    <t>153947</t>
  </si>
  <si>
    <t>SKU68</t>
  </si>
  <si>
    <t>Product_68</t>
  </si>
  <si>
    <t>O0070</t>
  </si>
  <si>
    <t>Cust_69</t>
  </si>
  <si>
    <t>SKU69</t>
  </si>
  <si>
    <t>Product_69</t>
  </si>
  <si>
    <t>O0071</t>
  </si>
  <si>
    <t>Cust_70</t>
  </si>
  <si>
    <t>716412</t>
  </si>
  <si>
    <t>SKU70</t>
  </si>
  <si>
    <t>Product_70</t>
  </si>
  <si>
    <t>O0072</t>
  </si>
  <si>
    <t>Cust_71</t>
  </si>
  <si>
    <t>175418</t>
  </si>
  <si>
    <t>SKU71</t>
  </si>
  <si>
    <t>Product_71</t>
  </si>
  <si>
    <t>O0073</t>
  </si>
  <si>
    <t>Cust_72</t>
  </si>
  <si>
    <t>700530</t>
  </si>
  <si>
    <t>SKU72</t>
  </si>
  <si>
    <t>Product_72</t>
  </si>
  <si>
    <t>O0074</t>
  </si>
  <si>
    <t>Cust_73</t>
  </si>
  <si>
    <t>244353</t>
  </si>
  <si>
    <t>SKU73</t>
  </si>
  <si>
    <t>Product_73</t>
  </si>
  <si>
    <t>O0075</t>
  </si>
  <si>
    <t>Cust_74</t>
  </si>
  <si>
    <t>827955</t>
  </si>
  <si>
    <t>SKU74</t>
  </si>
  <si>
    <t>Product_74</t>
  </si>
  <si>
    <t>O0076</t>
  </si>
  <si>
    <t>Cust_75</t>
  </si>
  <si>
    <t>606047</t>
  </si>
  <si>
    <t>SKU75</t>
  </si>
  <si>
    <t>Product_75</t>
  </si>
  <si>
    <t>O0077</t>
  </si>
  <si>
    <t>Cust_76</t>
  </si>
  <si>
    <t>872800</t>
  </si>
  <si>
    <t>SKU76</t>
  </si>
  <si>
    <t>Product_76</t>
  </si>
  <si>
    <t>O0078</t>
  </si>
  <si>
    <t>Cust_77</t>
  </si>
  <si>
    <t>842406</t>
  </si>
  <si>
    <t>SKU77</t>
  </si>
  <si>
    <t>Product_77</t>
  </si>
  <si>
    <t>O0079</t>
  </si>
  <si>
    <t>Cust_78</t>
  </si>
  <si>
    <t>SKU78</t>
  </si>
  <si>
    <t>Product_78</t>
  </si>
  <si>
    <t>O0080</t>
  </si>
  <si>
    <t>Cust_79</t>
  </si>
  <si>
    <t>713474</t>
  </si>
  <si>
    <t>SKU79</t>
  </si>
  <si>
    <t>Product_79</t>
  </si>
  <si>
    <t>O0081</t>
  </si>
  <si>
    <t>Cust_80</t>
  </si>
  <si>
    <t>438076</t>
  </si>
  <si>
    <t>SKU80</t>
  </si>
  <si>
    <t>Product_80</t>
  </si>
  <si>
    <t>O0082</t>
  </si>
  <si>
    <t>Cust_81</t>
  </si>
  <si>
    <t>440941</t>
  </si>
  <si>
    <t>SKU81</t>
  </si>
  <si>
    <t>Product_81</t>
  </si>
  <si>
    <t>O0083</t>
  </si>
  <si>
    <t>Cust_82</t>
  </si>
  <si>
    <t>312943</t>
  </si>
  <si>
    <t>SKU82</t>
  </si>
  <si>
    <t>Product_82</t>
  </si>
  <si>
    <t>O0084</t>
  </si>
  <si>
    <t>Cust_83</t>
  </si>
  <si>
    <t>762784</t>
  </si>
  <si>
    <t>SKU83</t>
  </si>
  <si>
    <t>Product_83</t>
  </si>
  <si>
    <t>O0085</t>
  </si>
  <si>
    <t>Cust_84</t>
  </si>
  <si>
    <t>SKU84</t>
  </si>
  <si>
    <t>Product_84</t>
  </si>
  <si>
    <t>O0086</t>
  </si>
  <si>
    <t>Cust_85</t>
  </si>
  <si>
    <t>SKU85</t>
  </si>
  <si>
    <t>Product_85</t>
  </si>
  <si>
    <t>O0087</t>
  </si>
  <si>
    <t>Cust_86</t>
  </si>
  <si>
    <t>343373</t>
  </si>
  <si>
    <t>SKU86</t>
  </si>
  <si>
    <t>Product_86</t>
  </si>
  <si>
    <t>O0088</t>
  </si>
  <si>
    <t>Cust_87</t>
  </si>
  <si>
    <t>707167</t>
  </si>
  <si>
    <t>SKU87</t>
  </si>
  <si>
    <t>Product_87</t>
  </si>
  <si>
    <t>O0089</t>
  </si>
  <si>
    <t>Cust_88</t>
  </si>
  <si>
    <t>430904</t>
  </si>
  <si>
    <t>SKU88</t>
  </si>
  <si>
    <t>Product_88</t>
  </si>
  <si>
    <t>O0090</t>
  </si>
  <si>
    <t>Cust_89</t>
  </si>
  <si>
    <t>466245</t>
  </si>
  <si>
    <t>SKU89</t>
  </si>
  <si>
    <t>Product_89</t>
  </si>
  <si>
    <t>O0091</t>
  </si>
  <si>
    <t>Cust_90</t>
  </si>
  <si>
    <t>891541</t>
  </si>
  <si>
    <t>SKU90</t>
  </si>
  <si>
    <t>Product_90</t>
  </si>
  <si>
    <t>O0092</t>
  </si>
  <si>
    <t>Cust_91</t>
  </si>
  <si>
    <t>726759</t>
  </si>
  <si>
    <t>SKU91</t>
  </si>
  <si>
    <t>Product_91</t>
  </si>
  <si>
    <t>O0093</t>
  </si>
  <si>
    <t>Cust_92</t>
  </si>
  <si>
    <t>969741</t>
  </si>
  <si>
    <t>SKU92</t>
  </si>
  <si>
    <t>Product_92</t>
  </si>
  <si>
    <t>O0094</t>
  </si>
  <si>
    <t>Cust_93</t>
  </si>
  <si>
    <t>693586</t>
  </si>
  <si>
    <t>SKU93</t>
  </si>
  <si>
    <t>Product_93</t>
  </si>
  <si>
    <t>O0095</t>
  </si>
  <si>
    <t>Cust_94</t>
  </si>
  <si>
    <t>545485</t>
  </si>
  <si>
    <t>SKU94</t>
  </si>
  <si>
    <t>Product_94</t>
  </si>
  <si>
    <t>O0096</t>
  </si>
  <si>
    <t>Cust_95</t>
  </si>
  <si>
    <t>830023</t>
  </si>
  <si>
    <t>SKU95</t>
  </si>
  <si>
    <t>Product_95</t>
  </si>
  <si>
    <t>O0097</t>
  </si>
  <si>
    <t>Cust_96</t>
  </si>
  <si>
    <t>999187</t>
  </si>
  <si>
    <t>SKU96</t>
  </si>
  <si>
    <t>Product_96</t>
  </si>
  <si>
    <t>O0098</t>
  </si>
  <si>
    <t>Cust_97</t>
  </si>
  <si>
    <t>312977</t>
  </si>
  <si>
    <t>SKU97</t>
  </si>
  <si>
    <t>Product_97</t>
  </si>
  <si>
    <t>O0099</t>
  </si>
  <si>
    <t>Cust_98</t>
  </si>
  <si>
    <t>859746</t>
  </si>
  <si>
    <t>SKU98</t>
  </si>
  <si>
    <t>Product_98</t>
  </si>
  <si>
    <t>O0100</t>
  </si>
  <si>
    <t>Cust_99</t>
  </si>
  <si>
    <t>427025</t>
  </si>
  <si>
    <t>SKU99</t>
  </si>
  <si>
    <t>Product_99</t>
  </si>
  <si>
    <t>O0101</t>
  </si>
  <si>
    <t>Cust_100</t>
  </si>
  <si>
    <t>649114</t>
  </si>
  <si>
    <t>SKU100</t>
  </si>
  <si>
    <t>Product_100</t>
  </si>
  <si>
    <t>O0102</t>
  </si>
  <si>
    <t>Cust_101</t>
  </si>
  <si>
    <t>SKU101</t>
  </si>
  <si>
    <t>Product_101</t>
  </si>
  <si>
    <t>O0103</t>
  </si>
  <si>
    <t>Cust_102</t>
  </si>
  <si>
    <t>920094</t>
  </si>
  <si>
    <t>SKU102</t>
  </si>
  <si>
    <t>Product_102</t>
  </si>
  <si>
    <t>O0104</t>
  </si>
  <si>
    <t>Cust_103</t>
  </si>
  <si>
    <t>172715</t>
  </si>
  <si>
    <t>SKU103</t>
  </si>
  <si>
    <t>Product_103</t>
  </si>
  <si>
    <t>O0105</t>
  </si>
  <si>
    <t>Cust_104</t>
  </si>
  <si>
    <t>183186</t>
  </si>
  <si>
    <t>SKU104</t>
  </si>
  <si>
    <t>Product_104</t>
  </si>
  <si>
    <t>O0106</t>
  </si>
  <si>
    <t>Cust_105</t>
  </si>
  <si>
    <t>320971</t>
  </si>
  <si>
    <t>SKU105</t>
  </si>
  <si>
    <t>Product_105</t>
  </si>
  <si>
    <t>O0107</t>
  </si>
  <si>
    <t>Cust_106</t>
  </si>
  <si>
    <t>268484</t>
  </si>
  <si>
    <t>SKU106</t>
  </si>
  <si>
    <t>Product_106</t>
  </si>
  <si>
    <t>O0108</t>
  </si>
  <si>
    <t>Cust_107</t>
  </si>
  <si>
    <t>538716</t>
  </si>
  <si>
    <t>SKU107</t>
  </si>
  <si>
    <t>Product_107</t>
  </si>
  <si>
    <t>O0109</t>
  </si>
  <si>
    <t>Cust_108</t>
  </si>
  <si>
    <t>331447</t>
  </si>
  <si>
    <t>SKU108</t>
  </si>
  <si>
    <t>Product_108</t>
  </si>
  <si>
    <t>O0110</t>
  </si>
  <si>
    <t>Cust_109</t>
  </si>
  <si>
    <t>726045</t>
  </si>
  <si>
    <t>SKU109</t>
  </si>
  <si>
    <t>Product_109</t>
  </si>
  <si>
    <t>O0111</t>
  </si>
  <si>
    <t>Cust_110</t>
  </si>
  <si>
    <t>667873</t>
  </si>
  <si>
    <t>SKU110</t>
  </si>
  <si>
    <t>Product_110</t>
  </si>
  <si>
    <t>O0112</t>
  </si>
  <si>
    <t>Cust_111</t>
  </si>
  <si>
    <t>915858</t>
  </si>
  <si>
    <t>SKU111</t>
  </si>
  <si>
    <t>Product_111</t>
  </si>
  <si>
    <t>O0113</t>
  </si>
  <si>
    <t>Cust_112</t>
  </si>
  <si>
    <t>360116</t>
  </si>
  <si>
    <t>SKU112</t>
  </si>
  <si>
    <t>Product_112</t>
  </si>
  <si>
    <t>O0114</t>
  </si>
  <si>
    <t>Cust_113</t>
  </si>
  <si>
    <t>257795</t>
  </si>
  <si>
    <t>SKU113</t>
  </si>
  <si>
    <t>Product_113</t>
  </si>
  <si>
    <t>O0115</t>
  </si>
  <si>
    <t>Cust_114</t>
  </si>
  <si>
    <t>722605</t>
  </si>
  <si>
    <t>SKU114</t>
  </si>
  <si>
    <t>Product_114</t>
  </si>
  <si>
    <t>O0116</t>
  </si>
  <si>
    <t>Cust_115</t>
  </si>
  <si>
    <t>300422</t>
  </si>
  <si>
    <t>SKU115</t>
  </si>
  <si>
    <t>Product_115</t>
  </si>
  <si>
    <t>O0117</t>
  </si>
  <si>
    <t>Cust_116</t>
  </si>
  <si>
    <t>244832</t>
  </si>
  <si>
    <t>SKU116</t>
  </si>
  <si>
    <t>Product_116</t>
  </si>
  <si>
    <t>O0118</t>
  </si>
  <si>
    <t>Cust_117</t>
  </si>
  <si>
    <t>857038</t>
  </si>
  <si>
    <t>SKU117</t>
  </si>
  <si>
    <t>Product_117</t>
  </si>
  <si>
    <t>O0119</t>
  </si>
  <si>
    <t>Cust_118</t>
  </si>
  <si>
    <t>482729</t>
  </si>
  <si>
    <t>SKU118</t>
  </si>
  <si>
    <t>Product_118</t>
  </si>
  <si>
    <t>O0120</t>
  </si>
  <si>
    <t>Cust_119</t>
  </si>
  <si>
    <t>869299</t>
  </si>
  <si>
    <t>SKU119</t>
  </si>
  <si>
    <t>Product_119</t>
  </si>
  <si>
    <t>O0121</t>
  </si>
  <si>
    <t>Cust_120</t>
  </si>
  <si>
    <t>316184</t>
  </si>
  <si>
    <t>SKU120</t>
  </si>
  <si>
    <t>Product_120</t>
  </si>
  <si>
    <t>O0122</t>
  </si>
  <si>
    <t>Cust_121</t>
  </si>
  <si>
    <t>192324</t>
  </si>
  <si>
    <t>SKU121</t>
  </si>
  <si>
    <t>Product_121</t>
  </si>
  <si>
    <t>O0123</t>
  </si>
  <si>
    <t>Cust_122</t>
  </si>
  <si>
    <t>741179</t>
  </si>
  <si>
    <t>SKU122</t>
  </si>
  <si>
    <t>Product_122</t>
  </si>
  <si>
    <t>O0124</t>
  </si>
  <si>
    <t>Cust_123</t>
  </si>
  <si>
    <t>543324</t>
  </si>
  <si>
    <t>SKU123</t>
  </si>
  <si>
    <t>Product_123</t>
  </si>
  <si>
    <t>O0125</t>
  </si>
  <si>
    <t>Cust_124</t>
  </si>
  <si>
    <t>260928</t>
  </si>
  <si>
    <t>SKU124</t>
  </si>
  <si>
    <t>Product_124</t>
  </si>
  <si>
    <t>O0126</t>
  </si>
  <si>
    <t>Cust_125</t>
  </si>
  <si>
    <t>796595</t>
  </si>
  <si>
    <t>SKU125</t>
  </si>
  <si>
    <t>Product_125</t>
  </si>
  <si>
    <t>O0127</t>
  </si>
  <si>
    <t>Cust_126</t>
  </si>
  <si>
    <t>633398</t>
  </si>
  <si>
    <t>SKU126</t>
  </si>
  <si>
    <t>Product_126</t>
  </si>
  <si>
    <t>O0128</t>
  </si>
  <si>
    <t>Cust_127</t>
  </si>
  <si>
    <t>728349</t>
  </si>
  <si>
    <t>SKU127</t>
  </si>
  <si>
    <t>Product_127</t>
  </si>
  <si>
    <t>O0129</t>
  </si>
  <si>
    <t>Cust_128</t>
  </si>
  <si>
    <t>601076</t>
  </si>
  <si>
    <t>SKU128</t>
  </si>
  <si>
    <t>Product_128</t>
  </si>
  <si>
    <t>O0130</t>
  </si>
  <si>
    <t>Cust_129</t>
  </si>
  <si>
    <t>900101</t>
  </si>
  <si>
    <t>SKU129</t>
  </si>
  <si>
    <t>Product_129</t>
  </si>
  <si>
    <t>O0131</t>
  </si>
  <si>
    <t>Cust_130</t>
  </si>
  <si>
    <t>128625</t>
  </si>
  <si>
    <t>SKU130</t>
  </si>
  <si>
    <t>Product_130</t>
  </si>
  <si>
    <t>O0132</t>
  </si>
  <si>
    <t>Cust_131</t>
  </si>
  <si>
    <t>996880</t>
  </si>
  <si>
    <t>SKU131</t>
  </si>
  <si>
    <t>Product_131</t>
  </si>
  <si>
    <t>O0133</t>
  </si>
  <si>
    <t>Cust_132</t>
  </si>
  <si>
    <t>894557</t>
  </si>
  <si>
    <t>SKU132</t>
  </si>
  <si>
    <t>Product_132</t>
  </si>
  <si>
    <t>O0134</t>
  </si>
  <si>
    <t>Cust_133</t>
  </si>
  <si>
    <t>742804</t>
  </si>
  <si>
    <t>SKU133</t>
  </si>
  <si>
    <t>Product_133</t>
  </si>
  <si>
    <t>O0135</t>
  </si>
  <si>
    <t>Cust_134</t>
  </si>
  <si>
    <t>619777</t>
  </si>
  <si>
    <t>SKU134</t>
  </si>
  <si>
    <t>Product_134</t>
  </si>
  <si>
    <t>O0136</t>
  </si>
  <si>
    <t>Cust_135</t>
  </si>
  <si>
    <t>983084</t>
  </si>
  <si>
    <t>SKU135</t>
  </si>
  <si>
    <t>Product_135</t>
  </si>
  <si>
    <t>O0137</t>
  </si>
  <si>
    <t>Cust_136</t>
  </si>
  <si>
    <t>890144</t>
  </si>
  <si>
    <t>SKU136</t>
  </si>
  <si>
    <t>Product_136</t>
  </si>
  <si>
    <t>O0138</t>
  </si>
  <si>
    <t>Cust_137</t>
  </si>
  <si>
    <t>858470</t>
  </si>
  <si>
    <t>SKU137</t>
  </si>
  <si>
    <t>Product_137</t>
  </si>
  <si>
    <t>O0139</t>
  </si>
  <si>
    <t>Cust_138</t>
  </si>
  <si>
    <t>990328</t>
  </si>
  <si>
    <t>SKU138</t>
  </si>
  <si>
    <t>Product_138</t>
  </si>
  <si>
    <t>O0140</t>
  </si>
  <si>
    <t>Cust_139</t>
  </si>
  <si>
    <t>553449</t>
  </si>
  <si>
    <t>SKU139</t>
  </si>
  <si>
    <t>Product_139</t>
  </si>
  <si>
    <t>O0141</t>
  </si>
  <si>
    <t>Cust_140</t>
  </si>
  <si>
    <t>325049</t>
  </si>
  <si>
    <t>SKU140</t>
  </si>
  <si>
    <t>Product_140</t>
  </si>
  <si>
    <t>O0142</t>
  </si>
  <si>
    <t>Cust_141</t>
  </si>
  <si>
    <t>312781</t>
  </si>
  <si>
    <t>SKU141</t>
  </si>
  <si>
    <t>Product_141</t>
  </si>
  <si>
    <t>O0143</t>
  </si>
  <si>
    <t>Cust_142</t>
  </si>
  <si>
    <t>923346</t>
  </si>
  <si>
    <t>SKU142</t>
  </si>
  <si>
    <t>Product_142</t>
  </si>
  <si>
    <t>O0144</t>
  </si>
  <si>
    <t>Cust_143</t>
  </si>
  <si>
    <t>848013</t>
  </si>
  <si>
    <t>SKU143</t>
  </si>
  <si>
    <t>Product_143</t>
  </si>
  <si>
    <t>O0145</t>
  </si>
  <si>
    <t>Cust_144</t>
  </si>
  <si>
    <t>621863</t>
  </si>
  <si>
    <t>SKU144</t>
  </si>
  <si>
    <t>Product_144</t>
  </si>
  <si>
    <t>O0146</t>
  </si>
  <si>
    <t>Cust_145</t>
  </si>
  <si>
    <t>855801</t>
  </si>
  <si>
    <t>SKU145</t>
  </si>
  <si>
    <t>Product_145</t>
  </si>
  <si>
    <t>O0147</t>
  </si>
  <si>
    <t>Cust_146</t>
  </si>
  <si>
    <t>275211</t>
  </si>
  <si>
    <t>SKU146</t>
  </si>
  <si>
    <t>Product_146</t>
  </si>
  <si>
    <t>O0148</t>
  </si>
  <si>
    <t>Cust_147</t>
  </si>
  <si>
    <t>829532</t>
  </si>
  <si>
    <t>SKU147</t>
  </si>
  <si>
    <t>Product_147</t>
  </si>
  <si>
    <t>O0149</t>
  </si>
  <si>
    <t>Cust_148</t>
  </si>
  <si>
    <t>957463</t>
  </si>
  <si>
    <t>SKU148</t>
  </si>
  <si>
    <t>Product_148</t>
  </si>
  <si>
    <t>O0150</t>
  </si>
  <si>
    <t>Cust_149</t>
  </si>
  <si>
    <t>844149</t>
  </si>
  <si>
    <t>SKU149</t>
  </si>
  <si>
    <t>Product_149</t>
  </si>
  <si>
    <t>O0151</t>
  </si>
  <si>
    <t>Cust_150</t>
  </si>
  <si>
    <t>706217</t>
  </si>
  <si>
    <t>SKU150</t>
  </si>
  <si>
    <t>Product_150</t>
  </si>
  <si>
    <t>O0152</t>
  </si>
  <si>
    <t>Cust_151</t>
  </si>
  <si>
    <t>332601</t>
  </si>
  <si>
    <t>SKU151</t>
  </si>
  <si>
    <t>Product_151</t>
  </si>
  <si>
    <t>O0153</t>
  </si>
  <si>
    <t>Cust_152</t>
  </si>
  <si>
    <t>549042</t>
  </si>
  <si>
    <t>SKU152</t>
  </si>
  <si>
    <t>Product_152</t>
  </si>
  <si>
    <t>O0154</t>
  </si>
  <si>
    <t>Cust_153</t>
  </si>
  <si>
    <t>561792</t>
  </si>
  <si>
    <t>SKU153</t>
  </si>
  <si>
    <t>Product_153</t>
  </si>
  <si>
    <t>O0155</t>
  </si>
  <si>
    <t>Cust_154</t>
  </si>
  <si>
    <t>346242</t>
  </si>
  <si>
    <t>SKU154</t>
  </si>
  <si>
    <t>Product_154</t>
  </si>
  <si>
    <t>O0156</t>
  </si>
  <si>
    <t>Cust_155</t>
  </si>
  <si>
    <t>385855</t>
  </si>
  <si>
    <t>SKU155</t>
  </si>
  <si>
    <t>Product_155</t>
  </si>
  <si>
    <t>O0157</t>
  </si>
  <si>
    <t>Cust_156</t>
  </si>
  <si>
    <t>551000</t>
  </si>
  <si>
    <t>SKU156</t>
  </si>
  <si>
    <t>Product_156</t>
  </si>
  <si>
    <t>O0158</t>
  </si>
  <si>
    <t>Cust_157</t>
  </si>
  <si>
    <t>486601</t>
  </si>
  <si>
    <t>SKU157</t>
  </si>
  <si>
    <t>Product_157</t>
  </si>
  <si>
    <t>O0159</t>
  </si>
  <si>
    <t>Cust_158</t>
  </si>
  <si>
    <t>942186</t>
  </si>
  <si>
    <t>SKU158</t>
  </si>
  <si>
    <t>Product_158</t>
  </si>
  <si>
    <t>O0160</t>
  </si>
  <si>
    <t>Cust_159</t>
  </si>
  <si>
    <t>SKU159</t>
  </si>
  <si>
    <t>Product_159</t>
  </si>
  <si>
    <t>O0161</t>
  </si>
  <si>
    <t>Cust_160</t>
  </si>
  <si>
    <t>SKU160</t>
  </si>
  <si>
    <t>Product_160</t>
  </si>
  <si>
    <t>O0162</t>
  </si>
  <si>
    <t>Cust_161</t>
  </si>
  <si>
    <t>216492</t>
  </si>
  <si>
    <t>SKU161</t>
  </si>
  <si>
    <t>Product_161</t>
  </si>
  <si>
    <t>O0163</t>
  </si>
  <si>
    <t>Cust_162</t>
  </si>
  <si>
    <t>561227</t>
  </si>
  <si>
    <t>SKU162</t>
  </si>
  <si>
    <t>Product_162</t>
  </si>
  <si>
    <t>O0164</t>
  </si>
  <si>
    <t>Cust_163</t>
  </si>
  <si>
    <t>599499</t>
  </si>
  <si>
    <t>SKU163</t>
  </si>
  <si>
    <t>Product_163</t>
  </si>
  <si>
    <t>O0165</t>
  </si>
  <si>
    <t>Cust_164</t>
  </si>
  <si>
    <t>498465</t>
  </si>
  <si>
    <t>SKU164</t>
  </si>
  <si>
    <t>Product_164</t>
  </si>
  <si>
    <t>O0166</t>
  </si>
  <si>
    <t>Cust_165</t>
  </si>
  <si>
    <t>415507</t>
  </si>
  <si>
    <t>SKU165</t>
  </si>
  <si>
    <t>Product_165</t>
  </si>
  <si>
    <t>O0167</t>
  </si>
  <si>
    <t>Cust_166</t>
  </si>
  <si>
    <t>142828</t>
  </si>
  <si>
    <t>SKU166</t>
  </si>
  <si>
    <t>Product_166</t>
  </si>
  <si>
    <t>O0168</t>
  </si>
  <si>
    <t>Cust_167</t>
  </si>
  <si>
    <t>886639</t>
  </si>
  <si>
    <t>SKU167</t>
  </si>
  <si>
    <t>Product_167</t>
  </si>
  <si>
    <t>O0169</t>
  </si>
  <si>
    <t>Cust_168</t>
  </si>
  <si>
    <t>601643</t>
  </si>
  <si>
    <t>SKU168</t>
  </si>
  <si>
    <t>Product_168</t>
  </si>
  <si>
    <t>O0170</t>
  </si>
  <si>
    <t>Cust_169</t>
  </si>
  <si>
    <t>198540</t>
  </si>
  <si>
    <t>SKU169</t>
  </si>
  <si>
    <t>Product_169</t>
  </si>
  <si>
    <t>O0171</t>
  </si>
  <si>
    <t>Cust_170</t>
  </si>
  <si>
    <t>156273</t>
  </si>
  <si>
    <t>SKU170</t>
  </si>
  <si>
    <t>Product_170</t>
  </si>
  <si>
    <t>O0172</t>
  </si>
  <si>
    <t>Cust_171</t>
  </si>
  <si>
    <t>110699</t>
  </si>
  <si>
    <t>SKU171</t>
  </si>
  <si>
    <t>Product_171</t>
  </si>
  <si>
    <t>O0173</t>
  </si>
  <si>
    <t>Cust_172</t>
  </si>
  <si>
    <t>622988</t>
  </si>
  <si>
    <t>SKU172</t>
  </si>
  <si>
    <t>Product_172</t>
  </si>
  <si>
    <t>O0174</t>
  </si>
  <si>
    <t>Cust_173</t>
  </si>
  <si>
    <t>492136</t>
  </si>
  <si>
    <t>SKU173</t>
  </si>
  <si>
    <t>Product_173</t>
  </si>
  <si>
    <t>O0175</t>
  </si>
  <si>
    <t>Cust_174</t>
  </si>
  <si>
    <t>333782</t>
  </si>
  <si>
    <t>SKU174</t>
  </si>
  <si>
    <t>Product_174</t>
  </si>
  <si>
    <t>O0176</t>
  </si>
  <si>
    <t>Cust_175</t>
  </si>
  <si>
    <t>826331</t>
  </si>
  <si>
    <t>SKU175</t>
  </si>
  <si>
    <t>Product_175</t>
  </si>
  <si>
    <t>O0177</t>
  </si>
  <si>
    <t>Cust_176</t>
  </si>
  <si>
    <t>187468</t>
  </si>
  <si>
    <t>SKU176</t>
  </si>
  <si>
    <t>Product_176</t>
  </si>
  <si>
    <t>O0178</t>
  </si>
  <si>
    <t>Cust_177</t>
  </si>
  <si>
    <t>173861</t>
  </si>
  <si>
    <t>SKU177</t>
  </si>
  <si>
    <t>Product_177</t>
  </si>
  <si>
    <t>O0179</t>
  </si>
  <si>
    <t>Cust_178</t>
  </si>
  <si>
    <t>893153</t>
  </si>
  <si>
    <t>SKU178</t>
  </si>
  <si>
    <t>Product_178</t>
  </si>
  <si>
    <t>O0180</t>
  </si>
  <si>
    <t>Cust_179</t>
  </si>
  <si>
    <t>204211</t>
  </si>
  <si>
    <t>SKU179</t>
  </si>
  <si>
    <t>Product_179</t>
  </si>
  <si>
    <t>O0181</t>
  </si>
  <si>
    <t>Cust_180</t>
  </si>
  <si>
    <t>829182</t>
  </si>
  <si>
    <t>SKU180</t>
  </si>
  <si>
    <t>Product_180</t>
  </si>
  <si>
    <t>O0182</t>
  </si>
  <si>
    <t>Cust_181</t>
  </si>
  <si>
    <t>245788</t>
  </si>
  <si>
    <t>SKU181</t>
  </si>
  <si>
    <t>Product_181</t>
  </si>
  <si>
    <t>O0183</t>
  </si>
  <si>
    <t>Cust_182</t>
  </si>
  <si>
    <t>987700</t>
  </si>
  <si>
    <t>SKU182</t>
  </si>
  <si>
    <t>Product_182</t>
  </si>
  <si>
    <t>O0184</t>
  </si>
  <si>
    <t>Cust_183</t>
  </si>
  <si>
    <t>997151</t>
  </si>
  <si>
    <t>SKU183</t>
  </si>
  <si>
    <t>Product_183</t>
  </si>
  <si>
    <t>O0185</t>
  </si>
  <si>
    <t>Cust_184</t>
  </si>
  <si>
    <t>659550</t>
  </si>
  <si>
    <t>SKU184</t>
  </si>
  <si>
    <t>Product_184</t>
  </si>
  <si>
    <t>O0186</t>
  </si>
  <si>
    <t>Cust_185</t>
  </si>
  <si>
    <t>160545</t>
  </si>
  <si>
    <t>SKU185</t>
  </si>
  <si>
    <t>Product_185</t>
  </si>
  <si>
    <t>O0187</t>
  </si>
  <si>
    <t>Cust_186</t>
  </si>
  <si>
    <t>350497</t>
  </si>
  <si>
    <t>SKU186</t>
  </si>
  <si>
    <t>Product_186</t>
  </si>
  <si>
    <t>O0188</t>
  </si>
  <si>
    <t>Cust_187</t>
  </si>
  <si>
    <t>256104</t>
  </si>
  <si>
    <t>SKU187</t>
  </si>
  <si>
    <t>Product_187</t>
  </si>
  <si>
    <t>O0189</t>
  </si>
  <si>
    <t>Cust_188</t>
  </si>
  <si>
    <t>237478</t>
  </si>
  <si>
    <t>SKU188</t>
  </si>
  <si>
    <t>Product_188</t>
  </si>
  <si>
    <t>O0190</t>
  </si>
  <si>
    <t>Cust_189</t>
  </si>
  <si>
    <t>671139</t>
  </si>
  <si>
    <t>SKU189</t>
  </si>
  <si>
    <t>Product_189</t>
  </si>
  <si>
    <t>O0191</t>
  </si>
  <si>
    <t>Cust_190</t>
  </si>
  <si>
    <t>985155</t>
  </si>
  <si>
    <t>SKU190</t>
  </si>
  <si>
    <t>Product_190</t>
  </si>
  <si>
    <t>O0192</t>
  </si>
  <si>
    <t>Cust_191</t>
  </si>
  <si>
    <t>199071</t>
  </si>
  <si>
    <t>SKU191</t>
  </si>
  <si>
    <t>Product_191</t>
  </si>
  <si>
    <t>O0193</t>
  </si>
  <si>
    <t>Cust_192</t>
  </si>
  <si>
    <t>914037</t>
  </si>
  <si>
    <t>SKU192</t>
  </si>
  <si>
    <t>Product_192</t>
  </si>
  <si>
    <t>O0194</t>
  </si>
  <si>
    <t>Cust_193</t>
  </si>
  <si>
    <t>955684</t>
  </si>
  <si>
    <t>SKU193</t>
  </si>
  <si>
    <t>Product_193</t>
  </si>
  <si>
    <t>O0195</t>
  </si>
  <si>
    <t>Cust_194</t>
  </si>
  <si>
    <t>602420</t>
  </si>
  <si>
    <t>SKU194</t>
  </si>
  <si>
    <t>Product_194</t>
  </si>
  <si>
    <t>O0196</t>
  </si>
  <si>
    <t>Cust_195</t>
  </si>
  <si>
    <t>322084</t>
  </si>
  <si>
    <t>SKU195</t>
  </si>
  <si>
    <t>Product_195</t>
  </si>
  <si>
    <t>O0197</t>
  </si>
  <si>
    <t>Cust_196</t>
  </si>
  <si>
    <t>744863</t>
  </si>
  <si>
    <t>SKU196</t>
  </si>
  <si>
    <t>Product_196</t>
  </si>
  <si>
    <t>O0198</t>
  </si>
  <si>
    <t>Cust_197</t>
  </si>
  <si>
    <t>780481</t>
  </si>
  <si>
    <t>SKU197</t>
  </si>
  <si>
    <t>Product_197</t>
  </si>
  <si>
    <t>O0199</t>
  </si>
  <si>
    <t>Cust_198</t>
  </si>
  <si>
    <t>917052</t>
  </si>
  <si>
    <t>SKU198</t>
  </si>
  <si>
    <t>Product_198</t>
  </si>
  <si>
    <t>O0200</t>
  </si>
  <si>
    <t>Cust_199</t>
  </si>
  <si>
    <t>479504</t>
  </si>
  <si>
    <t>SKU199</t>
  </si>
  <si>
    <t>Product_199</t>
  </si>
  <si>
    <t>O0201</t>
  </si>
  <si>
    <t>Cust_200</t>
  </si>
  <si>
    <t>714641</t>
  </si>
  <si>
    <t>O0202</t>
  </si>
  <si>
    <t>Cust_201</t>
  </si>
  <si>
    <t>608679</t>
  </si>
  <si>
    <t>O0203</t>
  </si>
  <si>
    <t>Cust_202</t>
  </si>
  <si>
    <t>680780</t>
  </si>
  <si>
    <t>O0204</t>
  </si>
  <si>
    <t>Cust_203</t>
  </si>
  <si>
    <t>777974</t>
  </si>
  <si>
    <t>O0205</t>
  </si>
  <si>
    <t>Cust_204</t>
  </si>
  <si>
    <t>652370</t>
  </si>
  <si>
    <t>O0206</t>
  </si>
  <si>
    <t>Cust_205</t>
  </si>
  <si>
    <t>301139</t>
  </si>
  <si>
    <t>O0207</t>
  </si>
  <si>
    <t>Cust_206</t>
  </si>
  <si>
    <t>338340</t>
  </si>
  <si>
    <t>O0208</t>
  </si>
  <si>
    <t>Cust_207</t>
  </si>
  <si>
    <t>928965</t>
  </si>
  <si>
    <t>O0209</t>
  </si>
  <si>
    <t>Cust_208</t>
  </si>
  <si>
    <t>248702</t>
  </si>
  <si>
    <t>O0210</t>
  </si>
  <si>
    <t>Cust_209</t>
  </si>
  <si>
    <t>308432</t>
  </si>
  <si>
    <t>O0211</t>
  </si>
  <si>
    <t>Cust_210</t>
  </si>
  <si>
    <t>552776</t>
  </si>
  <si>
    <t>O0212</t>
  </si>
  <si>
    <t>Cust_211</t>
  </si>
  <si>
    <t>933289</t>
  </si>
  <si>
    <t>O0213</t>
  </si>
  <si>
    <t>Cust_212</t>
  </si>
  <si>
    <t>903585</t>
  </si>
  <si>
    <t>O0214</t>
  </si>
  <si>
    <t>Cust_213</t>
  </si>
  <si>
    <t>719745</t>
  </si>
  <si>
    <t>O0215</t>
  </si>
  <si>
    <t>Cust_214</t>
  </si>
  <si>
    <t>126806</t>
  </si>
  <si>
    <t>O0216</t>
  </si>
  <si>
    <t>Cust_215</t>
  </si>
  <si>
    <t>979381</t>
  </si>
  <si>
    <t>O0217</t>
  </si>
  <si>
    <t>Cust_216</t>
  </si>
  <si>
    <t>979903</t>
  </si>
  <si>
    <t>O0218</t>
  </si>
  <si>
    <t>Cust_217</t>
  </si>
  <si>
    <t>438416</t>
  </si>
  <si>
    <t>O0219</t>
  </si>
  <si>
    <t>Cust_218</t>
  </si>
  <si>
    <t>783404</t>
  </si>
  <si>
    <t>O0220</t>
  </si>
  <si>
    <t>Cust_219</t>
  </si>
  <si>
    <t>O0221</t>
  </si>
  <si>
    <t>Cust_220</t>
  </si>
  <si>
    <t>123387</t>
  </si>
  <si>
    <t>O0222</t>
  </si>
  <si>
    <t>Cust_221</t>
  </si>
  <si>
    <t>277558</t>
  </si>
  <si>
    <t>O0223</t>
  </si>
  <si>
    <t>Cust_222</t>
  </si>
  <si>
    <t>651332</t>
  </si>
  <si>
    <t>O0224</t>
  </si>
  <si>
    <t>Cust_223</t>
  </si>
  <si>
    <t>895928</t>
  </si>
  <si>
    <t>O0225</t>
  </si>
  <si>
    <t>Cust_224</t>
  </si>
  <si>
    <t>877401</t>
  </si>
  <si>
    <t>O0226</t>
  </si>
  <si>
    <t>Cust_225</t>
  </si>
  <si>
    <t>789556</t>
  </si>
  <si>
    <t>O0227</t>
  </si>
  <si>
    <t>Cust_226</t>
  </si>
  <si>
    <t>787016</t>
  </si>
  <si>
    <t>O0228</t>
  </si>
  <si>
    <t>Cust_227</t>
  </si>
  <si>
    <t>791211</t>
  </si>
  <si>
    <t>O0229</t>
  </si>
  <si>
    <t>Cust_228</t>
  </si>
  <si>
    <t>664660</t>
  </si>
  <si>
    <t>O0230</t>
  </si>
  <si>
    <t>Cust_229</t>
  </si>
  <si>
    <t>516978</t>
  </si>
  <si>
    <t>O0231</t>
  </si>
  <si>
    <t>Cust_230</t>
  </si>
  <si>
    <t>821909</t>
  </si>
  <si>
    <t>O0232</t>
  </si>
  <si>
    <t>Cust_231</t>
  </si>
  <si>
    <t>389910</t>
  </si>
  <si>
    <t>O0233</t>
  </si>
  <si>
    <t>Cust_232</t>
  </si>
  <si>
    <t>771447</t>
  </si>
  <si>
    <t>O0234</t>
  </si>
  <si>
    <t>Cust_233</t>
  </si>
  <si>
    <t>O0235</t>
  </si>
  <si>
    <t>Cust_234</t>
  </si>
  <si>
    <t>521947</t>
  </si>
  <si>
    <t>O0236</t>
  </si>
  <si>
    <t>Cust_235</t>
  </si>
  <si>
    <t>252889</t>
  </si>
  <si>
    <t>O0237</t>
  </si>
  <si>
    <t>Cust_236</t>
  </si>
  <si>
    <t>241330</t>
  </si>
  <si>
    <t>O0238</t>
  </si>
  <si>
    <t>Cust_237</t>
  </si>
  <si>
    <t>461278</t>
  </si>
  <si>
    <t>O0239</t>
  </si>
  <si>
    <t>Cust_238</t>
  </si>
  <si>
    <t>342634</t>
  </si>
  <si>
    <t>O0240</t>
  </si>
  <si>
    <t>Cust_239</t>
  </si>
  <si>
    <t>130447</t>
  </si>
  <si>
    <t>O0241</t>
  </si>
  <si>
    <t>Cust_240</t>
  </si>
  <si>
    <t>970477</t>
  </si>
  <si>
    <t>O0242</t>
  </si>
  <si>
    <t>Cust_241</t>
  </si>
  <si>
    <t>851164</t>
  </si>
  <si>
    <t>O0243</t>
  </si>
  <si>
    <t>Cust_242</t>
  </si>
  <si>
    <t>622220</t>
  </si>
  <si>
    <t>O0244</t>
  </si>
  <si>
    <t>Cust_243</t>
  </si>
  <si>
    <t>687100</t>
  </si>
  <si>
    <t>O0245</t>
  </si>
  <si>
    <t>Cust_244</t>
  </si>
  <si>
    <t>518495</t>
  </si>
  <si>
    <t>O0246</t>
  </si>
  <si>
    <t>Cust_245</t>
  </si>
  <si>
    <t>O0247</t>
  </si>
  <si>
    <t>Cust_246</t>
  </si>
  <si>
    <t>763070</t>
  </si>
  <si>
    <t>O0248</t>
  </si>
  <si>
    <t>Cust_247</t>
  </si>
  <si>
    <t>755522</t>
  </si>
  <si>
    <t>O0249</t>
  </si>
  <si>
    <t>Cust_248</t>
  </si>
  <si>
    <t>586799</t>
  </si>
  <si>
    <t>O0250</t>
  </si>
  <si>
    <t>Cust_249</t>
  </si>
  <si>
    <t>367491</t>
  </si>
  <si>
    <t>O0251</t>
  </si>
  <si>
    <t>Cust_250</t>
  </si>
  <si>
    <t>852254</t>
  </si>
  <si>
    <t>O0252</t>
  </si>
  <si>
    <t>Cust_251</t>
  </si>
  <si>
    <t>335718</t>
  </si>
  <si>
    <t>O0253</t>
  </si>
  <si>
    <t>Cust_252</t>
  </si>
  <si>
    <t>735775</t>
  </si>
  <si>
    <t>O0254</t>
  </si>
  <si>
    <t>Cust_253</t>
  </si>
  <si>
    <t>527737</t>
  </si>
  <si>
    <t>O0255</t>
  </si>
  <si>
    <t>Cust_254</t>
  </si>
  <si>
    <t>450040</t>
  </si>
  <si>
    <t>O0256</t>
  </si>
  <si>
    <t>Cust_255</t>
  </si>
  <si>
    <t>306487</t>
  </si>
  <si>
    <t>O0257</t>
  </si>
  <si>
    <t>Cust_256</t>
  </si>
  <si>
    <t>145232</t>
  </si>
  <si>
    <t>O0258</t>
  </si>
  <si>
    <t>Cust_257</t>
  </si>
  <si>
    <t>488612</t>
  </si>
  <si>
    <t>O0259</t>
  </si>
  <si>
    <t>Cust_258</t>
  </si>
  <si>
    <t>964690</t>
  </si>
  <si>
    <t>O0260</t>
  </si>
  <si>
    <t>Cust_259</t>
  </si>
  <si>
    <t>550542</t>
  </si>
  <si>
    <t>O0261</t>
  </si>
  <si>
    <t>Cust_260</t>
  </si>
  <si>
    <t>380852</t>
  </si>
  <si>
    <t>O0262</t>
  </si>
  <si>
    <t>Cust_261</t>
  </si>
  <si>
    <t>965139</t>
  </si>
  <si>
    <t>O0263</t>
  </si>
  <si>
    <t>Cust_262</t>
  </si>
  <si>
    <t>625069</t>
  </si>
  <si>
    <t>O0264</t>
  </si>
  <si>
    <t>Cust_263</t>
  </si>
  <si>
    <t>271033</t>
  </si>
  <si>
    <t>O0265</t>
  </si>
  <si>
    <t>Cust_264</t>
  </si>
  <si>
    <t>647936</t>
  </si>
  <si>
    <t>O0266</t>
  </si>
  <si>
    <t>Cust_265</t>
  </si>
  <si>
    <t>279635</t>
  </si>
  <si>
    <t>O0267</t>
  </si>
  <si>
    <t>Cust_266</t>
  </si>
  <si>
    <t>222775</t>
  </si>
  <si>
    <t>O0268</t>
  </si>
  <si>
    <t>Cust_267</t>
  </si>
  <si>
    <t>361716</t>
  </si>
  <si>
    <t>O0269</t>
  </si>
  <si>
    <t>Cust_268</t>
  </si>
  <si>
    <t>522355</t>
  </si>
  <si>
    <t>O0270</t>
  </si>
  <si>
    <t>Cust_269</t>
  </si>
  <si>
    <t>106530</t>
  </si>
  <si>
    <t>O0271</t>
  </si>
  <si>
    <t>Cust_270</t>
  </si>
  <si>
    <t>919812</t>
  </si>
  <si>
    <t>O0272</t>
  </si>
  <si>
    <t>Cust_271</t>
  </si>
  <si>
    <t>692131</t>
  </si>
  <si>
    <t>O0273</t>
  </si>
  <si>
    <t>Cust_272</t>
  </si>
  <si>
    <t>939188</t>
  </si>
  <si>
    <t>O0274</t>
  </si>
  <si>
    <t>Cust_273</t>
  </si>
  <si>
    <t>298137</t>
  </si>
  <si>
    <t>O0275</t>
  </si>
  <si>
    <t>Cust_274</t>
  </si>
  <si>
    <t>501220</t>
  </si>
  <si>
    <t>O0276</t>
  </si>
  <si>
    <t>Cust_275</t>
  </si>
  <si>
    <t>619165</t>
  </si>
  <si>
    <t>O0277</t>
  </si>
  <si>
    <t>Cust_276</t>
  </si>
  <si>
    <t>542632</t>
  </si>
  <si>
    <t>O0278</t>
  </si>
  <si>
    <t>Cust_277</t>
  </si>
  <si>
    <t>512104</t>
  </si>
  <si>
    <t>O0279</t>
  </si>
  <si>
    <t>Cust_278</t>
  </si>
  <si>
    <t>887019</t>
  </si>
  <si>
    <t>O0280</t>
  </si>
  <si>
    <t>Cust_279</t>
  </si>
  <si>
    <t>471233</t>
  </si>
  <si>
    <t>O0281</t>
  </si>
  <si>
    <t>Cust_280</t>
  </si>
  <si>
    <t>133866</t>
  </si>
  <si>
    <t>O0282</t>
  </si>
  <si>
    <t>Cust_281</t>
  </si>
  <si>
    <t>533934</t>
  </si>
  <si>
    <t>O0283</t>
  </si>
  <si>
    <t>Cust_282</t>
  </si>
  <si>
    <t>305735</t>
  </si>
  <si>
    <t>O0284</t>
  </si>
  <si>
    <t>Cust_283</t>
  </si>
  <si>
    <t>356190</t>
  </si>
  <si>
    <t>O0285</t>
  </si>
  <si>
    <t>Cust_284</t>
  </si>
  <si>
    <t>679365</t>
  </si>
  <si>
    <t>O0286</t>
  </si>
  <si>
    <t>Cust_285</t>
  </si>
  <si>
    <t>543316</t>
  </si>
  <si>
    <t>O0287</t>
  </si>
  <si>
    <t>Cust_286</t>
  </si>
  <si>
    <t>517168</t>
  </si>
  <si>
    <t>O0288</t>
  </si>
  <si>
    <t>Cust_287</t>
  </si>
  <si>
    <t>973093</t>
  </si>
  <si>
    <t>O0289</t>
  </si>
  <si>
    <t>Cust_288</t>
  </si>
  <si>
    <t>576513</t>
  </si>
  <si>
    <t>O0290</t>
  </si>
  <si>
    <t>Cust_289</t>
  </si>
  <si>
    <t>802098</t>
  </si>
  <si>
    <t>O0291</t>
  </si>
  <si>
    <t>Cust_290</t>
  </si>
  <si>
    <t>423853</t>
  </si>
  <si>
    <t>O0292</t>
  </si>
  <si>
    <t>Cust_291</t>
  </si>
  <si>
    <t>569164</t>
  </si>
  <si>
    <t>O0293</t>
  </si>
  <si>
    <t>Cust_292</t>
  </si>
  <si>
    <t>440754</t>
  </si>
  <si>
    <t>O0294</t>
  </si>
  <si>
    <t>Cust_293</t>
  </si>
  <si>
    <t>935869</t>
  </si>
  <si>
    <t>O0295</t>
  </si>
  <si>
    <t>Cust_294</t>
  </si>
  <si>
    <t>609666</t>
  </si>
  <si>
    <t>O0296</t>
  </si>
  <si>
    <t>Cust_295</t>
  </si>
  <si>
    <t>302435</t>
  </si>
  <si>
    <t>O0297</t>
  </si>
  <si>
    <t>Cust_296</t>
  </si>
  <si>
    <t>163095</t>
  </si>
  <si>
    <t>O0298</t>
  </si>
  <si>
    <t>Cust_297</t>
  </si>
  <si>
    <t>522381</t>
  </si>
  <si>
    <t>O0299</t>
  </si>
  <si>
    <t>Cust_298</t>
  </si>
  <si>
    <t>O0300</t>
  </si>
  <si>
    <t>Cust_299</t>
  </si>
  <si>
    <t>902720</t>
  </si>
  <si>
    <t>O0301</t>
  </si>
  <si>
    <t>237653</t>
  </si>
  <si>
    <t>O0302</t>
  </si>
  <si>
    <t>913081</t>
  </si>
  <si>
    <t>O0303</t>
  </si>
  <si>
    <t>964434</t>
  </si>
  <si>
    <t>O0304</t>
  </si>
  <si>
    <t>330147</t>
  </si>
  <si>
    <t>O0305</t>
  </si>
  <si>
    <t>897622</t>
  </si>
  <si>
    <t>O0306</t>
  </si>
  <si>
    <t>257584</t>
  </si>
  <si>
    <t>O0307</t>
  </si>
  <si>
    <t>O0308</t>
  </si>
  <si>
    <t>981506</t>
  </si>
  <si>
    <t>O0309</t>
  </si>
  <si>
    <t>818675</t>
  </si>
  <si>
    <t>O0310</t>
  </si>
  <si>
    <t>O0311</t>
  </si>
  <si>
    <t>585757</t>
  </si>
  <si>
    <t>O0312</t>
  </si>
  <si>
    <t>628936</t>
  </si>
  <si>
    <t>O0313</t>
  </si>
  <si>
    <t>694316</t>
  </si>
  <si>
    <t>O0314</t>
  </si>
  <si>
    <t>414925</t>
  </si>
  <si>
    <t>O0315</t>
  </si>
  <si>
    <t>668651</t>
  </si>
  <si>
    <t>O0316</t>
  </si>
  <si>
    <t>O0317</t>
  </si>
  <si>
    <t>952694</t>
  </si>
  <si>
    <t>O0318</t>
  </si>
  <si>
    <t>853298</t>
  </si>
  <si>
    <t>O0319</t>
  </si>
  <si>
    <t>988544</t>
  </si>
  <si>
    <t>O0320</t>
  </si>
  <si>
    <t>423494</t>
  </si>
  <si>
    <t>O0321</t>
  </si>
  <si>
    <t>621481</t>
  </si>
  <si>
    <t>O0322</t>
  </si>
  <si>
    <t>205848</t>
  </si>
  <si>
    <t>O0323</t>
  </si>
  <si>
    <t>303047</t>
  </si>
  <si>
    <t>O0324</t>
  </si>
  <si>
    <t>610370</t>
  </si>
  <si>
    <t>O0325</t>
  </si>
  <si>
    <t>743294</t>
  </si>
  <si>
    <t>O0326</t>
  </si>
  <si>
    <t>724411</t>
  </si>
  <si>
    <t>O0327</t>
  </si>
  <si>
    <t>594178</t>
  </si>
  <si>
    <t>O0328</t>
  </si>
  <si>
    <t>986559</t>
  </si>
  <si>
    <t>O0329</t>
  </si>
  <si>
    <t>416456</t>
  </si>
  <si>
    <t>O0330</t>
  </si>
  <si>
    <t>863799</t>
  </si>
  <si>
    <t>O0331</t>
  </si>
  <si>
    <t>168803</t>
  </si>
  <si>
    <t>O0332</t>
  </si>
  <si>
    <t>220234</t>
  </si>
  <si>
    <t>O0333</t>
  </si>
  <si>
    <t>O0334</t>
  </si>
  <si>
    <t>441383</t>
  </si>
  <si>
    <t>O0335</t>
  </si>
  <si>
    <t>630032</t>
  </si>
  <si>
    <t>O0336</t>
  </si>
  <si>
    <t>775159</t>
  </si>
  <si>
    <t>O0337</t>
  </si>
  <si>
    <t>530442</t>
  </si>
  <si>
    <t>O0338</t>
  </si>
  <si>
    <t>572890</t>
  </si>
  <si>
    <t>O0339</t>
  </si>
  <si>
    <t>304923</t>
  </si>
  <si>
    <t>O0340</t>
  </si>
  <si>
    <t>302747</t>
  </si>
  <si>
    <t>O0341</t>
  </si>
  <si>
    <t>159500</t>
  </si>
  <si>
    <t>O0342</t>
  </si>
  <si>
    <t>632844</t>
  </si>
  <si>
    <t>O0343</t>
  </si>
  <si>
    <t>474313</t>
  </si>
  <si>
    <t>O0344</t>
  </si>
  <si>
    <t>847028</t>
  </si>
  <si>
    <t>O0345</t>
  </si>
  <si>
    <t>971808</t>
  </si>
  <si>
    <t>O0346</t>
  </si>
  <si>
    <t>662060</t>
  </si>
  <si>
    <t>O0347</t>
  </si>
  <si>
    <t>943601</t>
  </si>
  <si>
    <t>O0348</t>
  </si>
  <si>
    <t>184754</t>
  </si>
  <si>
    <t>O0349</t>
  </si>
  <si>
    <t>O0350</t>
  </si>
  <si>
    <t>888140</t>
  </si>
  <si>
    <t>O0351</t>
  </si>
  <si>
    <t>126086</t>
  </si>
  <si>
    <t>O0352</t>
  </si>
  <si>
    <t>638181</t>
  </si>
  <si>
    <t>O0353</t>
  </si>
  <si>
    <t>815371</t>
  </si>
  <si>
    <t>O0354</t>
  </si>
  <si>
    <t>521280</t>
  </si>
  <si>
    <t>O0355</t>
  </si>
  <si>
    <t>244063</t>
  </si>
  <si>
    <t>O0356</t>
  </si>
  <si>
    <t>514299</t>
  </si>
  <si>
    <t>O0357</t>
  </si>
  <si>
    <t>928294</t>
  </si>
  <si>
    <t>O0358</t>
  </si>
  <si>
    <t>908258</t>
  </si>
  <si>
    <t>O0359</t>
  </si>
  <si>
    <t>281948</t>
  </si>
  <si>
    <t>O0360</t>
  </si>
  <si>
    <t>440093</t>
  </si>
  <si>
    <t>O0361</t>
  </si>
  <si>
    <t>939319</t>
  </si>
  <si>
    <t>O0362</t>
  </si>
  <si>
    <t>418766</t>
  </si>
  <si>
    <t>O0363</t>
  </si>
  <si>
    <t>731040</t>
  </si>
  <si>
    <t>O0364</t>
  </si>
  <si>
    <t>O0365</t>
  </si>
  <si>
    <t>141869</t>
  </si>
  <si>
    <t>O0366</t>
  </si>
  <si>
    <t>684054</t>
  </si>
  <si>
    <t>O0367</t>
  </si>
  <si>
    <t>987291</t>
  </si>
  <si>
    <t>O0368</t>
  </si>
  <si>
    <t>223853</t>
  </si>
  <si>
    <t>O0369</t>
  </si>
  <si>
    <t>954336</t>
  </si>
  <si>
    <t>O0370</t>
  </si>
  <si>
    <t>222258</t>
  </si>
  <si>
    <t>O0371</t>
  </si>
  <si>
    <t>662621</t>
  </si>
  <si>
    <t>O0372</t>
  </si>
  <si>
    <t>649523</t>
  </si>
  <si>
    <t>O0373</t>
  </si>
  <si>
    <t>247309</t>
  </si>
  <si>
    <t>O0374</t>
  </si>
  <si>
    <t>287450</t>
  </si>
  <si>
    <t>O0375</t>
  </si>
  <si>
    <t>859710</t>
  </si>
  <si>
    <t>O0376</t>
  </si>
  <si>
    <t>279838</t>
  </si>
  <si>
    <t>O0377</t>
  </si>
  <si>
    <t>913349</t>
  </si>
  <si>
    <t>O0378</t>
  </si>
  <si>
    <t>468266</t>
  </si>
  <si>
    <t>O0379</t>
  </si>
  <si>
    <t>884282</t>
  </si>
  <si>
    <t>O0380</t>
  </si>
  <si>
    <t>233296</t>
  </si>
  <si>
    <t>O0381</t>
  </si>
  <si>
    <t>865348</t>
  </si>
  <si>
    <t>O0382</t>
  </si>
  <si>
    <t>O0383</t>
  </si>
  <si>
    <t>985258</t>
  </si>
  <si>
    <t>O0384</t>
  </si>
  <si>
    <t>367986</t>
  </si>
  <si>
    <t>O0385</t>
  </si>
  <si>
    <t>253077</t>
  </si>
  <si>
    <t>O0386</t>
  </si>
  <si>
    <t>691202</t>
  </si>
  <si>
    <t>O0387</t>
  </si>
  <si>
    <t>102257</t>
  </si>
  <si>
    <t>O0388</t>
  </si>
  <si>
    <t>443567</t>
  </si>
  <si>
    <t>O0389</t>
  </si>
  <si>
    <t>438540</t>
  </si>
  <si>
    <t>O0390</t>
  </si>
  <si>
    <t>409521</t>
  </si>
  <si>
    <t>O0391</t>
  </si>
  <si>
    <t>416480</t>
  </si>
  <si>
    <t>O0392</t>
  </si>
  <si>
    <t>241365</t>
  </si>
  <si>
    <t>O0393</t>
  </si>
  <si>
    <t>341225</t>
  </si>
  <si>
    <t>O0394</t>
  </si>
  <si>
    <t>807173</t>
  </si>
  <si>
    <t>O0395</t>
  </si>
  <si>
    <t>756761</t>
  </si>
  <si>
    <t>O0396</t>
  </si>
  <si>
    <t>464662</t>
  </si>
  <si>
    <t>O0397</t>
  </si>
  <si>
    <t>832763</t>
  </si>
  <si>
    <t>O0398</t>
  </si>
  <si>
    <t>980006</t>
  </si>
  <si>
    <t>O0399</t>
  </si>
  <si>
    <t>811028</t>
  </si>
  <si>
    <t>O0400</t>
  </si>
  <si>
    <t>284626</t>
  </si>
  <si>
    <t>O0401</t>
  </si>
  <si>
    <t>O0402</t>
  </si>
  <si>
    <t>192769</t>
  </si>
  <si>
    <t>O0403</t>
  </si>
  <si>
    <t>860278</t>
  </si>
  <si>
    <t>O0404</t>
  </si>
  <si>
    <t>623406</t>
  </si>
  <si>
    <t>O0405</t>
  </si>
  <si>
    <t>269530</t>
  </si>
  <si>
    <t>O0406</t>
  </si>
  <si>
    <t>526009</t>
  </si>
  <si>
    <t>O0407</t>
  </si>
  <si>
    <t>O0408</t>
  </si>
  <si>
    <t>656718</t>
  </si>
  <si>
    <t>O0409</t>
  </si>
  <si>
    <t>118990</t>
  </si>
  <si>
    <t>O0410</t>
  </si>
  <si>
    <t>593216</t>
  </si>
  <si>
    <t>O0411</t>
  </si>
  <si>
    <t>184703</t>
  </si>
  <si>
    <t>O0412</t>
  </si>
  <si>
    <t>O0413</t>
  </si>
  <si>
    <t>953900</t>
  </si>
  <si>
    <t>O0414</t>
  </si>
  <si>
    <t>667815</t>
  </si>
  <si>
    <t>O0415</t>
  </si>
  <si>
    <t>375011</t>
  </si>
  <si>
    <t>O0416</t>
  </si>
  <si>
    <t>950193</t>
  </si>
  <si>
    <t>O0417</t>
  </si>
  <si>
    <t>360220</t>
  </si>
  <si>
    <t>O0418</t>
  </si>
  <si>
    <t>316204</t>
  </si>
  <si>
    <t>O0419</t>
  </si>
  <si>
    <t>524528</t>
  </si>
  <si>
    <t>O0420</t>
  </si>
  <si>
    <t>599797</t>
  </si>
  <si>
    <t>O0421</t>
  </si>
  <si>
    <t>511236</t>
  </si>
  <si>
    <t>O0422</t>
  </si>
  <si>
    <t>470858</t>
  </si>
  <si>
    <t>O0423</t>
  </si>
  <si>
    <t>858108</t>
  </si>
  <si>
    <t>O0424</t>
  </si>
  <si>
    <t>168323</t>
  </si>
  <si>
    <t>O0425</t>
  </si>
  <si>
    <t>155841</t>
  </si>
  <si>
    <t>O0426</t>
  </si>
  <si>
    <t>103696</t>
  </si>
  <si>
    <t>O0427</t>
  </si>
  <si>
    <t>939953</t>
  </si>
  <si>
    <t>O0428</t>
  </si>
  <si>
    <t>867876</t>
  </si>
  <si>
    <t>O0429</t>
  </si>
  <si>
    <t>440676</t>
  </si>
  <si>
    <t>O0430</t>
  </si>
  <si>
    <t>208946</t>
  </si>
  <si>
    <t>O0431</t>
  </si>
  <si>
    <t>728889</t>
  </si>
  <si>
    <t>O0432</t>
  </si>
  <si>
    <t>882215</t>
  </si>
  <si>
    <t>O0433</t>
  </si>
  <si>
    <t>507085</t>
  </si>
  <si>
    <t>O0434</t>
  </si>
  <si>
    <t>471994</t>
  </si>
  <si>
    <t>O0435</t>
  </si>
  <si>
    <t>247745</t>
  </si>
  <si>
    <t>O0436</t>
  </si>
  <si>
    <t>870326</t>
  </si>
  <si>
    <t>O0437</t>
  </si>
  <si>
    <t>812509</t>
  </si>
  <si>
    <t>O0438</t>
  </si>
  <si>
    <t>863529</t>
  </si>
  <si>
    <t>O0439</t>
  </si>
  <si>
    <t>924834</t>
  </si>
  <si>
    <t>O0440</t>
  </si>
  <si>
    <t>253484</t>
  </si>
  <si>
    <t>O0441</t>
  </si>
  <si>
    <t>768516</t>
  </si>
  <si>
    <t>O0442</t>
  </si>
  <si>
    <t>238286</t>
  </si>
  <si>
    <t>O0443</t>
  </si>
  <si>
    <t>904807</t>
  </si>
  <si>
    <t>O0444</t>
  </si>
  <si>
    <t>305776</t>
  </si>
  <si>
    <t>O0445</t>
  </si>
  <si>
    <t>441102</t>
  </si>
  <si>
    <t>O0446</t>
  </si>
  <si>
    <t>701891</t>
  </si>
  <si>
    <t>O0447</t>
  </si>
  <si>
    <t>907015</t>
  </si>
  <si>
    <t>O0448</t>
  </si>
  <si>
    <t>726256</t>
  </si>
  <si>
    <t>O0449</t>
  </si>
  <si>
    <t>142291</t>
  </si>
  <si>
    <t>O0450</t>
  </si>
  <si>
    <t>729698</t>
  </si>
  <si>
    <t>O0451</t>
  </si>
  <si>
    <t>396063</t>
  </si>
  <si>
    <t>O0452</t>
  </si>
  <si>
    <t>471513</t>
  </si>
  <si>
    <t>O0453</t>
  </si>
  <si>
    <t>694821</t>
  </si>
  <si>
    <t>O0454</t>
  </si>
  <si>
    <t>755348</t>
  </si>
  <si>
    <t>O0455</t>
  </si>
  <si>
    <t>461447</t>
  </si>
  <si>
    <t>O0456</t>
  </si>
  <si>
    <t>746238</t>
  </si>
  <si>
    <t>O0457</t>
  </si>
  <si>
    <t>119477</t>
  </si>
  <si>
    <t>O0458</t>
  </si>
  <si>
    <t>505105</t>
  </si>
  <si>
    <t>O0459</t>
  </si>
  <si>
    <t>345300</t>
  </si>
  <si>
    <t>O0460</t>
  </si>
  <si>
    <t>335419</t>
  </si>
  <si>
    <t>O0461</t>
  </si>
  <si>
    <t>709312</t>
  </si>
  <si>
    <t>O0462</t>
  </si>
  <si>
    <t>317813</t>
  </si>
  <si>
    <t>O0463</t>
  </si>
  <si>
    <t>932595</t>
  </si>
  <si>
    <t>O0464</t>
  </si>
  <si>
    <t>619570</t>
  </si>
  <si>
    <t>O0465</t>
  </si>
  <si>
    <t>676201</t>
  </si>
  <si>
    <t>O0466</t>
  </si>
  <si>
    <t>861401</t>
  </si>
  <si>
    <t>O0467</t>
  </si>
  <si>
    <t>480634</t>
  </si>
  <si>
    <t>O0468</t>
  </si>
  <si>
    <t>145833</t>
  </si>
  <si>
    <t>O0469</t>
  </si>
  <si>
    <t>564507</t>
  </si>
  <si>
    <t>O0470</t>
  </si>
  <si>
    <t>719164</t>
  </si>
  <si>
    <t>O0471</t>
  </si>
  <si>
    <t>588019</t>
  </si>
  <si>
    <t>O0472</t>
  </si>
  <si>
    <t>473216</t>
  </si>
  <si>
    <t>O0473</t>
  </si>
  <si>
    <t>530179</t>
  </si>
  <si>
    <t>O0474</t>
  </si>
  <si>
    <t>461719</t>
  </si>
  <si>
    <t>O0475</t>
  </si>
  <si>
    <t>941708</t>
  </si>
  <si>
    <t>O0476</t>
  </si>
  <si>
    <t>838096</t>
  </si>
  <si>
    <t>O0477</t>
  </si>
  <si>
    <t>375049</t>
  </si>
  <si>
    <t>O0478</t>
  </si>
  <si>
    <t>471344</t>
  </si>
  <si>
    <t>O0479</t>
  </si>
  <si>
    <t>359480</t>
  </si>
  <si>
    <t>O0480</t>
  </si>
  <si>
    <t>233498</t>
  </si>
  <si>
    <t>O0481</t>
  </si>
  <si>
    <t>818316</t>
  </si>
  <si>
    <t>O0482</t>
  </si>
  <si>
    <t>O0483</t>
  </si>
  <si>
    <t>333540</t>
  </si>
  <si>
    <t>O0484</t>
  </si>
  <si>
    <t>281561</t>
  </si>
  <si>
    <t>O0485</t>
  </si>
  <si>
    <t>500826</t>
  </si>
  <si>
    <t>O0486</t>
  </si>
  <si>
    <t>462441</t>
  </si>
  <si>
    <t>O0487</t>
  </si>
  <si>
    <t>182409</t>
  </si>
  <si>
    <t>O0488</t>
  </si>
  <si>
    <t>108024</t>
  </si>
  <si>
    <t>O0489</t>
  </si>
  <si>
    <t>243927</t>
  </si>
  <si>
    <t>O0490</t>
  </si>
  <si>
    <t>497674</t>
  </si>
  <si>
    <t>O0491</t>
  </si>
  <si>
    <t>105668</t>
  </si>
  <si>
    <t>O0492</t>
  </si>
  <si>
    <t>730421</t>
  </si>
  <si>
    <t>O0493</t>
  </si>
  <si>
    <t>188835</t>
  </si>
  <si>
    <t>O0494</t>
  </si>
  <si>
    <t>824174</t>
  </si>
  <si>
    <t>O0495</t>
  </si>
  <si>
    <t>468760</t>
  </si>
  <si>
    <t>O0496</t>
  </si>
  <si>
    <t>409550</t>
  </si>
  <si>
    <t>O0497</t>
  </si>
  <si>
    <t>752416</t>
  </si>
  <si>
    <t>O0498</t>
  </si>
  <si>
    <t>776585</t>
  </si>
  <si>
    <t>O0499</t>
  </si>
  <si>
    <t>900819</t>
  </si>
  <si>
    <t>O0500</t>
  </si>
  <si>
    <t>865791</t>
  </si>
  <si>
    <t>O0501</t>
  </si>
  <si>
    <t>524032</t>
  </si>
  <si>
    <t>O0502</t>
  </si>
  <si>
    <t>O0503</t>
  </si>
  <si>
    <t>526070</t>
  </si>
  <si>
    <t>O0504</t>
  </si>
  <si>
    <t>106968</t>
  </si>
  <si>
    <t>O0505</t>
  </si>
  <si>
    <t>613942</t>
  </si>
  <si>
    <t>O0506</t>
  </si>
  <si>
    <t>747652</t>
  </si>
  <si>
    <t>O0507</t>
  </si>
  <si>
    <t>694557</t>
  </si>
  <si>
    <t>O0508</t>
  </si>
  <si>
    <t>930371</t>
  </si>
  <si>
    <t>O0509</t>
  </si>
  <si>
    <t>407086</t>
  </si>
  <si>
    <t>O0510</t>
  </si>
  <si>
    <t>894760</t>
  </si>
  <si>
    <t>O0511</t>
  </si>
  <si>
    <t>858761</t>
  </si>
  <si>
    <t>O0512</t>
  </si>
  <si>
    <t>333612</t>
  </si>
  <si>
    <t>O0513</t>
  </si>
  <si>
    <t>170463</t>
  </si>
  <si>
    <t>O0514</t>
  </si>
  <si>
    <t>O0515</t>
  </si>
  <si>
    <t>755129</t>
  </si>
  <si>
    <t>O0516</t>
  </si>
  <si>
    <t>747418</t>
  </si>
  <si>
    <t>O0517</t>
  </si>
  <si>
    <t>766015</t>
  </si>
  <si>
    <t>O0518</t>
  </si>
  <si>
    <t>336187</t>
  </si>
  <si>
    <t>O0519</t>
  </si>
  <si>
    <t>912395</t>
  </si>
  <si>
    <t>O0520</t>
  </si>
  <si>
    <t>373820</t>
  </si>
  <si>
    <t>O0521</t>
  </si>
  <si>
    <t>406093</t>
  </si>
  <si>
    <t>O0522</t>
  </si>
  <si>
    <t>616479</t>
  </si>
  <si>
    <t>O0523</t>
  </si>
  <si>
    <t>851731</t>
  </si>
  <si>
    <t>O0524</t>
  </si>
  <si>
    <t>892908</t>
  </si>
  <si>
    <t>O0525</t>
  </si>
  <si>
    <t>703986</t>
  </si>
  <si>
    <t>O0526</t>
  </si>
  <si>
    <t>573146</t>
  </si>
  <si>
    <t>O0527</t>
  </si>
  <si>
    <t>450067</t>
  </si>
  <si>
    <t>O0528</t>
  </si>
  <si>
    <t>901115</t>
  </si>
  <si>
    <t>O0529</t>
  </si>
  <si>
    <t>440686</t>
  </si>
  <si>
    <t>O0530</t>
  </si>
  <si>
    <t>263244</t>
  </si>
  <si>
    <t>O0531</t>
  </si>
  <si>
    <t>906608</t>
  </si>
  <si>
    <t>O0532</t>
  </si>
  <si>
    <t>748456</t>
  </si>
  <si>
    <t>O0533</t>
  </si>
  <si>
    <t>347572</t>
  </si>
  <si>
    <t>O0534</t>
  </si>
  <si>
    <t>712084</t>
  </si>
  <si>
    <t>O0535</t>
  </si>
  <si>
    <t>554151</t>
  </si>
  <si>
    <t>O0536</t>
  </si>
  <si>
    <t>395866</t>
  </si>
  <si>
    <t>O0537</t>
  </si>
  <si>
    <t>389360</t>
  </si>
  <si>
    <t>O0538</t>
  </si>
  <si>
    <t>524671</t>
  </si>
  <si>
    <t>O0539</t>
  </si>
  <si>
    <t>726926</t>
  </si>
  <si>
    <t>O0540</t>
  </si>
  <si>
    <t>137019</t>
  </si>
  <si>
    <t>O0541</t>
  </si>
  <si>
    <t>258598</t>
  </si>
  <si>
    <t>O0542</t>
  </si>
  <si>
    <t>929827</t>
  </si>
  <si>
    <t>O0543</t>
  </si>
  <si>
    <t>915495</t>
  </si>
  <si>
    <t>O0544</t>
  </si>
  <si>
    <t>526673</t>
  </si>
  <si>
    <t>O0545</t>
  </si>
  <si>
    <t>452156</t>
  </si>
  <si>
    <t>O0546</t>
  </si>
  <si>
    <t>967591</t>
  </si>
  <si>
    <t>O0547</t>
  </si>
  <si>
    <t>543842</t>
  </si>
  <si>
    <t>O0548</t>
  </si>
  <si>
    <t>998035</t>
  </si>
  <si>
    <t>O0549</t>
  </si>
  <si>
    <t>293839</t>
  </si>
  <si>
    <t>O0550</t>
  </si>
  <si>
    <t>799746</t>
  </si>
  <si>
    <t>O0551</t>
  </si>
  <si>
    <t>196393</t>
  </si>
  <si>
    <t>O0552</t>
  </si>
  <si>
    <t>622313</t>
  </si>
  <si>
    <t>O0553</t>
  </si>
  <si>
    <t>839538</t>
  </si>
  <si>
    <t>O0554</t>
  </si>
  <si>
    <t>301604</t>
  </si>
  <si>
    <t>O0555</t>
  </si>
  <si>
    <t>704056</t>
  </si>
  <si>
    <t>O0556</t>
  </si>
  <si>
    <t>425329</t>
  </si>
  <si>
    <t>O0557</t>
  </si>
  <si>
    <t>591006</t>
  </si>
  <si>
    <t>O0558</t>
  </si>
  <si>
    <t>362091</t>
  </si>
  <si>
    <t>O0559</t>
  </si>
  <si>
    <t>997116</t>
  </si>
  <si>
    <t>O0560</t>
  </si>
  <si>
    <t>236285</t>
  </si>
  <si>
    <t>O0561</t>
  </si>
  <si>
    <t>808387</t>
  </si>
  <si>
    <t>O0562</t>
  </si>
  <si>
    <t>908871</t>
  </si>
  <si>
    <t>O0563</t>
  </si>
  <si>
    <t>776479</t>
  </si>
  <si>
    <t>O0564</t>
  </si>
  <si>
    <t>515466</t>
  </si>
  <si>
    <t>O0565</t>
  </si>
  <si>
    <t>205686</t>
  </si>
  <si>
    <t>O0566</t>
  </si>
  <si>
    <t>798148</t>
  </si>
  <si>
    <t>O0567</t>
  </si>
  <si>
    <t>240148</t>
  </si>
  <si>
    <t>O0568</t>
  </si>
  <si>
    <t>490452</t>
  </si>
  <si>
    <t>O0569</t>
  </si>
  <si>
    <t>585651</t>
  </si>
  <si>
    <t>O0570</t>
  </si>
  <si>
    <t>857634</t>
  </si>
  <si>
    <t>O0571</t>
  </si>
  <si>
    <t>273115</t>
  </si>
  <si>
    <t>O0572</t>
  </si>
  <si>
    <t>813340</t>
  </si>
  <si>
    <t>O0573</t>
  </si>
  <si>
    <t>897124</t>
  </si>
  <si>
    <t>O0574</t>
  </si>
  <si>
    <t>971535</t>
  </si>
  <si>
    <t>O0575</t>
  </si>
  <si>
    <t>578454</t>
  </si>
  <si>
    <t>O0576</t>
  </si>
  <si>
    <t>870824</t>
  </si>
  <si>
    <t>O0577</t>
  </si>
  <si>
    <t>416363</t>
  </si>
  <si>
    <t>O0578</t>
  </si>
  <si>
    <t>269934</t>
  </si>
  <si>
    <t>O0579</t>
  </si>
  <si>
    <t>201407</t>
  </si>
  <si>
    <t>O0580</t>
  </si>
  <si>
    <t>311144</t>
  </si>
  <si>
    <t>O0581</t>
  </si>
  <si>
    <t>630875</t>
  </si>
  <si>
    <t>O0582</t>
  </si>
  <si>
    <t>657242</t>
  </si>
  <si>
    <t>O0583</t>
  </si>
  <si>
    <t>223728</t>
  </si>
  <si>
    <t>O0584</t>
  </si>
  <si>
    <t>907221</t>
  </si>
  <si>
    <t>O0585</t>
  </si>
  <si>
    <t>733676</t>
  </si>
  <si>
    <t>O0586</t>
  </si>
  <si>
    <t>154722</t>
  </si>
  <si>
    <t>O0587</t>
  </si>
  <si>
    <t>O0588</t>
  </si>
  <si>
    <t>958823</t>
  </si>
  <si>
    <t>O0589</t>
  </si>
  <si>
    <t>972834</t>
  </si>
  <si>
    <t>O0590</t>
  </si>
  <si>
    <t>744894</t>
  </si>
  <si>
    <t>O0591</t>
  </si>
  <si>
    <t>915869</t>
  </si>
  <si>
    <t>O0592</t>
  </si>
  <si>
    <t>373813</t>
  </si>
  <si>
    <t>O0593</t>
  </si>
  <si>
    <t>624624</t>
  </si>
  <si>
    <t>O0594</t>
  </si>
  <si>
    <t>116279</t>
  </si>
  <si>
    <t>O0595</t>
  </si>
  <si>
    <t>985050</t>
  </si>
  <si>
    <t>O0596</t>
  </si>
  <si>
    <t>337723</t>
  </si>
  <si>
    <t>O0597</t>
  </si>
  <si>
    <t>297478</t>
  </si>
  <si>
    <t>O0598</t>
  </si>
  <si>
    <t>789245</t>
  </si>
  <si>
    <t>O0599</t>
  </si>
  <si>
    <t>455239</t>
  </si>
  <si>
    <t>O0600</t>
  </si>
  <si>
    <t>479593</t>
  </si>
  <si>
    <t>O0601</t>
  </si>
  <si>
    <t>917459</t>
  </si>
  <si>
    <t>O0602</t>
  </si>
  <si>
    <t>846760</t>
  </si>
  <si>
    <t>O0603</t>
  </si>
  <si>
    <t>189037</t>
  </si>
  <si>
    <t>O0604</t>
  </si>
  <si>
    <t>259882</t>
  </si>
  <si>
    <t>O0605</t>
  </si>
  <si>
    <t>O0606</t>
  </si>
  <si>
    <t>780428</t>
  </si>
  <si>
    <t>O0607</t>
  </si>
  <si>
    <t>470608</t>
  </si>
  <si>
    <t>O0608</t>
  </si>
  <si>
    <t>848692</t>
  </si>
  <si>
    <t>O0609</t>
  </si>
  <si>
    <t>371365</t>
  </si>
  <si>
    <t>O0610</t>
  </si>
  <si>
    <t>701206</t>
  </si>
  <si>
    <t>O0611</t>
  </si>
  <si>
    <t>326572</t>
  </si>
  <si>
    <t>O0612</t>
  </si>
  <si>
    <t>O0613</t>
  </si>
  <si>
    <t>452103</t>
  </si>
  <si>
    <t>O0614</t>
  </si>
  <si>
    <t>899687</t>
  </si>
  <si>
    <t>O0615</t>
  </si>
  <si>
    <t>485946</t>
  </si>
  <si>
    <t>O0616</t>
  </si>
  <si>
    <t>892130</t>
  </si>
  <si>
    <t>O0617</t>
  </si>
  <si>
    <t>961465</t>
  </si>
  <si>
    <t>O0618</t>
  </si>
  <si>
    <t>368449</t>
  </si>
  <si>
    <t>O0619</t>
  </si>
  <si>
    <t>746275</t>
  </si>
  <si>
    <t>O0620</t>
  </si>
  <si>
    <t>251426</t>
  </si>
  <si>
    <t>O0621</t>
  </si>
  <si>
    <t>177525</t>
  </si>
  <si>
    <t>O0622</t>
  </si>
  <si>
    <t>544709</t>
  </si>
  <si>
    <t>O0623</t>
  </si>
  <si>
    <t>524724</t>
  </si>
  <si>
    <t>O0624</t>
  </si>
  <si>
    <t>397584</t>
  </si>
  <si>
    <t>O0625</t>
  </si>
  <si>
    <t>306486</t>
  </si>
  <si>
    <t>O0626</t>
  </si>
  <si>
    <t>677880</t>
  </si>
  <si>
    <t>O0627</t>
  </si>
  <si>
    <t>343767</t>
  </si>
  <si>
    <t>O0628</t>
  </si>
  <si>
    <t>510184</t>
  </si>
  <si>
    <t>O0629</t>
  </si>
  <si>
    <t>380539</t>
  </si>
  <si>
    <t>O0630</t>
  </si>
  <si>
    <t>543258</t>
  </si>
  <si>
    <t>O0631</t>
  </si>
  <si>
    <t>342934</t>
  </si>
  <si>
    <t>O0632</t>
  </si>
  <si>
    <t>962318</t>
  </si>
  <si>
    <t>O0633</t>
  </si>
  <si>
    <t>434517</t>
  </si>
  <si>
    <t>O0634</t>
  </si>
  <si>
    <t>147111</t>
  </si>
  <si>
    <t>O0635</t>
  </si>
  <si>
    <t>702960</t>
  </si>
  <si>
    <t>O0636</t>
  </si>
  <si>
    <t>341084</t>
  </si>
  <si>
    <t>O0637</t>
  </si>
  <si>
    <t>699792</t>
  </si>
  <si>
    <t>O0638</t>
  </si>
  <si>
    <t>768629</t>
  </si>
  <si>
    <t>O0639</t>
  </si>
  <si>
    <t>170021</t>
  </si>
  <si>
    <t>O0640</t>
  </si>
  <si>
    <t>437283</t>
  </si>
  <si>
    <t>O0641</t>
  </si>
  <si>
    <t>500782</t>
  </si>
  <si>
    <t>O0642</t>
  </si>
  <si>
    <t>713712</t>
  </si>
  <si>
    <t>O0643</t>
  </si>
  <si>
    <t>409143</t>
  </si>
  <si>
    <t>O0644</t>
  </si>
  <si>
    <t>543441</t>
  </si>
  <si>
    <t>O0645</t>
  </si>
  <si>
    <t>816741</t>
  </si>
  <si>
    <t>O0646</t>
  </si>
  <si>
    <t>854471</t>
  </si>
  <si>
    <t>O0647</t>
  </si>
  <si>
    <t>244771</t>
  </si>
  <si>
    <t>O0648</t>
  </si>
  <si>
    <t>390951</t>
  </si>
  <si>
    <t>O0649</t>
  </si>
  <si>
    <t>365702</t>
  </si>
  <si>
    <t>O0650</t>
  </si>
  <si>
    <t>158219</t>
  </si>
  <si>
    <t>O0651</t>
  </si>
  <si>
    <t>652165</t>
  </si>
  <si>
    <t>O0652</t>
  </si>
  <si>
    <t>247878</t>
  </si>
  <si>
    <t>O0653</t>
  </si>
  <si>
    <t>927679</t>
  </si>
  <si>
    <t>O0654</t>
  </si>
  <si>
    <t>870655</t>
  </si>
  <si>
    <t>O0655</t>
  </si>
  <si>
    <t>211426</t>
  </si>
  <si>
    <t>O0656</t>
  </si>
  <si>
    <t>834595</t>
  </si>
  <si>
    <t>O0657</t>
  </si>
  <si>
    <t>936309</t>
  </si>
  <si>
    <t>O0658</t>
  </si>
  <si>
    <t>382579</t>
  </si>
  <si>
    <t>O0659</t>
  </si>
  <si>
    <t>425137</t>
  </si>
  <si>
    <t>O0660</t>
  </si>
  <si>
    <t>834276</t>
  </si>
  <si>
    <t>O0661</t>
  </si>
  <si>
    <t>856079</t>
  </si>
  <si>
    <t>O0662</t>
  </si>
  <si>
    <t>715416</t>
  </si>
  <si>
    <t>O0663</t>
  </si>
  <si>
    <t>831234</t>
  </si>
  <si>
    <t>O0664</t>
  </si>
  <si>
    <t>448844</t>
  </si>
  <si>
    <t>O0665</t>
  </si>
  <si>
    <t>465898</t>
  </si>
  <si>
    <t>O0666</t>
  </si>
  <si>
    <t>477844</t>
  </si>
  <si>
    <t>O0667</t>
  </si>
  <si>
    <t>327203</t>
  </si>
  <si>
    <t>O0668</t>
  </si>
  <si>
    <t>760046</t>
  </si>
  <si>
    <t>O0669</t>
  </si>
  <si>
    <t>866843</t>
  </si>
  <si>
    <t>O0670</t>
  </si>
  <si>
    <t>539358</t>
  </si>
  <si>
    <t>O0671</t>
  </si>
  <si>
    <t>456427</t>
  </si>
  <si>
    <t>O0672</t>
  </si>
  <si>
    <t>215657</t>
  </si>
  <si>
    <t>O0673</t>
  </si>
  <si>
    <t>841570</t>
  </si>
  <si>
    <t>O0674</t>
  </si>
  <si>
    <t>899180</t>
  </si>
  <si>
    <t>O0675</t>
  </si>
  <si>
    <t>180152</t>
  </si>
  <si>
    <t>O0676</t>
  </si>
  <si>
    <t>141743</t>
  </si>
  <si>
    <t>O0677</t>
  </si>
  <si>
    <t>426284</t>
  </si>
  <si>
    <t>O0678</t>
  </si>
  <si>
    <t>821827</t>
  </si>
  <si>
    <t>O0679</t>
  </si>
  <si>
    <t>688216</t>
  </si>
  <si>
    <t>O0680</t>
  </si>
  <si>
    <t>778525</t>
  </si>
  <si>
    <t>O0681</t>
  </si>
  <si>
    <t>684668</t>
  </si>
  <si>
    <t>O0682</t>
  </si>
  <si>
    <t>600201</t>
  </si>
  <si>
    <t>O0683</t>
  </si>
  <si>
    <t>110068</t>
  </si>
  <si>
    <t>O0684</t>
  </si>
  <si>
    <t>886719</t>
  </si>
  <si>
    <t>O0685</t>
  </si>
  <si>
    <t>468655</t>
  </si>
  <si>
    <t>O0686</t>
  </si>
  <si>
    <t>878580</t>
  </si>
  <si>
    <t>O0687</t>
  </si>
  <si>
    <t>O0688</t>
  </si>
  <si>
    <t>840122</t>
  </si>
  <si>
    <t>O0689</t>
  </si>
  <si>
    <t>245281</t>
  </si>
  <si>
    <t>O0690</t>
  </si>
  <si>
    <t>464315</t>
  </si>
  <si>
    <t>O0691</t>
  </si>
  <si>
    <t>133783</t>
  </si>
  <si>
    <t>O0692</t>
  </si>
  <si>
    <t>O0693</t>
  </si>
  <si>
    <t>154745</t>
  </si>
  <si>
    <t>O0694</t>
  </si>
  <si>
    <t>121067</t>
  </si>
  <si>
    <t>O0695</t>
  </si>
  <si>
    <t>312603</t>
  </si>
  <si>
    <t>O0696</t>
  </si>
  <si>
    <t>O0697</t>
  </si>
  <si>
    <t>656371</t>
  </si>
  <si>
    <t>O0698</t>
  </si>
  <si>
    <t>242157</t>
  </si>
  <si>
    <t>O0699</t>
  </si>
  <si>
    <t>236645</t>
  </si>
  <si>
    <t>O0700</t>
  </si>
  <si>
    <t>651852</t>
  </si>
  <si>
    <t>O0701</t>
  </si>
  <si>
    <t>682111</t>
  </si>
  <si>
    <t>O0702</t>
  </si>
  <si>
    <t>700724</t>
  </si>
  <si>
    <t>O0703</t>
  </si>
  <si>
    <t>172684</t>
  </si>
  <si>
    <t>O0704</t>
  </si>
  <si>
    <t>893070</t>
  </si>
  <si>
    <t>O0705</t>
  </si>
  <si>
    <t>837651</t>
  </si>
  <si>
    <t>O0706</t>
  </si>
  <si>
    <t>472818</t>
  </si>
  <si>
    <t>O0707</t>
  </si>
  <si>
    <t>513461</t>
  </si>
  <si>
    <t>O0708</t>
  </si>
  <si>
    <t>697578</t>
  </si>
  <si>
    <t>O0709</t>
  </si>
  <si>
    <t>991490</t>
  </si>
  <si>
    <t>O0710</t>
  </si>
  <si>
    <t>597488</t>
  </si>
  <si>
    <t>O0711</t>
  </si>
  <si>
    <t>331452</t>
  </si>
  <si>
    <t>O0712</t>
  </si>
  <si>
    <t>369515</t>
  </si>
  <si>
    <t>O0713</t>
  </si>
  <si>
    <t>343459</t>
  </si>
  <si>
    <t>O0714</t>
  </si>
  <si>
    <t>577294</t>
  </si>
  <si>
    <t>O0715</t>
  </si>
  <si>
    <t>972391</t>
  </si>
  <si>
    <t>O0716</t>
  </si>
  <si>
    <t>294999</t>
  </si>
  <si>
    <t>O0717</t>
  </si>
  <si>
    <t>438585</t>
  </si>
  <si>
    <t>O0718</t>
  </si>
  <si>
    <t>592461</t>
  </si>
  <si>
    <t>O0719</t>
  </si>
  <si>
    <t>572295</t>
  </si>
  <si>
    <t>O0720</t>
  </si>
  <si>
    <t>832722</t>
  </si>
  <si>
    <t>O0721</t>
  </si>
  <si>
    <t>944156</t>
  </si>
  <si>
    <t>O0722</t>
  </si>
  <si>
    <t>442022</t>
  </si>
  <si>
    <t>O0723</t>
  </si>
  <si>
    <t>867976</t>
  </si>
  <si>
    <t>O0724</t>
  </si>
  <si>
    <t>510520</t>
  </si>
  <si>
    <t>O0725</t>
  </si>
  <si>
    <t>258477</t>
  </si>
  <si>
    <t>O0726</t>
  </si>
  <si>
    <t>901125</t>
  </si>
  <si>
    <t>O0727</t>
  </si>
  <si>
    <t>O0728</t>
  </si>
  <si>
    <t>379720</t>
  </si>
  <si>
    <t>O0729</t>
  </si>
  <si>
    <t>O0730</t>
  </si>
  <si>
    <t>594080</t>
  </si>
  <si>
    <t>O0731</t>
  </si>
  <si>
    <t>412579</t>
  </si>
  <si>
    <t>O0732</t>
  </si>
  <si>
    <t>982876</t>
  </si>
  <si>
    <t>O0733</t>
  </si>
  <si>
    <t>859066</t>
  </si>
  <si>
    <t>O0734</t>
  </si>
  <si>
    <t>886939</t>
  </si>
  <si>
    <t>O0735</t>
  </si>
  <si>
    <t>762714</t>
  </si>
  <si>
    <t>O0736</t>
  </si>
  <si>
    <t>566589</t>
  </si>
  <si>
    <t>O0737</t>
  </si>
  <si>
    <t>270205</t>
  </si>
  <si>
    <t>O0738</t>
  </si>
  <si>
    <t>109927</t>
  </si>
  <si>
    <t>O0739</t>
  </si>
  <si>
    <t>239005</t>
  </si>
  <si>
    <t>O0740</t>
  </si>
  <si>
    <t>150013</t>
  </si>
  <si>
    <t>O0741</t>
  </si>
  <si>
    <t>211361</t>
  </si>
  <si>
    <t>O0742</t>
  </si>
  <si>
    <t>511906</t>
  </si>
  <si>
    <t>O0743</t>
  </si>
  <si>
    <t>198234</t>
  </si>
  <si>
    <t>O0744</t>
  </si>
  <si>
    <t>571761</t>
  </si>
  <si>
    <t>O0745</t>
  </si>
  <si>
    <t>799476</t>
  </si>
  <si>
    <t>O0746</t>
  </si>
  <si>
    <t>568379</t>
  </si>
  <si>
    <t>O0747</t>
  </si>
  <si>
    <t>419752</t>
  </si>
  <si>
    <t>O0748</t>
  </si>
  <si>
    <t>177606</t>
  </si>
  <si>
    <t>O0749</t>
  </si>
  <si>
    <t>257550</t>
  </si>
  <si>
    <t>O0750</t>
  </si>
  <si>
    <t>479502</t>
  </si>
  <si>
    <t>O0751</t>
  </si>
  <si>
    <t>370675</t>
  </si>
  <si>
    <t>O0752</t>
  </si>
  <si>
    <t>575692</t>
  </si>
  <si>
    <t>O0753</t>
  </si>
  <si>
    <t>545935</t>
  </si>
  <si>
    <t>O0754</t>
  </si>
  <si>
    <t>376452</t>
  </si>
  <si>
    <t>O0755</t>
  </si>
  <si>
    <t>634125</t>
  </si>
  <si>
    <t>O0756</t>
  </si>
  <si>
    <t>814221</t>
  </si>
  <si>
    <t>O0757</t>
  </si>
  <si>
    <t>202166</t>
  </si>
  <si>
    <t>O0758</t>
  </si>
  <si>
    <t>494295</t>
  </si>
  <si>
    <t>O0759</t>
  </si>
  <si>
    <t>705151</t>
  </si>
  <si>
    <t>O0760</t>
  </si>
  <si>
    <t>562092</t>
  </si>
  <si>
    <t>O0761</t>
  </si>
  <si>
    <t>956238</t>
  </si>
  <si>
    <t>O0762</t>
  </si>
  <si>
    <t>121650</t>
  </si>
  <si>
    <t>O0763</t>
  </si>
  <si>
    <t>877130</t>
  </si>
  <si>
    <t>O0764</t>
  </si>
  <si>
    <t>914811</t>
  </si>
  <si>
    <t>O0765</t>
  </si>
  <si>
    <t>301904</t>
  </si>
  <si>
    <t>O0766</t>
  </si>
  <si>
    <t>751084</t>
  </si>
  <si>
    <t>O0767</t>
  </si>
  <si>
    <t>120923</t>
  </si>
  <si>
    <t>O0768</t>
  </si>
  <si>
    <t>355719</t>
  </si>
  <si>
    <t>O0769</t>
  </si>
  <si>
    <t>510226</t>
  </si>
  <si>
    <t>O0770</t>
  </si>
  <si>
    <t>761334</t>
  </si>
  <si>
    <t>O0771</t>
  </si>
  <si>
    <t>121398</t>
  </si>
  <si>
    <t>O0772</t>
  </si>
  <si>
    <t>839667</t>
  </si>
  <si>
    <t>O0773</t>
  </si>
  <si>
    <t>134924</t>
  </si>
  <si>
    <t>O0774</t>
  </si>
  <si>
    <t>638966</t>
  </si>
  <si>
    <t>O0775</t>
  </si>
  <si>
    <t>865328</t>
  </si>
  <si>
    <t>O0776</t>
  </si>
  <si>
    <t>729756</t>
  </si>
  <si>
    <t>O0777</t>
  </si>
  <si>
    <t>615956</t>
  </si>
  <si>
    <t>O0778</t>
  </si>
  <si>
    <t>663543</t>
  </si>
  <si>
    <t>O0779</t>
  </si>
  <si>
    <t>544844</t>
  </si>
  <si>
    <t>O0780</t>
  </si>
  <si>
    <t>243704</t>
  </si>
  <si>
    <t>O0781</t>
  </si>
  <si>
    <t>418488</t>
  </si>
  <si>
    <t>O0782</t>
  </si>
  <si>
    <t>221897</t>
  </si>
  <si>
    <t>O0783</t>
  </si>
  <si>
    <t>803335</t>
  </si>
  <si>
    <t>O0784</t>
  </si>
  <si>
    <t>900607</t>
  </si>
  <si>
    <t>O0785</t>
  </si>
  <si>
    <t>952969</t>
  </si>
  <si>
    <t>O0786</t>
  </si>
  <si>
    <t>523240</t>
  </si>
  <si>
    <t>O0787</t>
  </si>
  <si>
    <t>853160</t>
  </si>
  <si>
    <t>O0788</t>
  </si>
  <si>
    <t>608175</t>
  </si>
  <si>
    <t>O0789</t>
  </si>
  <si>
    <t>896305</t>
  </si>
  <si>
    <t>O0790</t>
  </si>
  <si>
    <t>629321</t>
  </si>
  <si>
    <t>O0791</t>
  </si>
  <si>
    <t>477972</t>
  </si>
  <si>
    <t>O0792</t>
  </si>
  <si>
    <t>124648</t>
  </si>
  <si>
    <t>O0793</t>
  </si>
  <si>
    <t>290271</t>
  </si>
  <si>
    <t>O0794</t>
  </si>
  <si>
    <t>820857</t>
  </si>
  <si>
    <t>O0795</t>
  </si>
  <si>
    <t>197462</t>
  </si>
  <si>
    <t>O0796</t>
  </si>
  <si>
    <t>982297</t>
  </si>
  <si>
    <t>O0797</t>
  </si>
  <si>
    <t>263402</t>
  </si>
  <si>
    <t>O0798</t>
  </si>
  <si>
    <t>323034</t>
  </si>
  <si>
    <t>O0799</t>
  </si>
  <si>
    <t>593891</t>
  </si>
  <si>
    <t>O0800</t>
  </si>
  <si>
    <t>859990</t>
  </si>
  <si>
    <t>O0801</t>
  </si>
  <si>
    <t>853624</t>
  </si>
  <si>
    <t>O0802</t>
  </si>
  <si>
    <t>120039</t>
  </si>
  <si>
    <t>O0803</t>
  </si>
  <si>
    <t>338540</t>
  </si>
  <si>
    <t>O0804</t>
  </si>
  <si>
    <t>948389</t>
  </si>
  <si>
    <t>O0805</t>
  </si>
  <si>
    <t>819533</t>
  </si>
  <si>
    <t>O0806</t>
  </si>
  <si>
    <t>696861</t>
  </si>
  <si>
    <t>O0807</t>
  </si>
  <si>
    <t>154460</t>
  </si>
  <si>
    <t>O0808</t>
  </si>
  <si>
    <t>195558</t>
  </si>
  <si>
    <t>O0809</t>
  </si>
  <si>
    <t>867175</t>
  </si>
  <si>
    <t>O0810</t>
  </si>
  <si>
    <t>359590</t>
  </si>
  <si>
    <t>O0811</t>
  </si>
  <si>
    <t>174694</t>
  </si>
  <si>
    <t>O0812</t>
  </si>
  <si>
    <t>880862</t>
  </si>
  <si>
    <t>O0813</t>
  </si>
  <si>
    <t>741232</t>
  </si>
  <si>
    <t>O0814</t>
  </si>
  <si>
    <t>597666</t>
  </si>
  <si>
    <t>O0815</t>
  </si>
  <si>
    <t>412636</t>
  </si>
  <si>
    <t>O0816</t>
  </si>
  <si>
    <t>472339</t>
  </si>
  <si>
    <t>O0817</t>
  </si>
  <si>
    <t>901818</t>
  </si>
  <si>
    <t>O0818</t>
  </si>
  <si>
    <t>611566</t>
  </si>
  <si>
    <t>O0819</t>
  </si>
  <si>
    <t>568668</t>
  </si>
  <si>
    <t>O0820</t>
  </si>
  <si>
    <t>254721</t>
  </si>
  <si>
    <t>O0821</t>
  </si>
  <si>
    <t>913820</t>
  </si>
  <si>
    <t>O0822</t>
  </si>
  <si>
    <t>655393</t>
  </si>
  <si>
    <t>O0823</t>
  </si>
  <si>
    <t>377948</t>
  </si>
  <si>
    <t>O0824</t>
  </si>
  <si>
    <t>381209</t>
  </si>
  <si>
    <t>O0825</t>
  </si>
  <si>
    <t>870644</t>
  </si>
  <si>
    <t>O0826</t>
  </si>
  <si>
    <t>653958</t>
  </si>
  <si>
    <t>O0827</t>
  </si>
  <si>
    <t>O0828</t>
  </si>
  <si>
    <t>876001</t>
  </si>
  <si>
    <t>O0829</t>
  </si>
  <si>
    <t>753841</t>
  </si>
  <si>
    <t>O0830</t>
  </si>
  <si>
    <t>100215</t>
  </si>
  <si>
    <t>O0831</t>
  </si>
  <si>
    <t>396618</t>
  </si>
  <si>
    <t>O0832</t>
  </si>
  <si>
    <t>768689</t>
  </si>
  <si>
    <t>O0833</t>
  </si>
  <si>
    <t>313286</t>
  </si>
  <si>
    <t>O0834</t>
  </si>
  <si>
    <t>O0835</t>
  </si>
  <si>
    <t>845222</t>
  </si>
  <si>
    <t>O0836</t>
  </si>
  <si>
    <t>219875</t>
  </si>
  <si>
    <t>O0837</t>
  </si>
  <si>
    <t>893897</t>
  </si>
  <si>
    <t>O0838</t>
  </si>
  <si>
    <t>454835</t>
  </si>
  <si>
    <t>O0839</t>
  </si>
  <si>
    <t>858741</t>
  </si>
  <si>
    <t>O0840</t>
  </si>
  <si>
    <t>778173</t>
  </si>
  <si>
    <t>O0841</t>
  </si>
  <si>
    <t>O0842</t>
  </si>
  <si>
    <t>854981</t>
  </si>
  <si>
    <t>O0843</t>
  </si>
  <si>
    <t>255063</t>
  </si>
  <si>
    <t>O0844</t>
  </si>
  <si>
    <t>126081</t>
  </si>
  <si>
    <t>O0845</t>
  </si>
  <si>
    <t>886492</t>
  </si>
  <si>
    <t>O0846</t>
  </si>
  <si>
    <t>204127</t>
  </si>
  <si>
    <t>O0847</t>
  </si>
  <si>
    <t>633484</t>
  </si>
  <si>
    <t>O0848</t>
  </si>
  <si>
    <t>874751</t>
  </si>
  <si>
    <t>O0849</t>
  </si>
  <si>
    <t>871152</t>
  </si>
  <si>
    <t>O0850</t>
  </si>
  <si>
    <t>350606</t>
  </si>
  <si>
    <t>O0851</t>
  </si>
  <si>
    <t>832256</t>
  </si>
  <si>
    <t>O0852</t>
  </si>
  <si>
    <t>714966</t>
  </si>
  <si>
    <t>O0853</t>
  </si>
  <si>
    <t>465391</t>
  </si>
  <si>
    <t>O0854</t>
  </si>
  <si>
    <t>665148</t>
  </si>
  <si>
    <t>O0855</t>
  </si>
  <si>
    <t>545096</t>
  </si>
  <si>
    <t>O0856</t>
  </si>
  <si>
    <t>410272</t>
  </si>
  <si>
    <t>O0857</t>
  </si>
  <si>
    <t>235393</t>
  </si>
  <si>
    <t>O0858</t>
  </si>
  <si>
    <t>765673</t>
  </si>
  <si>
    <t>O0859</t>
  </si>
  <si>
    <t>250056</t>
  </si>
  <si>
    <t>O0860</t>
  </si>
  <si>
    <t>292319</t>
  </si>
  <si>
    <t>O0861</t>
  </si>
  <si>
    <t>192172</t>
  </si>
  <si>
    <t>O0862</t>
  </si>
  <si>
    <t>148639</t>
  </si>
  <si>
    <t>O0863</t>
  </si>
  <si>
    <t>774932</t>
  </si>
  <si>
    <t>O0864</t>
  </si>
  <si>
    <t>210957</t>
  </si>
  <si>
    <t>O0865</t>
  </si>
  <si>
    <t>913051</t>
  </si>
  <si>
    <t>O0866</t>
  </si>
  <si>
    <t>785328</t>
  </si>
  <si>
    <t>O0867</t>
  </si>
  <si>
    <t>714985</t>
  </si>
  <si>
    <t>O0868</t>
  </si>
  <si>
    <t>931187</t>
  </si>
  <si>
    <t>O0869</t>
  </si>
  <si>
    <t>O0870</t>
  </si>
  <si>
    <t>294824</t>
  </si>
  <si>
    <t>O0871</t>
  </si>
  <si>
    <t>899448</t>
  </si>
  <si>
    <t>O0872</t>
  </si>
  <si>
    <t>221169</t>
  </si>
  <si>
    <t>O0873</t>
  </si>
  <si>
    <t>494002</t>
  </si>
  <si>
    <t>O0874</t>
  </si>
  <si>
    <t>778960</t>
  </si>
  <si>
    <t>O0875</t>
  </si>
  <si>
    <t>205315</t>
  </si>
  <si>
    <t>O0876</t>
  </si>
  <si>
    <t>795139</t>
  </si>
  <si>
    <t>O0877</t>
  </si>
  <si>
    <t>764704</t>
  </si>
  <si>
    <t>O0878</t>
  </si>
  <si>
    <t>165679</t>
  </si>
  <si>
    <t>O0879</t>
  </si>
  <si>
    <t>455398</t>
  </si>
  <si>
    <t>O0880</t>
  </si>
  <si>
    <t>800614</t>
  </si>
  <si>
    <t>O0881</t>
  </si>
  <si>
    <t>125739</t>
  </si>
  <si>
    <t>O0882</t>
  </si>
  <si>
    <t>135709</t>
  </si>
  <si>
    <t>O0883</t>
  </si>
  <si>
    <t>629787</t>
  </si>
  <si>
    <t>O0884</t>
  </si>
  <si>
    <t>760354</t>
  </si>
  <si>
    <t>O0885</t>
  </si>
  <si>
    <t>394499</t>
  </si>
  <si>
    <t>O0886</t>
  </si>
  <si>
    <t>875359</t>
  </si>
  <si>
    <t>O0887</t>
  </si>
  <si>
    <t>447186</t>
  </si>
  <si>
    <t>O0888</t>
  </si>
  <si>
    <t>253956</t>
  </si>
  <si>
    <t>O0889</t>
  </si>
  <si>
    <t>935726</t>
  </si>
  <si>
    <t>O0890</t>
  </si>
  <si>
    <t>978260</t>
  </si>
  <si>
    <t>O0891</t>
  </si>
  <si>
    <t>515685</t>
  </si>
  <si>
    <t>O0892</t>
  </si>
  <si>
    <t>596246</t>
  </si>
  <si>
    <t>O0893</t>
  </si>
  <si>
    <t>496456</t>
  </si>
  <si>
    <t>O0894</t>
  </si>
  <si>
    <t>748033</t>
  </si>
  <si>
    <t>O0895</t>
  </si>
  <si>
    <t>815601</t>
  </si>
  <si>
    <t>O0896</t>
  </si>
  <si>
    <t>170268</t>
  </si>
  <si>
    <t>O0897</t>
  </si>
  <si>
    <t>270635</t>
  </si>
  <si>
    <t>O0898</t>
  </si>
  <si>
    <t>700699</t>
  </si>
  <si>
    <t>O0899</t>
  </si>
  <si>
    <t>338441</t>
  </si>
  <si>
    <t>O0900</t>
  </si>
  <si>
    <t>949649</t>
  </si>
  <si>
    <t>O0901</t>
  </si>
  <si>
    <t>473145</t>
  </si>
  <si>
    <t>O0902</t>
  </si>
  <si>
    <t>797789</t>
  </si>
  <si>
    <t>O0903</t>
  </si>
  <si>
    <t>738071</t>
  </si>
  <si>
    <t>O0904</t>
  </si>
  <si>
    <t>532184</t>
  </si>
  <si>
    <t>O0905</t>
  </si>
  <si>
    <t>231827</t>
  </si>
  <si>
    <t>O0906</t>
  </si>
  <si>
    <t>222989</t>
  </si>
  <si>
    <t>O0907</t>
  </si>
  <si>
    <t>461185</t>
  </si>
  <si>
    <t>O0908</t>
  </si>
  <si>
    <t>325756</t>
  </si>
  <si>
    <t>O0909</t>
  </si>
  <si>
    <t>O0910</t>
  </si>
  <si>
    <t>972882</t>
  </si>
  <si>
    <t>O0911</t>
  </si>
  <si>
    <t>O0912</t>
  </si>
  <si>
    <t>534352</t>
  </si>
  <si>
    <t>O0913</t>
  </si>
  <si>
    <t>597873</t>
  </si>
  <si>
    <t>O0914</t>
  </si>
  <si>
    <t>O0915</t>
  </si>
  <si>
    <t>149156</t>
  </si>
  <si>
    <t>O0916</t>
  </si>
  <si>
    <t>684570</t>
  </si>
  <si>
    <t>O0917</t>
  </si>
  <si>
    <t>782954</t>
  </si>
  <si>
    <t>O0918</t>
  </si>
  <si>
    <t>137860</t>
  </si>
  <si>
    <t>O0919</t>
  </si>
  <si>
    <t>695983</t>
  </si>
  <si>
    <t>O0920</t>
  </si>
  <si>
    <t>105636</t>
  </si>
  <si>
    <t>O0921</t>
  </si>
  <si>
    <t>678921</t>
  </si>
  <si>
    <t>O0922</t>
  </si>
  <si>
    <t>766978</t>
  </si>
  <si>
    <t>O0923</t>
  </si>
  <si>
    <t>816825</t>
  </si>
  <si>
    <t>O0924</t>
  </si>
  <si>
    <t>535686</t>
  </si>
  <si>
    <t>O0925</t>
  </si>
  <si>
    <t>244233</t>
  </si>
  <si>
    <t>O0926</t>
  </si>
  <si>
    <t>321439</t>
  </si>
  <si>
    <t>O0927</t>
  </si>
  <si>
    <t>497595</t>
  </si>
  <si>
    <t>O0928</t>
  </si>
  <si>
    <t>445452</t>
  </si>
  <si>
    <t>O0929</t>
  </si>
  <si>
    <t>862277</t>
  </si>
  <si>
    <t>O0930</t>
  </si>
  <si>
    <t>974802</t>
  </si>
  <si>
    <t>O0931</t>
  </si>
  <si>
    <t>118830</t>
  </si>
  <si>
    <t>O0932</t>
  </si>
  <si>
    <t>103681</t>
  </si>
  <si>
    <t>O0933</t>
  </si>
  <si>
    <t>O0934</t>
  </si>
  <si>
    <t>193246</t>
  </si>
  <si>
    <t>O0935</t>
  </si>
  <si>
    <t>345160</t>
  </si>
  <si>
    <t>O0936</t>
  </si>
  <si>
    <t>320326</t>
  </si>
  <si>
    <t>O0937</t>
  </si>
  <si>
    <t>180730</t>
  </si>
  <si>
    <t>O0938</t>
  </si>
  <si>
    <t>909253</t>
  </si>
  <si>
    <t>O0939</t>
  </si>
  <si>
    <t>223777</t>
  </si>
  <si>
    <t>O0940</t>
  </si>
  <si>
    <t>726614</t>
  </si>
  <si>
    <t>O0941</t>
  </si>
  <si>
    <t>196952</t>
  </si>
  <si>
    <t>O0942</t>
  </si>
  <si>
    <t>623165</t>
  </si>
  <si>
    <t>O0943</t>
  </si>
  <si>
    <t>711796</t>
  </si>
  <si>
    <t>O0944</t>
  </si>
  <si>
    <t>930547</t>
  </si>
  <si>
    <t>O0945</t>
  </si>
  <si>
    <t>923628</t>
  </si>
  <si>
    <t>O0946</t>
  </si>
  <si>
    <t>808669</t>
  </si>
  <si>
    <t>O0947</t>
  </si>
  <si>
    <t>827467</t>
  </si>
  <si>
    <t>O0948</t>
  </si>
  <si>
    <t>139236</t>
  </si>
  <si>
    <t>O0949</t>
  </si>
  <si>
    <t>396379</t>
  </si>
  <si>
    <t>O0950</t>
  </si>
  <si>
    <t>472454</t>
  </si>
  <si>
    <t>O0951</t>
  </si>
  <si>
    <t>889948</t>
  </si>
  <si>
    <t>O0952</t>
  </si>
  <si>
    <t>332931</t>
  </si>
  <si>
    <t>O0953</t>
  </si>
  <si>
    <t>411741</t>
  </si>
  <si>
    <t>O0954</t>
  </si>
  <si>
    <t>847320</t>
  </si>
  <si>
    <t>O0955</t>
  </si>
  <si>
    <t>354043</t>
  </si>
  <si>
    <t>O0956</t>
  </si>
  <si>
    <t>445876</t>
  </si>
  <si>
    <t>O0957</t>
  </si>
  <si>
    <t>784050</t>
  </si>
  <si>
    <t>O0958</t>
  </si>
  <si>
    <t>280775</t>
  </si>
  <si>
    <t>O0959</t>
  </si>
  <si>
    <t>646774</t>
  </si>
  <si>
    <t>O0960</t>
  </si>
  <si>
    <t>836854</t>
  </si>
  <si>
    <t>O0961</t>
  </si>
  <si>
    <t>647026</t>
  </si>
  <si>
    <t>O0962</t>
  </si>
  <si>
    <t>256688</t>
  </si>
  <si>
    <t>O0963</t>
  </si>
  <si>
    <t>262403</t>
  </si>
  <si>
    <t>O0964</t>
  </si>
  <si>
    <t>617200</t>
  </si>
  <si>
    <t>O0965</t>
  </si>
  <si>
    <t>O0966</t>
  </si>
  <si>
    <t>268733</t>
  </si>
  <si>
    <t>O0967</t>
  </si>
  <si>
    <t>250862</t>
  </si>
  <si>
    <t>O0968</t>
  </si>
  <si>
    <t>805611</t>
  </si>
  <si>
    <t>O0969</t>
  </si>
  <si>
    <t>565536</t>
  </si>
  <si>
    <t>O0970</t>
  </si>
  <si>
    <t>981809</t>
  </si>
  <si>
    <t>O0971</t>
  </si>
  <si>
    <t>356427</t>
  </si>
  <si>
    <t>O0972</t>
  </si>
  <si>
    <t>686789</t>
  </si>
  <si>
    <t>O0973</t>
  </si>
  <si>
    <t>524429</t>
  </si>
  <si>
    <t>O0974</t>
  </si>
  <si>
    <t>305827</t>
  </si>
  <si>
    <t>O0975</t>
  </si>
  <si>
    <t>942955</t>
  </si>
  <si>
    <t>O0976</t>
  </si>
  <si>
    <t>O0977</t>
  </si>
  <si>
    <t>367614</t>
  </si>
  <si>
    <t>O0978</t>
  </si>
  <si>
    <t>254062</t>
  </si>
  <si>
    <t>O0979</t>
  </si>
  <si>
    <t>438246</t>
  </si>
  <si>
    <t>O0980</t>
  </si>
  <si>
    <t>951617</t>
  </si>
  <si>
    <t>O0981</t>
  </si>
  <si>
    <t>922450</t>
  </si>
  <si>
    <t>O0982</t>
  </si>
  <si>
    <t>523327</t>
  </si>
  <si>
    <t>O0983</t>
  </si>
  <si>
    <t>636114</t>
  </si>
  <si>
    <t>O0984</t>
  </si>
  <si>
    <t>419186</t>
  </si>
  <si>
    <t>O0985</t>
  </si>
  <si>
    <t>538988</t>
  </si>
  <si>
    <t>O0986</t>
  </si>
  <si>
    <t>356323</t>
  </si>
  <si>
    <t>O0987</t>
  </si>
  <si>
    <t>538744</t>
  </si>
  <si>
    <t>O0988</t>
  </si>
  <si>
    <t>675312</t>
  </si>
  <si>
    <t>O0989</t>
  </si>
  <si>
    <t>194202</t>
  </si>
  <si>
    <t>O0990</t>
  </si>
  <si>
    <t>184363</t>
  </si>
  <si>
    <t>O0991</t>
  </si>
  <si>
    <t>461484</t>
  </si>
  <si>
    <t>O0992</t>
  </si>
  <si>
    <t>361176</t>
  </si>
  <si>
    <t>O0993</t>
  </si>
  <si>
    <t>629954</t>
  </si>
  <si>
    <t>O0994</t>
  </si>
  <si>
    <t>126505</t>
  </si>
  <si>
    <t>O0995</t>
  </si>
  <si>
    <t>926954</t>
  </si>
  <si>
    <t>O0996</t>
  </si>
  <si>
    <t>340056</t>
  </si>
  <si>
    <t>O0997</t>
  </si>
  <si>
    <t>543942</t>
  </si>
  <si>
    <t>O0998</t>
  </si>
  <si>
    <t>281413</t>
  </si>
  <si>
    <t>O0999</t>
  </si>
  <si>
    <t>840686</t>
  </si>
  <si>
    <t>O1000</t>
  </si>
  <si>
    <t>670993</t>
  </si>
  <si>
    <t>O1001</t>
  </si>
  <si>
    <t>371733</t>
  </si>
  <si>
    <t>O1002</t>
  </si>
  <si>
    <t>747999</t>
  </si>
  <si>
    <t>O1003</t>
  </si>
  <si>
    <t>211915</t>
  </si>
  <si>
    <t>O1004</t>
  </si>
  <si>
    <t>213153</t>
  </si>
  <si>
    <t>O1005</t>
  </si>
  <si>
    <t>187876</t>
  </si>
  <si>
    <t>O1006</t>
  </si>
  <si>
    <t>398845</t>
  </si>
  <si>
    <t>O1007</t>
  </si>
  <si>
    <t>307397</t>
  </si>
  <si>
    <t>O1008</t>
  </si>
  <si>
    <t>952318</t>
  </si>
  <si>
    <t>O1009</t>
  </si>
  <si>
    <t>923932</t>
  </si>
  <si>
    <t>O1010</t>
  </si>
  <si>
    <t>135187</t>
  </si>
  <si>
    <t>O1011</t>
  </si>
  <si>
    <t>491770</t>
  </si>
  <si>
    <t>O1012</t>
  </si>
  <si>
    <t>638304</t>
  </si>
  <si>
    <t>O1013</t>
  </si>
  <si>
    <t>505377</t>
  </si>
  <si>
    <t>O1014</t>
  </si>
  <si>
    <t>856488</t>
  </si>
  <si>
    <t>O1015</t>
  </si>
  <si>
    <t>513166</t>
  </si>
  <si>
    <t>O1016</t>
  </si>
  <si>
    <t>354957</t>
  </si>
  <si>
    <t>O1017</t>
  </si>
  <si>
    <t>246692</t>
  </si>
  <si>
    <t>O1018</t>
  </si>
  <si>
    <t>O1019</t>
  </si>
  <si>
    <t>575573</t>
  </si>
  <si>
    <t>O1020</t>
  </si>
  <si>
    <t>779930</t>
  </si>
  <si>
    <t>O1021</t>
  </si>
  <si>
    <t>572312</t>
  </si>
  <si>
    <t>O1022</t>
  </si>
  <si>
    <t>335161</t>
  </si>
  <si>
    <t>O1023</t>
  </si>
  <si>
    <t>605173</t>
  </si>
  <si>
    <t>O1024</t>
  </si>
  <si>
    <t>805359</t>
  </si>
  <si>
    <t>O1025</t>
  </si>
  <si>
    <t>121576</t>
  </si>
  <si>
    <t>O1026</t>
  </si>
  <si>
    <t>794186</t>
  </si>
  <si>
    <t>O1027</t>
  </si>
  <si>
    <t>881700</t>
  </si>
  <si>
    <t>O1028</t>
  </si>
  <si>
    <t>673722</t>
  </si>
  <si>
    <t>O1029</t>
  </si>
  <si>
    <t>966164</t>
  </si>
  <si>
    <t>O1030</t>
  </si>
  <si>
    <t>619493</t>
  </si>
  <si>
    <t>O1031</t>
  </si>
  <si>
    <t>985540</t>
  </si>
  <si>
    <t>O1032</t>
  </si>
  <si>
    <t>385248</t>
  </si>
  <si>
    <t>O1033</t>
  </si>
  <si>
    <t>566690</t>
  </si>
  <si>
    <t>O1034</t>
  </si>
  <si>
    <t>271929</t>
  </si>
  <si>
    <t>O1035</t>
  </si>
  <si>
    <t>804463</t>
  </si>
  <si>
    <t>O1036</t>
  </si>
  <si>
    <t>344942</t>
  </si>
  <si>
    <t>O1037</t>
  </si>
  <si>
    <t>150755</t>
  </si>
  <si>
    <t>O1038</t>
  </si>
  <si>
    <t>641770</t>
  </si>
  <si>
    <t>O1039</t>
  </si>
  <si>
    <t>128930</t>
  </si>
  <si>
    <t>O1040</t>
  </si>
  <si>
    <t>974340</t>
  </si>
  <si>
    <t>O1041</t>
  </si>
  <si>
    <t>110737</t>
  </si>
  <si>
    <t>O1042</t>
  </si>
  <si>
    <t>414368</t>
  </si>
  <si>
    <t>O1043</t>
  </si>
  <si>
    <t>396952</t>
  </si>
  <si>
    <t>O1044</t>
  </si>
  <si>
    <t>930997</t>
  </si>
  <si>
    <t>O1045</t>
  </si>
  <si>
    <t>950100</t>
  </si>
  <si>
    <t>O1046</t>
  </si>
  <si>
    <t>353608</t>
  </si>
  <si>
    <t>O1047</t>
  </si>
  <si>
    <t>331807</t>
  </si>
  <si>
    <t>O1048</t>
  </si>
  <si>
    <t>550400</t>
  </si>
  <si>
    <t>O1049</t>
  </si>
  <si>
    <t>880498</t>
  </si>
  <si>
    <t>O1050</t>
  </si>
  <si>
    <t>189846</t>
  </si>
  <si>
    <t>O1051</t>
  </si>
  <si>
    <t>707337</t>
  </si>
  <si>
    <t>O1052</t>
  </si>
  <si>
    <t>419849</t>
  </si>
  <si>
    <t>O1053</t>
  </si>
  <si>
    <t>945457</t>
  </si>
  <si>
    <t>O1054</t>
  </si>
  <si>
    <t>992017</t>
  </si>
  <si>
    <t>O1055</t>
  </si>
  <si>
    <t>290545</t>
  </si>
  <si>
    <t>O1056</t>
  </si>
  <si>
    <t>821615</t>
  </si>
  <si>
    <t>O1057</t>
  </si>
  <si>
    <t>455288</t>
  </si>
  <si>
    <t>O1058</t>
  </si>
  <si>
    <t>284100</t>
  </si>
  <si>
    <t>O1059</t>
  </si>
  <si>
    <t>121058</t>
  </si>
  <si>
    <t>O1060</t>
  </si>
  <si>
    <t>710777</t>
  </si>
  <si>
    <t>O1061</t>
  </si>
  <si>
    <t>724152</t>
  </si>
  <si>
    <t>O1062</t>
  </si>
  <si>
    <t>307158</t>
  </si>
  <si>
    <t>O1063</t>
  </si>
  <si>
    <t>793201</t>
  </si>
  <si>
    <t>O1064</t>
  </si>
  <si>
    <t>475595</t>
  </si>
  <si>
    <t>O1065</t>
  </si>
  <si>
    <t>667256</t>
  </si>
  <si>
    <t>O1066</t>
  </si>
  <si>
    <t>661548</t>
  </si>
  <si>
    <t>O1067</t>
  </si>
  <si>
    <t>883924</t>
  </si>
  <si>
    <t>O1068</t>
  </si>
  <si>
    <t>342113</t>
  </si>
  <si>
    <t>O1069</t>
  </si>
  <si>
    <t>207092</t>
  </si>
  <si>
    <t>O1070</t>
  </si>
  <si>
    <t>292180</t>
  </si>
  <si>
    <t>O1071</t>
  </si>
  <si>
    <t>699649</t>
  </si>
  <si>
    <t>O1072</t>
  </si>
  <si>
    <t>O1073</t>
  </si>
  <si>
    <t>O1074</t>
  </si>
  <si>
    <t>317256</t>
  </si>
  <si>
    <t>O1075</t>
  </si>
  <si>
    <t>O1076</t>
  </si>
  <si>
    <t>393132</t>
  </si>
  <si>
    <t>O1077</t>
  </si>
  <si>
    <t>560522</t>
  </si>
  <si>
    <t>O1078</t>
  </si>
  <si>
    <t>529199</t>
  </si>
  <si>
    <t>O1079</t>
  </si>
  <si>
    <t>134160</t>
  </si>
  <si>
    <t>O1080</t>
  </si>
  <si>
    <t>396694</t>
  </si>
  <si>
    <t>O1081</t>
  </si>
  <si>
    <t>437547</t>
  </si>
  <si>
    <t>O1082</t>
  </si>
  <si>
    <t>481382</t>
  </si>
  <si>
    <t>O1083</t>
  </si>
  <si>
    <t>O1084</t>
  </si>
  <si>
    <t>883077</t>
  </si>
  <si>
    <t>O1085</t>
  </si>
  <si>
    <t>733669</t>
  </si>
  <si>
    <t>O1086</t>
  </si>
  <si>
    <t>561122</t>
  </si>
  <si>
    <t>O1087</t>
  </si>
  <si>
    <t>237821</t>
  </si>
  <si>
    <t>O1088</t>
  </si>
  <si>
    <t>446140</t>
  </si>
  <si>
    <t>O1089</t>
  </si>
  <si>
    <t>551989</t>
  </si>
  <si>
    <t>O1090</t>
  </si>
  <si>
    <t>340270</t>
  </si>
  <si>
    <t>O1091</t>
  </si>
  <si>
    <t>728431</t>
  </si>
  <si>
    <t>O1092</t>
  </si>
  <si>
    <t>289773</t>
  </si>
  <si>
    <t>O1093</t>
  </si>
  <si>
    <t>995781</t>
  </si>
  <si>
    <t>O1094</t>
  </si>
  <si>
    <t>923578</t>
  </si>
  <si>
    <t>O1095</t>
  </si>
  <si>
    <t>299294</t>
  </si>
  <si>
    <t>O1096</t>
  </si>
  <si>
    <t>509675</t>
  </si>
  <si>
    <t>O1097</t>
  </si>
  <si>
    <t>477224</t>
  </si>
  <si>
    <t>O1098</t>
  </si>
  <si>
    <t>548934</t>
  </si>
  <si>
    <t>O1099</t>
  </si>
  <si>
    <t>921939</t>
  </si>
  <si>
    <t>O1100</t>
  </si>
  <si>
    <t>230364</t>
  </si>
  <si>
    <t>O1101</t>
  </si>
  <si>
    <t>961864</t>
  </si>
  <si>
    <t>O1102</t>
  </si>
  <si>
    <t>432548</t>
  </si>
  <si>
    <t>O1103</t>
  </si>
  <si>
    <t>720804</t>
  </si>
  <si>
    <t>O1104</t>
  </si>
  <si>
    <t>375381</t>
  </si>
  <si>
    <t>O1105</t>
  </si>
  <si>
    <t>728935</t>
  </si>
  <si>
    <t>O1106</t>
  </si>
  <si>
    <t>157196</t>
  </si>
  <si>
    <t>O1107</t>
  </si>
  <si>
    <t>143822</t>
  </si>
  <si>
    <t>O1108</t>
  </si>
  <si>
    <t>492575</t>
  </si>
  <si>
    <t>O1109</t>
  </si>
  <si>
    <t>O1110</t>
  </si>
  <si>
    <t>113265</t>
  </si>
  <si>
    <t>O1111</t>
  </si>
  <si>
    <t>711868</t>
  </si>
  <si>
    <t>O1112</t>
  </si>
  <si>
    <t>411072</t>
  </si>
  <si>
    <t>O1113</t>
  </si>
  <si>
    <t>369670</t>
  </si>
  <si>
    <t>O1114</t>
  </si>
  <si>
    <t>552333</t>
  </si>
  <si>
    <t>O1115</t>
  </si>
  <si>
    <t>179888</t>
  </si>
  <si>
    <t>O1116</t>
  </si>
  <si>
    <t>354793</t>
  </si>
  <si>
    <t>O1117</t>
  </si>
  <si>
    <t>658086</t>
  </si>
  <si>
    <t>O1118</t>
  </si>
  <si>
    <t>587947</t>
  </si>
  <si>
    <t>O1119</t>
  </si>
  <si>
    <t>254607</t>
  </si>
  <si>
    <t>O1120</t>
  </si>
  <si>
    <t>390395</t>
  </si>
  <si>
    <t>O1121</t>
  </si>
  <si>
    <t>572032</t>
  </si>
  <si>
    <t>O1122</t>
  </si>
  <si>
    <t>323457</t>
  </si>
  <si>
    <t>O1123</t>
  </si>
  <si>
    <t>608670</t>
  </si>
  <si>
    <t>O1124</t>
  </si>
  <si>
    <t>839945</t>
  </si>
  <si>
    <t>O1125</t>
  </si>
  <si>
    <t>731121</t>
  </si>
  <si>
    <t>O1126</t>
  </si>
  <si>
    <t>764467</t>
  </si>
  <si>
    <t>O1127</t>
  </si>
  <si>
    <t>116138</t>
  </si>
  <si>
    <t>O1128</t>
  </si>
  <si>
    <t>178422</t>
  </si>
  <si>
    <t>O1129</t>
  </si>
  <si>
    <t>840970</t>
  </si>
  <si>
    <t>O1130</t>
  </si>
  <si>
    <t>938821</t>
  </si>
  <si>
    <t>O1131</t>
  </si>
  <si>
    <t>718119</t>
  </si>
  <si>
    <t>O1132</t>
  </si>
  <si>
    <t>246429</t>
  </si>
  <si>
    <t>O1133</t>
  </si>
  <si>
    <t>341474</t>
  </si>
  <si>
    <t>O1134</t>
  </si>
  <si>
    <t>628943</t>
  </si>
  <si>
    <t>O1135</t>
  </si>
  <si>
    <t>207779</t>
  </si>
  <si>
    <t>O1136</t>
  </si>
  <si>
    <t>O1137</t>
  </si>
  <si>
    <t>773166</t>
  </si>
  <si>
    <t>O1138</t>
  </si>
  <si>
    <t>249725</t>
  </si>
  <si>
    <t>O1139</t>
  </si>
  <si>
    <t>812932</t>
  </si>
  <si>
    <t>O1140</t>
  </si>
  <si>
    <t>241002</t>
  </si>
  <si>
    <t>O1141</t>
  </si>
  <si>
    <t>153915</t>
  </si>
  <si>
    <t>O1142</t>
  </si>
  <si>
    <t>473410</t>
  </si>
  <si>
    <t>O1143</t>
  </si>
  <si>
    <t>217996</t>
  </si>
  <si>
    <t>O1144</t>
  </si>
  <si>
    <t>679844</t>
  </si>
  <si>
    <t>O1145</t>
  </si>
  <si>
    <t>512774</t>
  </si>
  <si>
    <t>O1146</t>
  </si>
  <si>
    <t>588161</t>
  </si>
  <si>
    <t>O1147</t>
  </si>
  <si>
    <t>671238</t>
  </si>
  <si>
    <t>O1148</t>
  </si>
  <si>
    <t>601477</t>
  </si>
  <si>
    <t>O1149</t>
  </si>
  <si>
    <t>277129</t>
  </si>
  <si>
    <t>O1150</t>
  </si>
  <si>
    <t>233177</t>
  </si>
  <si>
    <t>O1151</t>
  </si>
  <si>
    <t>268751</t>
  </si>
  <si>
    <t>O1152</t>
  </si>
  <si>
    <t>163079</t>
  </si>
  <si>
    <t>O1153</t>
  </si>
  <si>
    <t>949662</t>
  </si>
  <si>
    <t>O1154</t>
  </si>
  <si>
    <t>760501</t>
  </si>
  <si>
    <t>O1155</t>
  </si>
  <si>
    <t>234917</t>
  </si>
  <si>
    <t>O1156</t>
  </si>
  <si>
    <t>603150</t>
  </si>
  <si>
    <t>O1157</t>
  </si>
  <si>
    <t>903051</t>
  </si>
  <si>
    <t>O1158</t>
  </si>
  <si>
    <t>908062</t>
  </si>
  <si>
    <t>O1159</t>
  </si>
  <si>
    <t>909216</t>
  </si>
  <si>
    <t>O1160</t>
  </si>
  <si>
    <t>167359</t>
  </si>
  <si>
    <t>O1161</t>
  </si>
  <si>
    <t>884681</t>
  </si>
  <si>
    <t>O1162</t>
  </si>
  <si>
    <t>135757</t>
  </si>
  <si>
    <t>O1163</t>
  </si>
  <si>
    <t>421199</t>
  </si>
  <si>
    <t>O1164</t>
  </si>
  <si>
    <t>129092</t>
  </si>
  <si>
    <t>O1165</t>
  </si>
  <si>
    <t>172782</t>
  </si>
  <si>
    <t>O1166</t>
  </si>
  <si>
    <t>990733</t>
  </si>
  <si>
    <t>O1167</t>
  </si>
  <si>
    <t>724416</t>
  </si>
  <si>
    <t>O1168</t>
  </si>
  <si>
    <t>923045</t>
  </si>
  <si>
    <t>O1169</t>
  </si>
  <si>
    <t>371635</t>
  </si>
  <si>
    <t>O1170</t>
  </si>
  <si>
    <t>362512</t>
  </si>
  <si>
    <t>O1171</t>
  </si>
  <si>
    <t>786296</t>
  </si>
  <si>
    <t>O1172</t>
  </si>
  <si>
    <t>634580</t>
  </si>
  <si>
    <t>O1173</t>
  </si>
  <si>
    <t>811932</t>
  </si>
  <si>
    <t>O1174</t>
  </si>
  <si>
    <t>721747</t>
  </si>
  <si>
    <t>O1175</t>
  </si>
  <si>
    <t>329171</t>
  </si>
  <si>
    <t>O1176</t>
  </si>
  <si>
    <t>574551</t>
  </si>
  <si>
    <t>O1177</t>
  </si>
  <si>
    <t>698411</t>
  </si>
  <si>
    <t>O1178</t>
  </si>
  <si>
    <t>928396</t>
  </si>
  <si>
    <t>O1179</t>
  </si>
  <si>
    <t>741687</t>
  </si>
  <si>
    <t>O1180</t>
  </si>
  <si>
    <t>448058</t>
  </si>
  <si>
    <t>O1181</t>
  </si>
  <si>
    <t>635827</t>
  </si>
  <si>
    <t>O1182</t>
  </si>
  <si>
    <t>491407</t>
  </si>
  <si>
    <t>O1183</t>
  </si>
  <si>
    <t>419586</t>
  </si>
  <si>
    <t>O1184</t>
  </si>
  <si>
    <t>889622</t>
  </si>
  <si>
    <t>O1185</t>
  </si>
  <si>
    <t>790778</t>
  </si>
  <si>
    <t>O1186</t>
  </si>
  <si>
    <t>893327</t>
  </si>
  <si>
    <t>O1187</t>
  </si>
  <si>
    <t>645648</t>
  </si>
  <si>
    <t>O1188</t>
  </si>
  <si>
    <t>401075</t>
  </si>
  <si>
    <t>O1189</t>
  </si>
  <si>
    <t>763431</t>
  </si>
  <si>
    <t>O1190</t>
  </si>
  <si>
    <t>709723</t>
  </si>
  <si>
    <t>O1191</t>
  </si>
  <si>
    <t>872783</t>
  </si>
  <si>
    <t>O1192</t>
  </si>
  <si>
    <t>661669</t>
  </si>
  <si>
    <t>O1193</t>
  </si>
  <si>
    <t>623512</t>
  </si>
  <si>
    <t>O1194</t>
  </si>
  <si>
    <t>158453</t>
  </si>
  <si>
    <t>O1195</t>
  </si>
  <si>
    <t>671386</t>
  </si>
  <si>
    <t>O1196</t>
  </si>
  <si>
    <t>791898</t>
  </si>
  <si>
    <t>O1197</t>
  </si>
  <si>
    <t>663889</t>
  </si>
  <si>
    <t>O1198</t>
  </si>
  <si>
    <t>241553</t>
  </si>
  <si>
    <t>O1199</t>
  </si>
  <si>
    <t>832154</t>
  </si>
  <si>
    <t>O1200</t>
  </si>
  <si>
    <t>907039</t>
  </si>
  <si>
    <t>O1201</t>
  </si>
  <si>
    <t>798412</t>
  </si>
  <si>
    <t>O1202</t>
  </si>
  <si>
    <t>380752</t>
  </si>
  <si>
    <t>O1203</t>
  </si>
  <si>
    <t>489821</t>
  </si>
  <si>
    <t>O1204</t>
  </si>
  <si>
    <t>619911</t>
  </si>
  <si>
    <t>O1205</t>
  </si>
  <si>
    <t>172178</t>
  </si>
  <si>
    <t>O1206</t>
  </si>
  <si>
    <t>613223</t>
  </si>
  <si>
    <t>O1207</t>
  </si>
  <si>
    <t>241707</t>
  </si>
  <si>
    <t>O1208</t>
  </si>
  <si>
    <t>832288</t>
  </si>
  <si>
    <t>O1209</t>
  </si>
  <si>
    <t>145591</t>
  </si>
  <si>
    <t>O1210</t>
  </si>
  <si>
    <t>477721</t>
  </si>
  <si>
    <t>O1211</t>
  </si>
  <si>
    <t>528472</t>
  </si>
  <si>
    <t>O1212</t>
  </si>
  <si>
    <t>865598</t>
  </si>
  <si>
    <t>O1213</t>
  </si>
  <si>
    <t>581153</t>
  </si>
  <si>
    <t>O1214</t>
  </si>
  <si>
    <t>437766</t>
  </si>
  <si>
    <t>O1215</t>
  </si>
  <si>
    <t>246836</t>
  </si>
  <si>
    <t>O1216</t>
  </si>
  <si>
    <t>185501</t>
  </si>
  <si>
    <t>O1217</t>
  </si>
  <si>
    <t>640997</t>
  </si>
  <si>
    <t>O1218</t>
  </si>
  <si>
    <t>269746</t>
  </si>
  <si>
    <t>O1219</t>
  </si>
  <si>
    <t>334622</t>
  </si>
  <si>
    <t>O1220</t>
  </si>
  <si>
    <t>837371</t>
  </si>
  <si>
    <t>O1221</t>
  </si>
  <si>
    <t>184433</t>
  </si>
  <si>
    <t>O1222</t>
  </si>
  <si>
    <t>264437</t>
  </si>
  <si>
    <t>O1223</t>
  </si>
  <si>
    <t>346476</t>
  </si>
  <si>
    <t>O1224</t>
  </si>
  <si>
    <t>525910</t>
  </si>
  <si>
    <t>O1225</t>
  </si>
  <si>
    <t>855027</t>
  </si>
  <si>
    <t>O1226</t>
  </si>
  <si>
    <t>603256</t>
  </si>
  <si>
    <t>O1227</t>
  </si>
  <si>
    <t>733389</t>
  </si>
  <si>
    <t>O1228</t>
  </si>
  <si>
    <t>665836</t>
  </si>
  <si>
    <t>O1229</t>
  </si>
  <si>
    <t>912002</t>
  </si>
  <si>
    <t>O1230</t>
  </si>
  <si>
    <t>378187</t>
  </si>
  <si>
    <t>O1231</t>
  </si>
  <si>
    <t>758772</t>
  </si>
  <si>
    <t>O1232</t>
  </si>
  <si>
    <t>O1233</t>
  </si>
  <si>
    <t>300919</t>
  </si>
  <si>
    <t>O1234</t>
  </si>
  <si>
    <t>871257</t>
  </si>
  <si>
    <t>O1235</t>
  </si>
  <si>
    <t>988407</t>
  </si>
  <si>
    <t>O1236</t>
  </si>
  <si>
    <t>263543</t>
  </si>
  <si>
    <t>O1237</t>
  </si>
  <si>
    <t>899458</t>
  </si>
  <si>
    <t>O1238</t>
  </si>
  <si>
    <t>945753</t>
  </si>
  <si>
    <t>O1239</t>
  </si>
  <si>
    <t>793539</t>
  </si>
  <si>
    <t>O1240</t>
  </si>
  <si>
    <t>O1241</t>
  </si>
  <si>
    <t>136069</t>
  </si>
  <si>
    <t>O1242</t>
  </si>
  <si>
    <t>805591</t>
  </si>
  <si>
    <t>O1243</t>
  </si>
  <si>
    <t>735960</t>
  </si>
  <si>
    <t>O1244</t>
  </si>
  <si>
    <t>993441</t>
  </si>
  <si>
    <t>O1245</t>
  </si>
  <si>
    <t>610790</t>
  </si>
  <si>
    <t>O1246</t>
  </si>
  <si>
    <t>135282</t>
  </si>
  <si>
    <t>O1247</t>
  </si>
  <si>
    <t>495412</t>
  </si>
  <si>
    <t>O1248</t>
  </si>
  <si>
    <t>O1249</t>
  </si>
  <si>
    <t>144484</t>
  </si>
  <si>
    <t>O1250</t>
  </si>
  <si>
    <t>217399</t>
  </si>
  <si>
    <t>O1251</t>
  </si>
  <si>
    <t>723538</t>
  </si>
  <si>
    <t>O1252</t>
  </si>
  <si>
    <t>148825</t>
  </si>
  <si>
    <t>O1253</t>
  </si>
  <si>
    <t>496474</t>
  </si>
  <si>
    <t>O1254</t>
  </si>
  <si>
    <t>902207</t>
  </si>
  <si>
    <t>O1255</t>
  </si>
  <si>
    <t>788233</t>
  </si>
  <si>
    <t>O1256</t>
  </si>
  <si>
    <t>133734</t>
  </si>
  <si>
    <t>O1257</t>
  </si>
  <si>
    <t>423923</t>
  </si>
  <si>
    <t>O1258</t>
  </si>
  <si>
    <t>641228</t>
  </si>
  <si>
    <t>O1259</t>
  </si>
  <si>
    <t>643910</t>
  </si>
  <si>
    <t>O1260</t>
  </si>
  <si>
    <t>O1261</t>
  </si>
  <si>
    <t>601072</t>
  </si>
  <si>
    <t>O1262</t>
  </si>
  <si>
    <t>535132</t>
  </si>
  <si>
    <t>O1263</t>
  </si>
  <si>
    <t>553112</t>
  </si>
  <si>
    <t>O1264</t>
  </si>
  <si>
    <t>856355</t>
  </si>
  <si>
    <t>O1265</t>
  </si>
  <si>
    <t>476826</t>
  </si>
  <si>
    <t>O1266</t>
  </si>
  <si>
    <t>217752</t>
  </si>
  <si>
    <t>O1267</t>
  </si>
  <si>
    <t>315432</t>
  </si>
  <si>
    <t>O1268</t>
  </si>
  <si>
    <t>565448</t>
  </si>
  <si>
    <t>O1269</t>
  </si>
  <si>
    <t>617400</t>
  </si>
  <si>
    <t>O1270</t>
  </si>
  <si>
    <t>104677</t>
  </si>
  <si>
    <t>O1271</t>
  </si>
  <si>
    <t>580675</t>
  </si>
  <si>
    <t>O1272</t>
  </si>
  <si>
    <t>717423</t>
  </si>
  <si>
    <t>O1273</t>
  </si>
  <si>
    <t>302268</t>
  </si>
  <si>
    <t>O1274</t>
  </si>
  <si>
    <t>975584</t>
  </si>
  <si>
    <t>O1275</t>
  </si>
  <si>
    <t>181238</t>
  </si>
  <si>
    <t>O1276</t>
  </si>
  <si>
    <t>928681</t>
  </si>
  <si>
    <t>O1277</t>
  </si>
  <si>
    <t>198843</t>
  </si>
  <si>
    <t>O1278</t>
  </si>
  <si>
    <t>574768</t>
  </si>
  <si>
    <t>O1279</t>
  </si>
  <si>
    <t>155612</t>
  </si>
  <si>
    <t>O1280</t>
  </si>
  <si>
    <t>737384</t>
  </si>
  <si>
    <t>O1281</t>
  </si>
  <si>
    <t>800975</t>
  </si>
  <si>
    <t>O1282</t>
  </si>
  <si>
    <t>401411</t>
  </si>
  <si>
    <t>O1283</t>
  </si>
  <si>
    <t>100801</t>
  </si>
  <si>
    <t>O1284</t>
  </si>
  <si>
    <t>261792</t>
  </si>
  <si>
    <t>O1285</t>
  </si>
  <si>
    <t>O1286</t>
  </si>
  <si>
    <t>277476</t>
  </si>
  <si>
    <t>O1287</t>
  </si>
  <si>
    <t>765491</t>
  </si>
  <si>
    <t>O1288</t>
  </si>
  <si>
    <t>656357</t>
  </si>
  <si>
    <t>O1289</t>
  </si>
  <si>
    <t>218104</t>
  </si>
  <si>
    <t>O1290</t>
  </si>
  <si>
    <t>145784</t>
  </si>
  <si>
    <t>O1291</t>
  </si>
  <si>
    <t>355564</t>
  </si>
  <si>
    <t>O1292</t>
  </si>
  <si>
    <t>104922</t>
  </si>
  <si>
    <t>O1293</t>
  </si>
  <si>
    <t>250453</t>
  </si>
  <si>
    <t>O1294</t>
  </si>
  <si>
    <t>107086</t>
  </si>
  <si>
    <t>O1295</t>
  </si>
  <si>
    <t>863210</t>
  </si>
  <si>
    <t>O1296</t>
  </si>
  <si>
    <t>884403</t>
  </si>
  <si>
    <t>O1297</t>
  </si>
  <si>
    <t>717752</t>
  </si>
  <si>
    <t>O1298</t>
  </si>
  <si>
    <t>354174</t>
  </si>
  <si>
    <t>O1299</t>
  </si>
  <si>
    <t>195696</t>
  </si>
  <si>
    <t>O1300</t>
  </si>
  <si>
    <t>770397</t>
  </si>
  <si>
    <t>O1301</t>
  </si>
  <si>
    <t>991907</t>
  </si>
  <si>
    <t>O1302</t>
  </si>
  <si>
    <t>312826</t>
  </si>
  <si>
    <t>O1303</t>
  </si>
  <si>
    <t>581930</t>
  </si>
  <si>
    <t>O1304</t>
  </si>
  <si>
    <t>329192</t>
  </si>
  <si>
    <t>O1305</t>
  </si>
  <si>
    <t>O1306</t>
  </si>
  <si>
    <t>919444</t>
  </si>
  <si>
    <t>O1307</t>
  </si>
  <si>
    <t>772636</t>
  </si>
  <si>
    <t>O1308</t>
  </si>
  <si>
    <t>766252</t>
  </si>
  <si>
    <t>O1309</t>
  </si>
  <si>
    <t>367531</t>
  </si>
  <si>
    <t>O1310</t>
  </si>
  <si>
    <t>334484</t>
  </si>
  <si>
    <t>O1311</t>
  </si>
  <si>
    <t>486354</t>
  </si>
  <si>
    <t>O1312</t>
  </si>
  <si>
    <t>586598</t>
  </si>
  <si>
    <t>O1313</t>
  </si>
  <si>
    <t>248395</t>
  </si>
  <si>
    <t>O1314</t>
  </si>
  <si>
    <t>132583</t>
  </si>
  <si>
    <t>O1315</t>
  </si>
  <si>
    <t>119510</t>
  </si>
  <si>
    <t>O1316</t>
  </si>
  <si>
    <t>645893</t>
  </si>
  <si>
    <t>O1317</t>
  </si>
  <si>
    <t>792272</t>
  </si>
  <si>
    <t>O1318</t>
  </si>
  <si>
    <t>O1319</t>
  </si>
  <si>
    <t>792494</t>
  </si>
  <si>
    <t>O1320</t>
  </si>
  <si>
    <t>364954</t>
  </si>
  <si>
    <t>O1321</t>
  </si>
  <si>
    <t>697823</t>
  </si>
  <si>
    <t>O1322</t>
  </si>
  <si>
    <t>799793</t>
  </si>
  <si>
    <t>O1323</t>
  </si>
  <si>
    <t>652355</t>
  </si>
  <si>
    <t>O1324</t>
  </si>
  <si>
    <t>843787</t>
  </si>
  <si>
    <t>O1325</t>
  </si>
  <si>
    <t>236984</t>
  </si>
  <si>
    <t>O1326</t>
  </si>
  <si>
    <t>225555</t>
  </si>
  <si>
    <t>O1327</t>
  </si>
  <si>
    <t>O1328</t>
  </si>
  <si>
    <t>911624</t>
  </si>
  <si>
    <t>O1329</t>
  </si>
  <si>
    <t>298017</t>
  </si>
  <si>
    <t>O1330</t>
  </si>
  <si>
    <t>771064</t>
  </si>
  <si>
    <t>O1331</t>
  </si>
  <si>
    <t>350319</t>
  </si>
  <si>
    <t>O1332</t>
  </si>
  <si>
    <t>554529</t>
  </si>
  <si>
    <t>O1333</t>
  </si>
  <si>
    <t>375419</t>
  </si>
  <si>
    <t>O1334</t>
  </si>
  <si>
    <t>394768</t>
  </si>
  <si>
    <t>O1335</t>
  </si>
  <si>
    <t>462355</t>
  </si>
  <si>
    <t>O1336</t>
  </si>
  <si>
    <t>305463</t>
  </si>
  <si>
    <t>O1337</t>
  </si>
  <si>
    <t>240302</t>
  </si>
  <si>
    <t>O1338</t>
  </si>
  <si>
    <t>742064</t>
  </si>
  <si>
    <t>O1339</t>
  </si>
  <si>
    <t>626077</t>
  </si>
  <si>
    <t>O1340</t>
  </si>
  <si>
    <t>514750</t>
  </si>
  <si>
    <t>O1341</t>
  </si>
  <si>
    <t>693391</t>
  </si>
  <si>
    <t>O1342</t>
  </si>
  <si>
    <t>595054</t>
  </si>
  <si>
    <t>O1343</t>
  </si>
  <si>
    <t>853772</t>
  </si>
  <si>
    <t>O1344</t>
  </si>
  <si>
    <t>579673</t>
  </si>
  <si>
    <t>O1345</t>
  </si>
  <si>
    <t>332298</t>
  </si>
  <si>
    <t>O1346</t>
  </si>
  <si>
    <t>795109</t>
  </si>
  <si>
    <t>O1347</t>
  </si>
  <si>
    <t>265640</t>
  </si>
  <si>
    <t>O1348</t>
  </si>
  <si>
    <t>O1349</t>
  </si>
  <si>
    <t>475903</t>
  </si>
  <si>
    <t>O1350</t>
  </si>
  <si>
    <t>287167</t>
  </si>
  <si>
    <t>O1351</t>
  </si>
  <si>
    <t>143988</t>
  </si>
  <si>
    <t>O1352</t>
  </si>
  <si>
    <t>618728</t>
  </si>
  <si>
    <t>O1353</t>
  </si>
  <si>
    <t>269169</t>
  </si>
  <si>
    <t>O1354</t>
  </si>
  <si>
    <t>955738</t>
  </si>
  <si>
    <t>O1355</t>
  </si>
  <si>
    <t>859036</t>
  </si>
  <si>
    <t>O1356</t>
  </si>
  <si>
    <t>624436</t>
  </si>
  <si>
    <t>O1357</t>
  </si>
  <si>
    <t>292593</t>
  </si>
  <si>
    <t>O1358</t>
  </si>
  <si>
    <t>109795</t>
  </si>
  <si>
    <t>O1359</t>
  </si>
  <si>
    <t>O1360</t>
  </si>
  <si>
    <t>653669</t>
  </si>
  <si>
    <t>O1361</t>
  </si>
  <si>
    <t>959375</t>
  </si>
  <si>
    <t>O1362</t>
  </si>
  <si>
    <t>934212</t>
  </si>
  <si>
    <t>O1363</t>
  </si>
  <si>
    <t>742216</t>
  </si>
  <si>
    <t>O1364</t>
  </si>
  <si>
    <t>711526</t>
  </si>
  <si>
    <t>O1365</t>
  </si>
  <si>
    <t>615631</t>
  </si>
  <si>
    <t>O1366</t>
  </si>
  <si>
    <t>541144</t>
  </si>
  <si>
    <t>O1367</t>
  </si>
  <si>
    <t>381941</t>
  </si>
  <si>
    <t>O1368</t>
  </si>
  <si>
    <t>763299</t>
  </si>
  <si>
    <t>O1369</t>
  </si>
  <si>
    <t>241519</t>
  </si>
  <si>
    <t>O1370</t>
  </si>
  <si>
    <t>738902</t>
  </si>
  <si>
    <t>O1371</t>
  </si>
  <si>
    <t>494775</t>
  </si>
  <si>
    <t>O1372</t>
  </si>
  <si>
    <t>O1373</t>
  </si>
  <si>
    <t>891043</t>
  </si>
  <si>
    <t>O1374</t>
  </si>
  <si>
    <t>965847</t>
  </si>
  <si>
    <t>O1375</t>
  </si>
  <si>
    <t>O1376</t>
  </si>
  <si>
    <t>452895</t>
  </si>
  <si>
    <t>O1377</t>
  </si>
  <si>
    <t>938569</t>
  </si>
  <si>
    <t>O1378</t>
  </si>
  <si>
    <t>403564</t>
  </si>
  <si>
    <t>O1379</t>
  </si>
  <si>
    <t>658888</t>
  </si>
  <si>
    <t>O1380</t>
  </si>
  <si>
    <t>958379</t>
  </si>
  <si>
    <t>O1381</t>
  </si>
  <si>
    <t>287840</t>
  </si>
  <si>
    <t>O1382</t>
  </si>
  <si>
    <t>853642</t>
  </si>
  <si>
    <t>O1383</t>
  </si>
  <si>
    <t>704091</t>
  </si>
  <si>
    <t>O1384</t>
  </si>
  <si>
    <t>313968</t>
  </si>
  <si>
    <t>O1385</t>
  </si>
  <si>
    <t>217907</t>
  </si>
  <si>
    <t>O1386</t>
  </si>
  <si>
    <t>727915</t>
  </si>
  <si>
    <t>O1387</t>
  </si>
  <si>
    <t>O1388</t>
  </si>
  <si>
    <t>846714</t>
  </si>
  <si>
    <t>O1389</t>
  </si>
  <si>
    <t>326280</t>
  </si>
  <si>
    <t>O1390</t>
  </si>
  <si>
    <t>148458</t>
  </si>
  <si>
    <t>O1391</t>
  </si>
  <si>
    <t>527562</t>
  </si>
  <si>
    <t>O1392</t>
  </si>
  <si>
    <t>219119</t>
  </si>
  <si>
    <t>O1393</t>
  </si>
  <si>
    <t>463157</t>
  </si>
  <si>
    <t>O1394</t>
  </si>
  <si>
    <t>459267</t>
  </si>
  <si>
    <t>O1395</t>
  </si>
  <si>
    <t>221292</t>
  </si>
  <si>
    <t>O1396</t>
  </si>
  <si>
    <t>592545</t>
  </si>
  <si>
    <t>O1397</t>
  </si>
  <si>
    <t>462470</t>
  </si>
  <si>
    <t>O1398</t>
  </si>
  <si>
    <t>904114</t>
  </si>
  <si>
    <t>O1399</t>
  </si>
  <si>
    <t>834750</t>
  </si>
  <si>
    <t>O1400</t>
  </si>
  <si>
    <t>148926</t>
  </si>
  <si>
    <t>O1401</t>
  </si>
  <si>
    <t>402553</t>
  </si>
  <si>
    <t>O1402</t>
  </si>
  <si>
    <t>O1403</t>
  </si>
  <si>
    <t>174723</t>
  </si>
  <si>
    <t>O1404</t>
  </si>
  <si>
    <t>865110</t>
  </si>
  <si>
    <t>O1405</t>
  </si>
  <si>
    <t>928753</t>
  </si>
  <si>
    <t>O1406</t>
  </si>
  <si>
    <t>133545</t>
  </si>
  <si>
    <t>O1407</t>
  </si>
  <si>
    <t>887506</t>
  </si>
  <si>
    <t>O1408</t>
  </si>
  <si>
    <t>364130</t>
  </si>
  <si>
    <t>O1409</t>
  </si>
  <si>
    <t>477332</t>
  </si>
  <si>
    <t>O1410</t>
  </si>
  <si>
    <t>411896</t>
  </si>
  <si>
    <t>O1411</t>
  </si>
  <si>
    <t>896505</t>
  </si>
  <si>
    <t>O1412</t>
  </si>
  <si>
    <t>929716</t>
  </si>
  <si>
    <t>O1413</t>
  </si>
  <si>
    <t>685768</t>
  </si>
  <si>
    <t>O1414</t>
  </si>
  <si>
    <t>570076</t>
  </si>
  <si>
    <t>O1415</t>
  </si>
  <si>
    <t>664365</t>
  </si>
  <si>
    <t>O1416</t>
  </si>
  <si>
    <t>961579</t>
  </si>
  <si>
    <t>O1417</t>
  </si>
  <si>
    <t>613694</t>
  </si>
  <si>
    <t>O1418</t>
  </si>
  <si>
    <t>543232</t>
  </si>
  <si>
    <t>O1419</t>
  </si>
  <si>
    <t>628058</t>
  </si>
  <si>
    <t>O1420</t>
  </si>
  <si>
    <t>120946</t>
  </si>
  <si>
    <t>O1421</t>
  </si>
  <si>
    <t>385815</t>
  </si>
  <si>
    <t>O1422</t>
  </si>
  <si>
    <t>419957</t>
  </si>
  <si>
    <t>O1423</t>
  </si>
  <si>
    <t>323687</t>
  </si>
  <si>
    <t>O1424</t>
  </si>
  <si>
    <t>719716</t>
  </si>
  <si>
    <t>O1425</t>
  </si>
  <si>
    <t>971171</t>
  </si>
  <si>
    <t>O1426</t>
  </si>
  <si>
    <t>223168</t>
  </si>
  <si>
    <t>O1427</t>
  </si>
  <si>
    <t>478355</t>
  </si>
  <si>
    <t>O1428</t>
  </si>
  <si>
    <t>726683</t>
  </si>
  <si>
    <t>O1429</t>
  </si>
  <si>
    <t>649391</t>
  </si>
  <si>
    <t>O1430</t>
  </si>
  <si>
    <t>125825</t>
  </si>
  <si>
    <t>O1431</t>
  </si>
  <si>
    <t>166433</t>
  </si>
  <si>
    <t>O1432</t>
  </si>
  <si>
    <t>546880</t>
  </si>
  <si>
    <t>O1433</t>
  </si>
  <si>
    <t>913439</t>
  </si>
  <si>
    <t>O1434</t>
  </si>
  <si>
    <t>333746</t>
  </si>
  <si>
    <t>O1435</t>
  </si>
  <si>
    <t>757116</t>
  </si>
  <si>
    <t>O1436</t>
  </si>
  <si>
    <t>497751</t>
  </si>
  <si>
    <t>O1437</t>
  </si>
  <si>
    <t>553028</t>
  </si>
  <si>
    <t>O1438</t>
  </si>
  <si>
    <t>110207</t>
  </si>
  <si>
    <t>O1439</t>
  </si>
  <si>
    <t>775616</t>
  </si>
  <si>
    <t>O1440</t>
  </si>
  <si>
    <t>929783</t>
  </si>
  <si>
    <t>O1441</t>
  </si>
  <si>
    <t>373363</t>
  </si>
  <si>
    <t>O1442</t>
  </si>
  <si>
    <t>331615</t>
  </si>
  <si>
    <t>O1443</t>
  </si>
  <si>
    <t>848979</t>
  </si>
  <si>
    <t>O1444</t>
  </si>
  <si>
    <t>373672</t>
  </si>
  <si>
    <t>O1445</t>
  </si>
  <si>
    <t>674586</t>
  </si>
  <si>
    <t>O1446</t>
  </si>
  <si>
    <t>763478</t>
  </si>
  <si>
    <t>O1447</t>
  </si>
  <si>
    <t>161394</t>
  </si>
  <si>
    <t>O1448</t>
  </si>
  <si>
    <t>680206</t>
  </si>
  <si>
    <t>O1449</t>
  </si>
  <si>
    <t>O1450</t>
  </si>
  <si>
    <t>214310</t>
  </si>
  <si>
    <t>O1451</t>
  </si>
  <si>
    <t>796314</t>
  </si>
  <si>
    <t>O1452</t>
  </si>
  <si>
    <t>248112</t>
  </si>
  <si>
    <t>O1453</t>
  </si>
  <si>
    <t>129048</t>
  </si>
  <si>
    <t>O1454</t>
  </si>
  <si>
    <t>120968</t>
  </si>
  <si>
    <t>O1455</t>
  </si>
  <si>
    <t>441603</t>
  </si>
  <si>
    <t>O1456</t>
  </si>
  <si>
    <t>200588</t>
  </si>
  <si>
    <t>O1457</t>
  </si>
  <si>
    <t>O1458</t>
  </si>
  <si>
    <t>557301</t>
  </si>
  <si>
    <t>O1459</t>
  </si>
  <si>
    <t>630992</t>
  </si>
  <si>
    <t>O1460</t>
  </si>
  <si>
    <t>429408</t>
  </si>
  <si>
    <t>O1461</t>
  </si>
  <si>
    <t>895772</t>
  </si>
  <si>
    <t>O1462</t>
  </si>
  <si>
    <t>643447</t>
  </si>
  <si>
    <t>O1463</t>
  </si>
  <si>
    <t>866164</t>
  </si>
  <si>
    <t>O1464</t>
  </si>
  <si>
    <t>316351</t>
  </si>
  <si>
    <t>O1465</t>
  </si>
  <si>
    <t>100209</t>
  </si>
  <si>
    <t>O1466</t>
  </si>
  <si>
    <t>330144</t>
  </si>
  <si>
    <t>O1467</t>
  </si>
  <si>
    <t>614242</t>
  </si>
  <si>
    <t>O1468</t>
  </si>
  <si>
    <t>937056</t>
  </si>
  <si>
    <t>O1469</t>
  </si>
  <si>
    <t>726946</t>
  </si>
  <si>
    <t>O1470</t>
  </si>
  <si>
    <t>104576</t>
  </si>
  <si>
    <t>O1471</t>
  </si>
  <si>
    <t>114439</t>
  </si>
  <si>
    <t>O1472</t>
  </si>
  <si>
    <t>841165</t>
  </si>
  <si>
    <t>O1473</t>
  </si>
  <si>
    <t>308150</t>
  </si>
  <si>
    <t>O1474</t>
  </si>
  <si>
    <t>173631</t>
  </si>
  <si>
    <t>O1475</t>
  </si>
  <si>
    <t>527557</t>
  </si>
  <si>
    <t>O1476</t>
  </si>
  <si>
    <t>277586</t>
  </si>
  <si>
    <t>O1477</t>
  </si>
  <si>
    <t>172577</t>
  </si>
  <si>
    <t>O1478</t>
  </si>
  <si>
    <t>473337</t>
  </si>
  <si>
    <t>O1479</t>
  </si>
  <si>
    <t>821975</t>
  </si>
  <si>
    <t>O1480</t>
  </si>
  <si>
    <t>917585</t>
  </si>
  <si>
    <t>O1481</t>
  </si>
  <si>
    <t>826179</t>
  </si>
  <si>
    <t>O1482</t>
  </si>
  <si>
    <t>491337</t>
  </si>
  <si>
    <t>O1483</t>
  </si>
  <si>
    <t>O1484</t>
  </si>
  <si>
    <t>774502</t>
  </si>
  <si>
    <t>O1485</t>
  </si>
  <si>
    <t>644854</t>
  </si>
  <si>
    <t>O1486</t>
  </si>
  <si>
    <t>993724</t>
  </si>
  <si>
    <t>O1487</t>
  </si>
  <si>
    <t>120169</t>
  </si>
  <si>
    <t>O1488</t>
  </si>
  <si>
    <t>735589</t>
  </si>
  <si>
    <t>O1489</t>
  </si>
  <si>
    <t>330796</t>
  </si>
  <si>
    <t>O1490</t>
  </si>
  <si>
    <t>806050</t>
  </si>
  <si>
    <t>O1491</t>
  </si>
  <si>
    <t>O1492</t>
  </si>
  <si>
    <t>850310</t>
  </si>
  <si>
    <t>O1493</t>
  </si>
  <si>
    <t>425499</t>
  </si>
  <si>
    <t>O1494</t>
  </si>
  <si>
    <t>286256</t>
  </si>
  <si>
    <t>O1495</t>
  </si>
  <si>
    <t>118402</t>
  </si>
  <si>
    <t>O1496</t>
  </si>
  <si>
    <t>697726</t>
  </si>
  <si>
    <t>O1497</t>
  </si>
  <si>
    <t>156494</t>
  </si>
  <si>
    <t>O1498</t>
  </si>
  <si>
    <t>831455</t>
  </si>
  <si>
    <t>O1499</t>
  </si>
  <si>
    <t>752842</t>
  </si>
  <si>
    <t>O1500</t>
  </si>
  <si>
    <t>959391</t>
  </si>
  <si>
    <t>Sales</t>
  </si>
  <si>
    <t>countblank (CITY)</t>
  </si>
  <si>
    <t>N/A</t>
  </si>
  <si>
    <t>AVERAGE</t>
  </si>
  <si>
    <t>Upi</t>
  </si>
  <si>
    <t>Netbanking</t>
  </si>
  <si>
    <t>Cod</t>
  </si>
  <si>
    <t>Phonepe</t>
  </si>
  <si>
    <t>Gpay</t>
  </si>
  <si>
    <t>08-02-2025</t>
  </si>
  <si>
    <t>21-02-2025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</si>
  <si>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</si>
  <si>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</si>
  <si>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</si>
  <si>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</si>
  <si>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</si>
  <si>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</si>
  <si>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</si>
  <si>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</si>
  <si>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</si>
  <si>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</si>
  <si>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</si>
  <si>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</si>
  <si>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</si>
  <si>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</si>
  <si>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</si>
  <si>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</si>
  <si>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</si>
  <si>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</si>
  <si>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</si>
  <si>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</si>
  <si>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</si>
  <si>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</si>
  <si>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</si>
  <si>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</si>
  <si>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</si>
  <si>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</si>
  <si>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</si>
  <si>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</si>
  <si>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</si>
  <si>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</si>
  <si>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</si>
  <si>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</si>
  <si>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</si>
  <si>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</si>
  <si>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</si>
  <si>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</si>
  <si>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</si>
  <si>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</si>
  <si>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</si>
  <si>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</si>
  <si>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</si>
  <si>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</si>
  <si>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</si>
  <si>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</si>
  <si>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</si>
  <si>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29-01-2025</t>
  </si>
  <si>
    <t>03-02-2025</t>
  </si>
  <si>
    <t>10-01-2025</t>
  </si>
  <si>
    <t>31-01-2025</t>
  </si>
  <si>
    <t>17-02-2025</t>
  </si>
  <si>
    <t>14-02-2025</t>
  </si>
  <si>
    <t>10-02-2025</t>
  </si>
  <si>
    <t>01-01-2025</t>
  </si>
  <si>
    <t>05-01-2025</t>
  </si>
  <si>
    <t>13-01-2025</t>
  </si>
  <si>
    <t>01-02-2025</t>
  </si>
  <si>
    <t>25-02-2025</t>
  </si>
  <si>
    <t>15-02-2025</t>
  </si>
  <si>
    <t>TOTAL SALES</t>
  </si>
  <si>
    <t>TOTAL PRODUCTS</t>
  </si>
  <si>
    <t>TOTAL SKU'S</t>
  </si>
  <si>
    <t>AVG DELIVERY TIME</t>
  </si>
  <si>
    <t xml:space="preserve">TOTAL ORDERS </t>
  </si>
  <si>
    <t>COUNT UNIQUE</t>
  </si>
  <si>
    <t>COUNTA</t>
  </si>
  <si>
    <t xml:space="preserve">SUM </t>
  </si>
  <si>
    <t xml:space="preserve">CREATE A CHART TO SHOW THE SALES OVER DIFFERENT WEEKDAYS </t>
  </si>
  <si>
    <t>Sum of Sales</t>
  </si>
  <si>
    <t>WEEKDAYS</t>
  </si>
  <si>
    <t>Row Labels</t>
  </si>
  <si>
    <t>Sunday</t>
  </si>
  <si>
    <t>Monday</t>
  </si>
  <si>
    <t>Tuesday</t>
  </si>
  <si>
    <t>Wednesday</t>
  </si>
  <si>
    <t>Thursday</t>
  </si>
  <si>
    <t>Friday</t>
  </si>
  <si>
    <t>Saturday</t>
  </si>
  <si>
    <t>Grand Total</t>
  </si>
  <si>
    <t>CREATE A CHART TO SHOW TOP 10 PRODUCTS</t>
  </si>
  <si>
    <t xml:space="preserve">CREATE A CHART TO SHOW </t>
  </si>
  <si>
    <t>BOTTOM 1O SKU'S</t>
  </si>
  <si>
    <t xml:space="preserve">CREATE A CHART TO SHOW THE CONTRIBUTION OF SALES BY EACH CITY </t>
  </si>
  <si>
    <t xml:space="preserve">CREATE A CHART TO SHOW MAXIMUM DELIVERY TIME BY CITY </t>
  </si>
  <si>
    <t>Sum of Delivery_Time</t>
  </si>
  <si>
    <t>CREATE A CHART TO SHOW SALES BY DIFFERENT CATEGORIES</t>
  </si>
  <si>
    <t>CREATE A CHART TO SHOW NUMBER OF CUSTOMER BY EACH CUSTOMER SEGMENT</t>
  </si>
  <si>
    <t>Count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</si>
</sst>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orbel"/>
      <scheme val="minor"/>
    </font>
    <font>
      <b/>
      <sz val="11"/>
      <name val="Calibri"/>
    </font>
    <font>
      <b/>
      <sz val="11"/>
      <name val="Calibri"/>
      <family val="2"/>
    </font>
    <font>
      <sz val="11"/>
      <name val="Corbel"/>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2" borderId="0" xfId="0" applyFill="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3" borderId="0" xfId="0" applyFill="1"/>
    <xf numFmtId="0" fontId="0" fillId="4" borderId="0" xfId="0" applyFill="1"/>
    <xf numFmtId="0" fontId="0" fillId="5" borderId="0" xfId="0" applyFill="1"/>
    <xf numFmtId="49" fontId="2"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6" borderId="0" xfId="0" applyFont="1" applyFill="1"/>
    <xf numFmtId="0" fontId="0" fillId="6"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CHARTS!$B$20</c:f>
              <c:strCache>
                <c:ptCount val="1"/>
                <c:pt idx="0">
                  <c:v>Total</c:v>
                </c:pt>
              </c:strCache>
            </c:strRef>
          </c:tx>
          <c:spPr>
            <a:solidFill>
              <a:schemeClr val="accent1"/>
            </a:solidFill>
            <a:ln>
              <a:noFill/>
            </a:ln>
            <a:effectLst/>
          </c:spPr>
          <c:invertIfNegative val="0"/>
          <c:cat>
            <c:strRef>
              <c:f>CHARTS!$A$21:$A$31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CHARTS!$B$21:$B$31</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587B-44C5-8966-35F25400DD3A}"/>
            </c:ext>
          </c:extLst>
        </c:ser>
        <c:dLbls>
          <c:showLegendKey val="0"/>
          <c:showVal val="0"/>
          <c:showCatName val="0"/>
          <c:showSerName val="0"/>
          <c:showPercent val="0"/>
          <c:showBubbleSize val="0"/>
        </c:dLbls>
        <c:gapWidth val="182"/>
        <c:axId val="156229711"/>
        <c:axId val="1973578959"/>
      </c:barChart>
      <c:catAx>
        <c:axId val="15622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78959"/>
        <c:crosses val="autoZero"/>
        <c:auto val="1"/>
        <c:lblAlgn val="ctr"/>
        <c:lblOffset val="100"/>
        <c:noMultiLvlLbl val="0"/>
      </c:catAx>
      <c:valAx>
        <c:axId val="19735789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2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OVER WEEKDAYS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cat>
            <c:strRef>
              <c:f>CHARTS!$A$4:$A$11</c:f>
              <c:strCache>
                <c:ptCount val="7"/>
                <c:pt idx="0">
                  <c:v>Sunday</c:v>
                </c:pt>
                <c:pt idx="1">
                  <c:v>Monday</c:v>
                </c:pt>
                <c:pt idx="2">
                  <c:v>Tuesday</c:v>
                </c:pt>
                <c:pt idx="3">
                  <c:v>Wednesday</c:v>
                </c:pt>
                <c:pt idx="4">
                  <c:v>Thursday</c:v>
                </c:pt>
                <c:pt idx="5">
                  <c:v>Friday</c:v>
                </c:pt>
                <c:pt idx="6">
                  <c:v>Saturday</c:v>
                </c:pt>
              </c:strCache>
            </c:strRef>
          </c:cat>
          <c:val>
            <c:numRef>
              <c:f>CHARTS!$B$4:$B$11</c:f>
              <c:numCache>
                <c:formatCode>0.00</c:formatCode>
                <c:ptCount val="7"/>
                <c:pt idx="0">
                  <c:v>89688.339999999895</c:v>
                </c:pt>
                <c:pt idx="1">
                  <c:v>63297.72</c:v>
                </c:pt>
                <c:pt idx="2">
                  <c:v>69215.700000000012</c:v>
                </c:pt>
                <c:pt idx="3">
                  <c:v>89028.190000000104</c:v>
                </c:pt>
                <c:pt idx="4">
                  <c:v>91118.899999999921</c:v>
                </c:pt>
                <c:pt idx="5">
                  <c:v>75665.629999999961</c:v>
                </c:pt>
                <c:pt idx="6">
                  <c:v>85270.26999999996</c:v>
                </c:pt>
              </c:numCache>
            </c:numRef>
          </c:val>
          <c:smooth val="0"/>
          <c:extLst>
            <c:ext xmlns:c16="http://schemas.microsoft.com/office/drawing/2014/chart" uri="{C3380CC4-5D6E-409C-BE32-E72D297353CC}">
              <c16:uniqueId val="{00000000-05DA-42DF-A2D7-95948A4E1827}"/>
            </c:ext>
          </c:extLst>
        </c:ser>
        <c:dLbls>
          <c:showLegendKey val="0"/>
          <c:showVal val="0"/>
          <c:showCatName val="0"/>
          <c:showSerName val="0"/>
          <c:showPercent val="0"/>
          <c:showBubbleSize val="0"/>
        </c:dLbls>
        <c:marker val="1"/>
        <c:smooth val="0"/>
        <c:axId val="109048895"/>
        <c:axId val="1973591439"/>
      </c:lineChart>
      <c:catAx>
        <c:axId val="10904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91439"/>
        <c:crosses val="autoZero"/>
        <c:auto val="1"/>
        <c:lblAlgn val="ctr"/>
        <c:lblOffset val="100"/>
        <c:noMultiLvlLbl val="0"/>
      </c:catAx>
      <c:valAx>
        <c:axId val="1973591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CHARTS!$B$40</c:f>
              <c:strCache>
                <c:ptCount val="1"/>
                <c:pt idx="0">
                  <c:v>Total</c:v>
                </c:pt>
              </c:strCache>
            </c:strRef>
          </c:tx>
          <c:spPr>
            <a:solidFill>
              <a:schemeClr val="accent1"/>
            </a:solidFill>
            <a:ln>
              <a:noFill/>
            </a:ln>
            <a:effectLst/>
          </c:spPr>
          <c:invertIfNegative val="0"/>
          <c:cat>
            <c:strRef>
              <c:f>CHARTS!$A$41:$A$51</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CHARTS!$B$41:$B$51</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5AEA-42C4-80A9-8AFC29B10746}"/>
            </c:ext>
          </c:extLst>
        </c:ser>
        <c:dLbls>
          <c:showLegendKey val="0"/>
          <c:showVal val="0"/>
          <c:showCatName val="0"/>
          <c:showSerName val="0"/>
          <c:showPercent val="0"/>
          <c:showBubbleSize val="0"/>
        </c:dLbls>
        <c:gapWidth val="219"/>
        <c:overlap val="-27"/>
        <c:axId val="184073519"/>
        <c:axId val="1973581839"/>
      </c:barChart>
      <c:catAx>
        <c:axId val="1840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81839"/>
        <c:crosses val="autoZero"/>
        <c:auto val="1"/>
        <c:lblAlgn val="ctr"/>
        <c:lblOffset val="100"/>
        <c:noMultiLvlLbl val="0"/>
      </c:catAx>
      <c:valAx>
        <c:axId val="1973581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CONTRIBUTION BY EACH CITY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0-4CF6-A7AE-91E4B7DB7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0-4CF6-A7AE-91E4B7DB7C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0-4CF6-A7AE-91E4B7DB7C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0-4CF6-A7AE-91E4B7DB7C42}"/>
              </c:ext>
            </c:extLst>
          </c:dPt>
          <c:cat>
            <c:strRef>
              <c:f>CHARTS!$A$60:$A$64</c:f>
              <c:strCache>
                <c:ptCount val="4"/>
                <c:pt idx="0">
                  <c:v>Bangalore</c:v>
                </c:pt>
                <c:pt idx="1">
                  <c:v>Delhi</c:v>
                </c:pt>
                <c:pt idx="2">
                  <c:v>Mumbai</c:v>
                </c:pt>
                <c:pt idx="3">
                  <c:v>N/A</c:v>
                </c:pt>
              </c:strCache>
            </c:strRef>
          </c:cat>
          <c:val>
            <c:numRef>
              <c:f>CHARTS!$B$60:$B$64</c:f>
              <c:numCache>
                <c:formatCode>0.00</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E46D-4BB0-AE9F-2AD4EAD131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DELIVERY TIME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CHARTS!$B$77</c:f>
              <c:strCache>
                <c:ptCount val="1"/>
                <c:pt idx="0">
                  <c:v>Total</c:v>
                </c:pt>
              </c:strCache>
            </c:strRef>
          </c:tx>
          <c:spPr>
            <a:solidFill>
              <a:schemeClr val="accent1"/>
            </a:solidFill>
            <a:ln>
              <a:noFill/>
            </a:ln>
            <a:effectLst/>
          </c:spPr>
          <c:invertIfNegative val="0"/>
          <c:cat>
            <c:strRef>
              <c:f>CHARTS!$A$78:$A$82</c:f>
              <c:strCache>
                <c:ptCount val="4"/>
                <c:pt idx="0">
                  <c:v>Bangalore</c:v>
                </c:pt>
                <c:pt idx="1">
                  <c:v>Delhi</c:v>
                </c:pt>
                <c:pt idx="2">
                  <c:v>Mumbai</c:v>
                </c:pt>
                <c:pt idx="3">
                  <c:v>N/A</c:v>
                </c:pt>
              </c:strCache>
            </c:strRef>
          </c:cat>
          <c:val>
            <c:numRef>
              <c:f>CHARTS!$B$78:$B$82</c:f>
              <c:numCache>
                <c:formatCode>General</c:formatCode>
                <c:ptCount val="4"/>
                <c:pt idx="0">
                  <c:v>12613.600000000006</c:v>
                </c:pt>
                <c:pt idx="1">
                  <c:v>12226.930000000006</c:v>
                </c:pt>
                <c:pt idx="2">
                  <c:v>11418.930000000004</c:v>
                </c:pt>
                <c:pt idx="3">
                  <c:v>698.01999999999987</c:v>
                </c:pt>
              </c:numCache>
            </c:numRef>
          </c:val>
          <c:extLst>
            <c:ext xmlns:c16="http://schemas.microsoft.com/office/drawing/2014/chart" uri="{C3380CC4-5D6E-409C-BE32-E72D297353CC}">
              <c16:uniqueId val="{00000000-F7EC-4F34-85F5-F52F4E2313A7}"/>
            </c:ext>
          </c:extLst>
        </c:ser>
        <c:dLbls>
          <c:showLegendKey val="0"/>
          <c:showVal val="0"/>
          <c:showCatName val="0"/>
          <c:showSerName val="0"/>
          <c:showPercent val="0"/>
          <c:showBubbleSize val="0"/>
        </c:dLbls>
        <c:gapWidth val="182"/>
        <c:axId val="152360863"/>
        <c:axId val="1973692239"/>
      </c:barChart>
      <c:catAx>
        <c:axId val="15236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92239"/>
        <c:crosses val="autoZero"/>
        <c:auto val="1"/>
        <c:lblAlgn val="ctr"/>
        <c:lblOffset val="100"/>
        <c:noMultiLvlLbl val="0"/>
      </c:catAx>
      <c:valAx>
        <c:axId val="197369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CHARTS!$B$95</c:f>
              <c:strCache>
                <c:ptCount val="1"/>
                <c:pt idx="0">
                  <c:v>Total</c:v>
                </c:pt>
              </c:strCache>
            </c:strRef>
          </c:tx>
          <c:spPr>
            <a:solidFill>
              <a:schemeClr val="accent1"/>
            </a:solidFill>
            <a:ln>
              <a:noFill/>
            </a:ln>
            <a:effectLst/>
          </c:spPr>
          <c:invertIfNegative val="0"/>
          <c:cat>
            <c:strRef>
              <c:f>CHARTS!$A$96:$A$106</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CHARTS!$B$96:$B$106</c:f>
              <c:numCache>
                <c:formatCode>0.00</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D08B-49BD-B553-88EAD5581B2E}"/>
            </c:ext>
          </c:extLst>
        </c:ser>
        <c:dLbls>
          <c:showLegendKey val="0"/>
          <c:showVal val="0"/>
          <c:showCatName val="0"/>
          <c:showSerName val="0"/>
          <c:showPercent val="0"/>
          <c:showBubbleSize val="0"/>
        </c:dLbls>
        <c:gapWidth val="219"/>
        <c:overlap val="-27"/>
        <c:axId val="152363647"/>
        <c:axId val="1973677359"/>
      </c:barChart>
      <c:catAx>
        <c:axId val="1523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77359"/>
        <c:crosses val="autoZero"/>
        <c:auto val="1"/>
        <c:lblAlgn val="ctr"/>
        <c:lblOffset val="100"/>
        <c:noMultiLvlLbl val="0"/>
      </c:catAx>
      <c:valAx>
        <c:axId val="1973677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CHARTS!$B$114</c:f>
              <c:strCache>
                <c:ptCount val="1"/>
                <c:pt idx="0">
                  <c:v>Total</c:v>
                </c:pt>
              </c:strCache>
            </c:strRef>
          </c:tx>
          <c:spPr>
            <a:solidFill>
              <a:schemeClr val="accent1"/>
            </a:solidFill>
            <a:ln>
              <a:noFill/>
            </a:ln>
            <a:effectLst/>
          </c:spPr>
          <c:invertIfNegative val="0"/>
          <c:cat>
            <c:strRef>
              <c:f>CHARTS!$A$115:$A$121</c:f>
              <c:strCache>
                <c:ptCount val="6"/>
                <c:pt idx="0">
                  <c:v>Bakery</c:v>
                </c:pt>
                <c:pt idx="1">
                  <c:v>Café</c:v>
                </c:pt>
                <c:pt idx="2">
                  <c:v>Cloud Kitchen</c:v>
                </c:pt>
                <c:pt idx="3">
                  <c:v>Household</c:v>
                </c:pt>
                <c:pt idx="4">
                  <c:v>Office</c:v>
                </c:pt>
                <c:pt idx="5">
                  <c:v>Tea Stall</c:v>
                </c:pt>
              </c:strCache>
            </c:strRef>
          </c:cat>
          <c:val>
            <c:numRef>
              <c:f>CHARTS!$B$115:$B$121</c:f>
              <c:numCache>
                <c:formatCode>General</c:formatCode>
                <c:ptCount val="6"/>
                <c:pt idx="0">
                  <c:v>226</c:v>
                </c:pt>
                <c:pt idx="1">
                  <c:v>241</c:v>
                </c:pt>
                <c:pt idx="2">
                  <c:v>258</c:v>
                </c:pt>
                <c:pt idx="3">
                  <c:v>253</c:v>
                </c:pt>
                <c:pt idx="4">
                  <c:v>272</c:v>
                </c:pt>
                <c:pt idx="5">
                  <c:v>248</c:v>
                </c:pt>
              </c:numCache>
            </c:numRef>
          </c:val>
          <c:extLst>
            <c:ext xmlns:c16="http://schemas.microsoft.com/office/drawing/2014/chart" uri="{C3380CC4-5D6E-409C-BE32-E72D297353CC}">
              <c16:uniqueId val="{00000000-AF75-4AD0-8AF9-43DA2EC9F358}"/>
            </c:ext>
          </c:extLst>
        </c:ser>
        <c:dLbls>
          <c:showLegendKey val="0"/>
          <c:showVal val="0"/>
          <c:showCatName val="0"/>
          <c:showSerName val="0"/>
          <c:showPercent val="0"/>
          <c:showBubbleSize val="0"/>
        </c:dLbls>
        <c:gapWidth val="219"/>
        <c:overlap val="-27"/>
        <c:axId val="151609983"/>
        <c:axId val="1973589039"/>
      </c:barChart>
      <c:catAx>
        <c:axId val="1516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89039"/>
        <c:crosses val="autoZero"/>
        <c:auto val="1"/>
        <c:lblAlgn val="ctr"/>
        <c:lblOffset val="100"/>
        <c:noMultiLvlLbl val="0"/>
      </c:catAx>
      <c:valAx>
        <c:axId val="19735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OVER WEEKDAYS</a:t>
            </a:r>
          </a:p>
        </c:rich>
      </c:tx>
      <c:overlay val="0"/>
      <c:spPr>
        <a:noFill/>
        <a:ln>
          <a:noFill/>
        </a:ln>
        <a:effectLst>
          <a:outerShdw blurRad="50800" dist="50800" dir="5400000" algn="ctr" rotWithShape="0">
            <a:schemeClr val="accent2"/>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woPt" dir="tl"/>
          </a:scene3d>
          <a:sp3d prstMaterial="flat">
            <a:bevelT w="12700" h="25400" prst="coolSlan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cat>
            <c:strRef>
              <c:f>CHARTS!$A$4:$A$11</c:f>
              <c:strCache>
                <c:ptCount val="7"/>
                <c:pt idx="0">
                  <c:v>Sunday</c:v>
                </c:pt>
                <c:pt idx="1">
                  <c:v>Monday</c:v>
                </c:pt>
                <c:pt idx="2">
                  <c:v>Tuesday</c:v>
                </c:pt>
                <c:pt idx="3">
                  <c:v>Wednesday</c:v>
                </c:pt>
                <c:pt idx="4">
                  <c:v>Thursday</c:v>
                </c:pt>
                <c:pt idx="5">
                  <c:v>Friday</c:v>
                </c:pt>
                <c:pt idx="6">
                  <c:v>Saturday</c:v>
                </c:pt>
              </c:strCache>
            </c:strRef>
          </c:cat>
          <c:val>
            <c:numRef>
              <c:f>CHARTS!$B$4:$B$11</c:f>
              <c:numCache>
                <c:formatCode>0.00</c:formatCode>
                <c:ptCount val="7"/>
                <c:pt idx="0">
                  <c:v>89688.339999999895</c:v>
                </c:pt>
                <c:pt idx="1">
                  <c:v>63297.72</c:v>
                </c:pt>
                <c:pt idx="2">
                  <c:v>69215.700000000012</c:v>
                </c:pt>
                <c:pt idx="3">
                  <c:v>89028.190000000104</c:v>
                </c:pt>
                <c:pt idx="4">
                  <c:v>91118.899999999921</c:v>
                </c:pt>
                <c:pt idx="5">
                  <c:v>75665.629999999961</c:v>
                </c:pt>
                <c:pt idx="6">
                  <c:v>85270.26999999996</c:v>
                </c:pt>
              </c:numCache>
            </c:numRef>
          </c:val>
          <c:smooth val="0"/>
          <c:extLst>
            <c:ext xmlns:c16="http://schemas.microsoft.com/office/drawing/2014/chart" uri="{C3380CC4-5D6E-409C-BE32-E72D297353CC}">
              <c16:uniqueId val="{00000000-882D-4319-B50C-937B2E747D78}"/>
            </c:ext>
          </c:extLst>
        </c:ser>
        <c:dLbls>
          <c:showLegendKey val="0"/>
          <c:showVal val="0"/>
          <c:showCatName val="0"/>
          <c:showSerName val="0"/>
          <c:showPercent val="0"/>
          <c:showBubbleSize val="0"/>
        </c:dLbls>
        <c:marker val="1"/>
        <c:smooth val="0"/>
        <c:axId val="109048895"/>
        <c:axId val="1973591439"/>
      </c:lineChart>
      <c:catAx>
        <c:axId val="10904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91439"/>
        <c:crosses val="autoZero"/>
        <c:auto val="1"/>
        <c:lblAlgn val="ctr"/>
        <c:lblOffset val="100"/>
        <c:noMultiLvlLbl val="0"/>
      </c:catAx>
      <c:valAx>
        <c:axId val="1973591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SOLD PRODUCT</a:t>
            </a:r>
          </a:p>
        </c:rich>
      </c:tx>
      <c:overlay val="0"/>
      <c:spPr>
        <a:noFill/>
        <a:ln>
          <a:noFill/>
        </a:ln>
        <a:effectLst>
          <a:outerShdw blurRad="50800" dist="50800" dir="5400000" algn="ctr" rotWithShape="0">
            <a:schemeClr val="accent2"/>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CHARTS!$B$20</c:f>
              <c:strCache>
                <c:ptCount val="1"/>
                <c:pt idx="0">
                  <c:v>Total</c:v>
                </c:pt>
              </c:strCache>
            </c:strRef>
          </c:tx>
          <c:spPr>
            <a:solidFill>
              <a:schemeClr val="accent1"/>
            </a:solidFill>
            <a:ln>
              <a:noFill/>
            </a:ln>
            <a:effectLst/>
          </c:spPr>
          <c:invertIfNegative val="0"/>
          <c:cat>
            <c:strRef>
              <c:f>CHARTS!$A$21:$A$31</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CHARTS!$B$21:$B$31</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108-4188-B0FF-A59621A190D0}"/>
            </c:ext>
          </c:extLst>
        </c:ser>
        <c:dLbls>
          <c:showLegendKey val="0"/>
          <c:showVal val="0"/>
          <c:showCatName val="0"/>
          <c:showSerName val="0"/>
          <c:showPercent val="0"/>
          <c:showBubbleSize val="0"/>
        </c:dLbls>
        <c:gapWidth val="182"/>
        <c:axId val="156229711"/>
        <c:axId val="1973578959"/>
      </c:barChart>
      <c:catAx>
        <c:axId val="15622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78959"/>
        <c:crosses val="autoZero"/>
        <c:auto val="1"/>
        <c:lblAlgn val="ctr"/>
        <c:lblOffset val="100"/>
        <c:noMultiLvlLbl val="0"/>
      </c:catAx>
      <c:valAx>
        <c:axId val="19735789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2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BOTTOM 10 SKU'S</a:t>
            </a:r>
          </a:p>
        </c:rich>
      </c:tx>
      <c:overlay val="0"/>
      <c:spPr>
        <a:noFill/>
        <a:ln>
          <a:noFill/>
        </a:ln>
        <a:effectLst>
          <a:outerShdw blurRad="50800" dist="50800" dir="5400000" algn="ctr" rotWithShape="0">
            <a:schemeClr val="accent2"/>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CHARTS!$B$40</c:f>
              <c:strCache>
                <c:ptCount val="1"/>
                <c:pt idx="0">
                  <c:v>Total</c:v>
                </c:pt>
              </c:strCache>
            </c:strRef>
          </c:tx>
          <c:spPr>
            <a:solidFill>
              <a:schemeClr val="accent1"/>
            </a:solidFill>
            <a:ln>
              <a:noFill/>
            </a:ln>
            <a:effectLst/>
          </c:spPr>
          <c:invertIfNegative val="0"/>
          <c:cat>
            <c:strRef>
              <c:f>CHARTS!$A$41:$A$51</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CHARTS!$B$41:$B$51</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31E1-4B27-B87F-42A84FC55EF4}"/>
            </c:ext>
          </c:extLst>
        </c:ser>
        <c:dLbls>
          <c:showLegendKey val="0"/>
          <c:showVal val="0"/>
          <c:showCatName val="0"/>
          <c:showSerName val="0"/>
          <c:showPercent val="0"/>
          <c:showBubbleSize val="0"/>
        </c:dLbls>
        <c:gapWidth val="219"/>
        <c:overlap val="-27"/>
        <c:axId val="184073519"/>
        <c:axId val="1973581839"/>
      </c:barChart>
      <c:catAx>
        <c:axId val="1840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3581839"/>
        <c:crosses val="autoZero"/>
        <c:auto val="1"/>
        <c:lblAlgn val="ctr"/>
        <c:lblOffset val="100"/>
        <c:noMultiLvlLbl val="0"/>
      </c:catAx>
      <c:valAx>
        <c:axId val="1973581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40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CONTRIBUTION BY EACH CITY </a:t>
            </a:r>
            <a:endParaRPr lang="en-US"/>
          </a:p>
        </c:rich>
      </c:tx>
      <c:overlay val="0"/>
      <c:spPr>
        <a:noFill/>
        <a:ln>
          <a:noFill/>
        </a:ln>
        <a:effectLst>
          <a:outerShdw blurRad="50800" dist="50800" dir="5400000" algn="ctr" rotWithShape="0">
            <a:schemeClr val="accent2"/>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w="19050">
            <a:solidFill>
              <a:schemeClr val="lt1"/>
            </a:solidFill>
          </a:ln>
          <a:effectLst/>
        </c:spPr>
      </c:pivotFmt>
      <c:pivotFmt>
        <c:idx val="12"/>
        <c:spPr>
          <a:solidFill>
            <a:schemeClr val="bg2">
              <a:lumMod val="90000"/>
            </a:schemeClr>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002060"/>
          </a:solidFill>
          <a:ln w="19050">
            <a:solidFill>
              <a:schemeClr val="lt1"/>
            </a:solidFill>
          </a:ln>
          <a:effectLst/>
        </c:spPr>
      </c:pivotFmt>
    </c:pivotFmts>
    <c:plotArea>
      <c:layout/>
      <c:pieChart>
        <c:varyColors val="1"/>
        <c:ser>
          <c:idx val="0"/>
          <c:order val="0"/>
          <c:tx>
            <c:strRef>
              <c:f>CHARTS!$B$59</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B13C-48CF-84A7-E22A375B8D6E}"/>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B13C-48CF-84A7-E22A375B8D6E}"/>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13C-48CF-84A7-E22A375B8D6E}"/>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B13C-48CF-84A7-E22A375B8D6E}"/>
              </c:ext>
            </c:extLst>
          </c:dPt>
          <c:cat>
            <c:strRef>
              <c:f>CHARTS!$A$60:$A$64</c:f>
              <c:strCache>
                <c:ptCount val="4"/>
                <c:pt idx="0">
                  <c:v>Bangalore</c:v>
                </c:pt>
                <c:pt idx="1">
                  <c:v>Delhi</c:v>
                </c:pt>
                <c:pt idx="2">
                  <c:v>Mumbai</c:v>
                </c:pt>
                <c:pt idx="3">
                  <c:v>N/A</c:v>
                </c:pt>
              </c:strCache>
            </c:strRef>
          </c:cat>
          <c:val>
            <c:numRef>
              <c:f>CHARTS!$B$60:$B$64</c:f>
              <c:numCache>
                <c:formatCode>0.00</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8-B13C-48CF-84A7-E22A375B8D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DELIVERY TIME BY CITY</a:t>
            </a:r>
            <a:endParaRPr lang="en-US"/>
          </a:p>
        </c:rich>
      </c:tx>
      <c:overlay val="0"/>
      <c:spPr>
        <a:noFill/>
        <a:ln>
          <a:noFill/>
        </a:ln>
        <a:effectLst>
          <a:outerShdw blurRad="50800" dist="50800" dir="5400000" algn="ctr" rotWithShape="0">
            <a:schemeClr val="accent1"/>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CHARTS!$B$77</c:f>
              <c:strCache>
                <c:ptCount val="1"/>
                <c:pt idx="0">
                  <c:v>Total</c:v>
                </c:pt>
              </c:strCache>
            </c:strRef>
          </c:tx>
          <c:spPr>
            <a:solidFill>
              <a:schemeClr val="accent1"/>
            </a:solidFill>
            <a:ln>
              <a:noFill/>
            </a:ln>
            <a:effectLst/>
          </c:spPr>
          <c:invertIfNegative val="0"/>
          <c:cat>
            <c:strRef>
              <c:f>CHARTS!$A$78:$A$82</c:f>
              <c:strCache>
                <c:ptCount val="4"/>
                <c:pt idx="0">
                  <c:v>Bangalore</c:v>
                </c:pt>
                <c:pt idx="1">
                  <c:v>Delhi</c:v>
                </c:pt>
                <c:pt idx="2">
                  <c:v>Mumbai</c:v>
                </c:pt>
                <c:pt idx="3">
                  <c:v>N/A</c:v>
                </c:pt>
              </c:strCache>
            </c:strRef>
          </c:cat>
          <c:val>
            <c:numRef>
              <c:f>CHARTS!$B$78:$B$82</c:f>
              <c:numCache>
                <c:formatCode>General</c:formatCode>
                <c:ptCount val="4"/>
                <c:pt idx="0">
                  <c:v>12613.600000000006</c:v>
                </c:pt>
                <c:pt idx="1">
                  <c:v>12226.930000000006</c:v>
                </c:pt>
                <c:pt idx="2">
                  <c:v>11418.930000000004</c:v>
                </c:pt>
                <c:pt idx="3">
                  <c:v>698.01999999999987</c:v>
                </c:pt>
              </c:numCache>
            </c:numRef>
          </c:val>
          <c:extLst>
            <c:ext xmlns:c16="http://schemas.microsoft.com/office/drawing/2014/chart" uri="{C3380CC4-5D6E-409C-BE32-E72D297353CC}">
              <c16:uniqueId val="{00000000-2B6F-493F-8696-9AEF057C6B33}"/>
            </c:ext>
          </c:extLst>
        </c:ser>
        <c:dLbls>
          <c:showLegendKey val="0"/>
          <c:showVal val="0"/>
          <c:showCatName val="0"/>
          <c:showSerName val="0"/>
          <c:showPercent val="0"/>
          <c:showBubbleSize val="0"/>
        </c:dLbls>
        <c:gapWidth val="182"/>
        <c:axId val="152360863"/>
        <c:axId val="1973692239"/>
      </c:barChart>
      <c:catAx>
        <c:axId val="15236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92239"/>
        <c:crosses val="autoZero"/>
        <c:auto val="1"/>
        <c:lblAlgn val="ctr"/>
        <c:lblOffset val="100"/>
        <c:noMultiLvlLbl val="0"/>
      </c:catAx>
      <c:valAx>
        <c:axId val="197369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excel .xlxs.xlsx]CHARTS!PivotTable7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a:outerShdw blurRad="50800" dist="50800" dir="5400000" algn="ctr" rotWithShape="0">
            <a:schemeClr val="accent2"/>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CHARTS!$B$95</c:f>
              <c:strCache>
                <c:ptCount val="1"/>
                <c:pt idx="0">
                  <c:v>Total</c:v>
                </c:pt>
              </c:strCache>
            </c:strRef>
          </c:tx>
          <c:spPr>
            <a:solidFill>
              <a:schemeClr val="accent4">
                <a:lumMod val="50000"/>
              </a:schemeClr>
            </a:solidFill>
            <a:ln>
              <a:noFill/>
            </a:ln>
            <a:effectLst/>
          </c:spPr>
          <c:invertIfNegative val="0"/>
          <c:cat>
            <c:strRef>
              <c:f>CHARTS!$A$96:$A$106</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CHARTS!$B$96:$B$106</c:f>
              <c:numCache>
                <c:formatCode>0.00</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6406-4B8D-BDB7-C96A5A6389CC}"/>
            </c:ext>
          </c:extLst>
        </c:ser>
        <c:dLbls>
          <c:showLegendKey val="0"/>
          <c:showVal val="0"/>
          <c:showCatName val="0"/>
          <c:showSerName val="0"/>
          <c:showPercent val="0"/>
          <c:showBubbleSize val="0"/>
        </c:dLbls>
        <c:gapWidth val="219"/>
        <c:overlap val="-27"/>
        <c:axId val="152363647"/>
        <c:axId val="1973677359"/>
      </c:barChart>
      <c:catAx>
        <c:axId val="1523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77359"/>
        <c:crosses val="autoZero"/>
        <c:auto val="1"/>
        <c:lblAlgn val="ctr"/>
        <c:lblOffset val="100"/>
        <c:noMultiLvlLbl val="0"/>
      </c:catAx>
      <c:valAx>
        <c:axId val="19736773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18</xdr:row>
      <xdr:rowOff>160020</xdr:rowOff>
    </xdr:from>
    <xdr:to>
      <xdr:col>10</xdr:col>
      <xdr:colOff>304800</xdr:colOff>
      <xdr:row>33</xdr:row>
      <xdr:rowOff>160020</xdr:rowOff>
    </xdr:to>
    <xdr:graphicFrame macro="">
      <xdr:nvGraphicFramePr>
        <xdr:cNvPr id="3" name="Chart 2">
          <a:extLst>
            <a:ext uri="{FF2B5EF4-FFF2-40B4-BE49-F238E27FC236}">
              <a16:creationId xmlns:a16="http://schemas.microsoft.com/office/drawing/2014/main" id="{97355789-5034-428B-D681-11A69230F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xdr:row>
      <xdr:rowOff>160020</xdr:rowOff>
    </xdr:from>
    <xdr:to>
      <xdr:col>10</xdr:col>
      <xdr:colOff>198120</xdr:colOff>
      <xdr:row>15</xdr:row>
      <xdr:rowOff>83820</xdr:rowOff>
    </xdr:to>
    <xdr:graphicFrame macro="">
      <xdr:nvGraphicFramePr>
        <xdr:cNvPr id="4" name="Chart 3">
          <a:extLst>
            <a:ext uri="{FF2B5EF4-FFF2-40B4-BE49-F238E27FC236}">
              <a16:creationId xmlns:a16="http://schemas.microsoft.com/office/drawing/2014/main" id="{62DC36CE-FC90-DF67-E67C-6EDFF4807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39</xdr:row>
      <xdr:rowOff>0</xdr:rowOff>
    </xdr:from>
    <xdr:to>
      <xdr:col>10</xdr:col>
      <xdr:colOff>327660</xdr:colOff>
      <xdr:row>54</xdr:row>
      <xdr:rowOff>0</xdr:rowOff>
    </xdr:to>
    <xdr:graphicFrame macro="">
      <xdr:nvGraphicFramePr>
        <xdr:cNvPr id="5" name="Chart 4">
          <a:extLst>
            <a:ext uri="{FF2B5EF4-FFF2-40B4-BE49-F238E27FC236}">
              <a16:creationId xmlns:a16="http://schemas.microsoft.com/office/drawing/2014/main" id="{4CB86042-5E48-4EE8-7891-0FDDF23B1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58</xdr:row>
      <xdr:rowOff>7620</xdr:rowOff>
    </xdr:from>
    <xdr:to>
      <xdr:col>10</xdr:col>
      <xdr:colOff>45720</xdr:colOff>
      <xdr:row>71</xdr:row>
      <xdr:rowOff>22860</xdr:rowOff>
    </xdr:to>
    <xdr:graphicFrame macro="">
      <xdr:nvGraphicFramePr>
        <xdr:cNvPr id="6" name="Chart 5">
          <a:extLst>
            <a:ext uri="{FF2B5EF4-FFF2-40B4-BE49-F238E27FC236}">
              <a16:creationId xmlns:a16="http://schemas.microsoft.com/office/drawing/2014/main" id="{676B3954-8691-26CC-9532-92C313143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75</xdr:row>
      <xdr:rowOff>175260</xdr:rowOff>
    </xdr:from>
    <xdr:to>
      <xdr:col>9</xdr:col>
      <xdr:colOff>556260</xdr:colOff>
      <xdr:row>89</xdr:row>
      <xdr:rowOff>45720</xdr:rowOff>
    </xdr:to>
    <xdr:graphicFrame macro="">
      <xdr:nvGraphicFramePr>
        <xdr:cNvPr id="7" name="Chart 6">
          <a:extLst>
            <a:ext uri="{FF2B5EF4-FFF2-40B4-BE49-F238E27FC236}">
              <a16:creationId xmlns:a16="http://schemas.microsoft.com/office/drawing/2014/main" id="{A0CC72EA-FABE-21A4-7485-2F3E4E66D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579120</xdr:colOff>
      <xdr:row>94</xdr:row>
      <xdr:rowOff>0</xdr:rowOff>
    </xdr:from>
    <xdr:to>
      <xdr:col>10</xdr:col>
      <xdr:colOff>274320</xdr:colOff>
      <xdr:row>109</xdr:row>
      <xdr:rowOff>0</xdr:rowOff>
    </xdr:to>
    <xdr:graphicFrame macro="">
      <xdr:nvGraphicFramePr>
        <xdr:cNvPr id="8" name="Chart 7">
          <a:extLst>
            <a:ext uri="{FF2B5EF4-FFF2-40B4-BE49-F238E27FC236}">
              <a16:creationId xmlns:a16="http://schemas.microsoft.com/office/drawing/2014/main" id="{581CEA81-9C85-8679-D3E4-B819350F2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601980</xdr:colOff>
      <xdr:row>112</xdr:row>
      <xdr:rowOff>167640</xdr:rowOff>
    </xdr:from>
    <xdr:to>
      <xdr:col>10</xdr:col>
      <xdr:colOff>297180</xdr:colOff>
      <xdr:row>127</xdr:row>
      <xdr:rowOff>167640</xdr:rowOff>
    </xdr:to>
    <xdr:graphicFrame macro="">
      <xdr:nvGraphicFramePr>
        <xdr:cNvPr id="9" name="Chart 8">
          <a:extLst>
            <a:ext uri="{FF2B5EF4-FFF2-40B4-BE49-F238E27FC236}">
              <a16:creationId xmlns:a16="http://schemas.microsoft.com/office/drawing/2014/main" id="{FF6BC208-5E2A-D98B-0B53-0A3C519B6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381000</xdr:colOff>
      <xdr:row>1</xdr:row>
      <xdr:rowOff>160020</xdr:rowOff>
    </xdr:from>
    <xdr:to>
      <xdr:col>13</xdr:col>
      <xdr:colOff>381000</xdr:colOff>
      <xdr:row>15</xdr:row>
      <xdr:rowOff>66675</xdr:rowOff>
    </xdr:to>
    <mc:AlternateContent xmlns:mc="http://schemas.openxmlformats.org/markup-compatibility/2006">
      <mc:Choice xmlns:a14="http://schemas.microsoft.com/office/drawing/2010/main" Requires="a14">
        <xdr:graphicFrame macro="">
          <xdr:nvGraphicFramePr>
            <xdr:cNvPr id="10" name="WEEKDAYS">
              <a:extLst>
                <a:ext uri="{FF2B5EF4-FFF2-40B4-BE49-F238E27FC236}">
                  <a16:creationId xmlns:a16="http://schemas.microsoft.com/office/drawing/2014/main" id="{A396C5DD-B82D-07EB-3C2A-36536F6E26A0}"/>
                </a:ext>
              </a:extLst>
            </xdr:cNvPr>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dr:sp macro="" textlink="">
          <xdr:nvSpPr>
            <xdr:cNvPr id="0" name=""/>
            <xdr:cNvSpPr>
              <a:spLocks noTextEdit="1"/>
            </xdr:cNvSpPr>
          </xdr:nvSpPr>
          <xdr:spPr>
            <a:xfrm>
              <a:off x="779526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57</xdr:row>
      <xdr:rowOff>160020</xdr:rowOff>
    </xdr:from>
    <xdr:to>
      <xdr:col>13</xdr:col>
      <xdr:colOff>449580</xdr:colOff>
      <xdr:row>71</xdr:row>
      <xdr:rowOff>66675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4F6E15E0-2A8F-5DBA-D83C-FAF6D8F8E6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863840" y="1058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94</xdr:row>
      <xdr:rowOff>30480</xdr:rowOff>
    </xdr:from>
    <xdr:to>
      <xdr:col>13</xdr:col>
      <xdr:colOff>556260</xdr:colOff>
      <xdr:row>107</xdr:row>
      <xdr:rowOff>120015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8EAE6DBA-7B39-8192-1037-D0ED45F00D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70520" y="17221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113</xdr:row>
      <xdr:rowOff>7620</xdr:rowOff>
    </xdr:from>
    <xdr:to>
      <xdr:col>14</xdr:col>
      <xdr:colOff>22860</xdr:colOff>
      <xdr:row>126</xdr:row>
      <xdr:rowOff>97155</xdr:rowOff>
    </xdr:to>
    <mc:AlternateContent xmlns:mc="http://schemas.openxmlformats.org/markup-compatibility/2006">
      <mc:Choice xmlns:a14="http://schemas.microsoft.com/office/drawing/2010/main" Requires="a14">
        <xdr:graphicFrame macro="">
          <xdr:nvGraphicFramePr>
            <xdr:cNvPr id="13" name="Customer_Segment">
              <a:extLst>
                <a:ext uri="{FF2B5EF4-FFF2-40B4-BE49-F238E27FC236}">
                  <a16:creationId xmlns:a16="http://schemas.microsoft.com/office/drawing/2014/main" id="{931C262E-5093-7503-9738-269B03142F3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8046720" y="2067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83820</xdr:rowOff>
    </xdr:from>
    <xdr:to>
      <xdr:col>16</xdr:col>
      <xdr:colOff>594360</xdr:colOff>
      <xdr:row>38</xdr:row>
      <xdr:rowOff>160020</xdr:rowOff>
    </xdr:to>
    <xdr:sp macro="" textlink="">
      <xdr:nvSpPr>
        <xdr:cNvPr id="2" name="Rectangle 1">
          <a:extLst>
            <a:ext uri="{FF2B5EF4-FFF2-40B4-BE49-F238E27FC236}">
              <a16:creationId xmlns:a16="http://schemas.microsoft.com/office/drawing/2014/main" id="{CF9B2CBC-92DE-50F1-AF42-41EF8FABF309}"/>
            </a:ext>
          </a:extLst>
        </xdr:cNvPr>
        <xdr:cNvSpPr/>
      </xdr:nvSpPr>
      <xdr:spPr>
        <a:xfrm>
          <a:off x="83820" y="83820"/>
          <a:ext cx="10264140" cy="7025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1</xdr:row>
      <xdr:rowOff>129540</xdr:rowOff>
    </xdr:from>
    <xdr:to>
      <xdr:col>6</xdr:col>
      <xdr:colOff>160020</xdr:colOff>
      <xdr:row>6</xdr:row>
      <xdr:rowOff>121920</xdr:rowOff>
    </xdr:to>
    <xdr:sp macro="" textlink="">
      <xdr:nvSpPr>
        <xdr:cNvPr id="3" name="Rectangle: Rounded Corners 2">
          <a:extLst>
            <a:ext uri="{FF2B5EF4-FFF2-40B4-BE49-F238E27FC236}">
              <a16:creationId xmlns:a16="http://schemas.microsoft.com/office/drawing/2014/main" id="{7CF639BB-64DD-9877-1026-658B14D0EE11}"/>
            </a:ext>
          </a:extLst>
        </xdr:cNvPr>
        <xdr:cNvSpPr/>
      </xdr:nvSpPr>
      <xdr:spPr>
        <a:xfrm>
          <a:off x="2362200" y="312420"/>
          <a:ext cx="1455420" cy="9067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TOTAL SALES:</a:t>
          </a:r>
        </a:p>
        <a:p>
          <a:pPr algn="l"/>
          <a:r>
            <a:rPr lang="en-IN" sz="1200" b="1">
              <a:solidFill>
                <a:schemeClr val="tx1"/>
              </a:solidFill>
              <a:latin typeface="Arial Black" panose="020B0A04020102020204" pitchFamily="34" charset="0"/>
            </a:rPr>
            <a:t>563284.75</a:t>
          </a:r>
        </a:p>
      </xdr:txBody>
    </xdr:sp>
    <xdr:clientData/>
  </xdr:twoCellAnchor>
  <xdr:twoCellAnchor>
    <xdr:from>
      <xdr:col>14</xdr:col>
      <xdr:colOff>167640</xdr:colOff>
      <xdr:row>1</xdr:row>
      <xdr:rowOff>114300</xdr:rowOff>
    </xdr:from>
    <xdr:to>
      <xdr:col>16</xdr:col>
      <xdr:colOff>403860</xdr:colOff>
      <xdr:row>6</xdr:row>
      <xdr:rowOff>106680</xdr:rowOff>
    </xdr:to>
    <xdr:sp macro="" textlink="">
      <xdr:nvSpPr>
        <xdr:cNvPr id="4" name="Rectangle: Rounded Corners 3">
          <a:extLst>
            <a:ext uri="{FF2B5EF4-FFF2-40B4-BE49-F238E27FC236}">
              <a16:creationId xmlns:a16="http://schemas.microsoft.com/office/drawing/2014/main" id="{10AED098-F5C5-450B-9728-CB7DD023B237}"/>
            </a:ext>
          </a:extLst>
        </xdr:cNvPr>
        <xdr:cNvSpPr/>
      </xdr:nvSpPr>
      <xdr:spPr>
        <a:xfrm>
          <a:off x="8702040" y="297180"/>
          <a:ext cx="1455420" cy="9067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Arial Black" panose="020B0A04020102020204" pitchFamily="34" charset="0"/>
            </a:rPr>
            <a:t>AVG DELIVERY TIME</a:t>
          </a:r>
        </a:p>
        <a:p>
          <a:pPr algn="l"/>
          <a:r>
            <a:rPr lang="en-IN" sz="1400">
              <a:solidFill>
                <a:schemeClr val="tx1"/>
              </a:solidFill>
              <a:latin typeface="Arial Black" panose="020B0A04020102020204" pitchFamily="34" charset="0"/>
            </a:rPr>
            <a:t>24.67</a:t>
          </a:r>
        </a:p>
      </xdr:txBody>
    </xdr:sp>
    <xdr:clientData/>
  </xdr:twoCellAnchor>
  <xdr:twoCellAnchor>
    <xdr:from>
      <xdr:col>11</xdr:col>
      <xdr:colOff>441960</xdr:colOff>
      <xdr:row>1</xdr:row>
      <xdr:rowOff>121920</xdr:rowOff>
    </xdr:from>
    <xdr:to>
      <xdr:col>14</xdr:col>
      <xdr:colOff>68580</xdr:colOff>
      <xdr:row>6</xdr:row>
      <xdr:rowOff>114300</xdr:rowOff>
    </xdr:to>
    <xdr:sp macro="" textlink="">
      <xdr:nvSpPr>
        <xdr:cNvPr id="5" name="Rectangle: Rounded Corners 4">
          <a:extLst>
            <a:ext uri="{FF2B5EF4-FFF2-40B4-BE49-F238E27FC236}">
              <a16:creationId xmlns:a16="http://schemas.microsoft.com/office/drawing/2014/main" id="{FD3DC393-FB3D-4FF5-8DCD-6F8EA4133530}"/>
            </a:ext>
          </a:extLst>
        </xdr:cNvPr>
        <xdr:cNvSpPr/>
      </xdr:nvSpPr>
      <xdr:spPr>
        <a:xfrm>
          <a:off x="7147560" y="304800"/>
          <a:ext cx="1455420" cy="9067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TOTAL ORDERS</a:t>
          </a:r>
        </a:p>
        <a:p>
          <a:pPr algn="l"/>
          <a:r>
            <a:rPr lang="en-IN" sz="1200" b="1">
              <a:solidFill>
                <a:schemeClr val="tx1"/>
              </a:solidFill>
              <a:latin typeface="Arial Black" panose="020B0A04020102020204" pitchFamily="34" charset="0"/>
            </a:rPr>
            <a:t>1498 </a:t>
          </a:r>
        </a:p>
      </xdr:txBody>
    </xdr:sp>
    <xdr:clientData/>
  </xdr:twoCellAnchor>
  <xdr:twoCellAnchor>
    <xdr:from>
      <xdr:col>9</xdr:col>
      <xdr:colOff>91440</xdr:colOff>
      <xdr:row>1</xdr:row>
      <xdr:rowOff>137160</xdr:rowOff>
    </xdr:from>
    <xdr:to>
      <xdr:col>11</xdr:col>
      <xdr:colOff>327660</xdr:colOff>
      <xdr:row>6</xdr:row>
      <xdr:rowOff>129540</xdr:rowOff>
    </xdr:to>
    <xdr:sp macro="" textlink="">
      <xdr:nvSpPr>
        <xdr:cNvPr id="6" name="Rectangle: Rounded Corners 5">
          <a:extLst>
            <a:ext uri="{FF2B5EF4-FFF2-40B4-BE49-F238E27FC236}">
              <a16:creationId xmlns:a16="http://schemas.microsoft.com/office/drawing/2014/main" id="{CD6FB209-C640-4CE2-AA91-FB63AD349D22}"/>
            </a:ext>
          </a:extLst>
        </xdr:cNvPr>
        <xdr:cNvSpPr/>
      </xdr:nvSpPr>
      <xdr:spPr>
        <a:xfrm>
          <a:off x="5577840" y="320040"/>
          <a:ext cx="1455420" cy="9067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TOTAL SKU'S:</a:t>
          </a:r>
        </a:p>
        <a:p>
          <a:pPr algn="l"/>
          <a:r>
            <a:rPr lang="en-IN" sz="1200">
              <a:solidFill>
                <a:schemeClr val="tx1"/>
              </a:solidFill>
              <a:latin typeface="Arial Black" panose="020B0A04020102020204" pitchFamily="34" charset="0"/>
            </a:rPr>
            <a:t>200</a:t>
          </a:r>
        </a:p>
      </xdr:txBody>
    </xdr:sp>
    <xdr:clientData/>
  </xdr:twoCellAnchor>
  <xdr:twoCellAnchor>
    <xdr:from>
      <xdr:col>6</xdr:col>
      <xdr:colOff>320040</xdr:colOff>
      <xdr:row>1</xdr:row>
      <xdr:rowOff>144780</xdr:rowOff>
    </xdr:from>
    <xdr:to>
      <xdr:col>8</xdr:col>
      <xdr:colOff>556260</xdr:colOff>
      <xdr:row>6</xdr:row>
      <xdr:rowOff>137160</xdr:rowOff>
    </xdr:to>
    <xdr:sp macro="" textlink="">
      <xdr:nvSpPr>
        <xdr:cNvPr id="7" name="Rectangle: Rounded Corners 6">
          <a:extLst>
            <a:ext uri="{FF2B5EF4-FFF2-40B4-BE49-F238E27FC236}">
              <a16:creationId xmlns:a16="http://schemas.microsoft.com/office/drawing/2014/main" id="{FD73C413-69ED-4802-9367-6B1AB017CF2A}"/>
            </a:ext>
          </a:extLst>
        </xdr:cNvPr>
        <xdr:cNvSpPr/>
      </xdr:nvSpPr>
      <xdr:spPr>
        <a:xfrm>
          <a:off x="3977640" y="327660"/>
          <a:ext cx="1455420" cy="9067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TOTAL PRODUCTS :</a:t>
          </a:r>
        </a:p>
        <a:p>
          <a:pPr algn="l"/>
          <a:r>
            <a:rPr lang="en-IN" sz="1200" b="1">
              <a:solidFill>
                <a:schemeClr val="tx1"/>
              </a:solidFill>
              <a:latin typeface="Arial Black" panose="020B0A04020102020204" pitchFamily="34" charset="0"/>
            </a:rPr>
            <a:t>200</a:t>
          </a:r>
        </a:p>
      </xdr:txBody>
    </xdr:sp>
    <xdr:clientData/>
  </xdr:twoCellAnchor>
  <xdr:twoCellAnchor>
    <xdr:from>
      <xdr:col>0</xdr:col>
      <xdr:colOff>198120</xdr:colOff>
      <xdr:row>8</xdr:row>
      <xdr:rowOff>30480</xdr:rowOff>
    </xdr:from>
    <xdr:to>
      <xdr:col>3</xdr:col>
      <xdr:colOff>335280</xdr:colOff>
      <xdr:row>23</xdr:row>
      <xdr:rowOff>152400</xdr:rowOff>
    </xdr:to>
    <xdr:sp macro="" textlink="">
      <xdr:nvSpPr>
        <xdr:cNvPr id="8" name="Rectangle 7">
          <a:extLst>
            <a:ext uri="{FF2B5EF4-FFF2-40B4-BE49-F238E27FC236}">
              <a16:creationId xmlns:a16="http://schemas.microsoft.com/office/drawing/2014/main" id="{C0CA3B64-22C9-6CFD-62CE-10FED4C90288}"/>
            </a:ext>
          </a:extLst>
        </xdr:cNvPr>
        <xdr:cNvSpPr/>
      </xdr:nvSpPr>
      <xdr:spPr>
        <a:xfrm>
          <a:off x="198120" y="1493520"/>
          <a:ext cx="1965960" cy="28651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335280</xdr:colOff>
      <xdr:row>8</xdr:row>
      <xdr:rowOff>30480</xdr:rowOff>
    </xdr:from>
    <xdr:to>
      <xdr:col>13</xdr:col>
      <xdr:colOff>472440</xdr:colOff>
      <xdr:row>23</xdr:row>
      <xdr:rowOff>114300</xdr:rowOff>
    </xdr:to>
    <xdr:sp macro="" textlink="">
      <xdr:nvSpPr>
        <xdr:cNvPr id="9" name="Rectangle 8">
          <a:extLst>
            <a:ext uri="{FF2B5EF4-FFF2-40B4-BE49-F238E27FC236}">
              <a16:creationId xmlns:a16="http://schemas.microsoft.com/office/drawing/2014/main" id="{91DED5D8-D021-4B17-ACC7-46BF0C1FA0E7}"/>
            </a:ext>
          </a:extLst>
        </xdr:cNvPr>
        <xdr:cNvSpPr/>
      </xdr:nvSpPr>
      <xdr:spPr>
        <a:xfrm>
          <a:off x="6431280" y="1493520"/>
          <a:ext cx="1965960" cy="28270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472440</xdr:colOff>
      <xdr:row>8</xdr:row>
      <xdr:rowOff>68580</xdr:rowOff>
    </xdr:from>
    <xdr:to>
      <xdr:col>10</xdr:col>
      <xdr:colOff>213360</xdr:colOff>
      <xdr:row>19</xdr:row>
      <xdr:rowOff>22860</xdr:rowOff>
    </xdr:to>
    <xdr:sp macro="" textlink="">
      <xdr:nvSpPr>
        <xdr:cNvPr id="10" name="Rectangle 9">
          <a:extLst>
            <a:ext uri="{FF2B5EF4-FFF2-40B4-BE49-F238E27FC236}">
              <a16:creationId xmlns:a16="http://schemas.microsoft.com/office/drawing/2014/main" id="{BBED99D8-928C-468C-B2D3-3AF59DC8A1E3}"/>
            </a:ext>
          </a:extLst>
        </xdr:cNvPr>
        <xdr:cNvSpPr/>
      </xdr:nvSpPr>
      <xdr:spPr>
        <a:xfrm rot="16200000">
          <a:off x="3322320" y="510540"/>
          <a:ext cx="1965960" cy="40081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24</xdr:row>
      <xdr:rowOff>121920</xdr:rowOff>
    </xdr:from>
    <xdr:to>
      <xdr:col>3</xdr:col>
      <xdr:colOff>327660</xdr:colOff>
      <xdr:row>37</xdr:row>
      <xdr:rowOff>121920</xdr:rowOff>
    </xdr:to>
    <xdr:sp macro="" textlink="">
      <xdr:nvSpPr>
        <xdr:cNvPr id="11" name="Rectangle 10">
          <a:extLst>
            <a:ext uri="{FF2B5EF4-FFF2-40B4-BE49-F238E27FC236}">
              <a16:creationId xmlns:a16="http://schemas.microsoft.com/office/drawing/2014/main" id="{D2438740-483D-726B-01B0-7BA7207A6A16}"/>
            </a:ext>
          </a:extLst>
        </xdr:cNvPr>
        <xdr:cNvSpPr/>
      </xdr:nvSpPr>
      <xdr:spPr>
        <a:xfrm>
          <a:off x="236220" y="4511040"/>
          <a:ext cx="1920240" cy="237744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472440</xdr:colOff>
      <xdr:row>19</xdr:row>
      <xdr:rowOff>160020</xdr:rowOff>
    </xdr:from>
    <xdr:to>
      <xdr:col>10</xdr:col>
      <xdr:colOff>190500</xdr:colOff>
      <xdr:row>37</xdr:row>
      <xdr:rowOff>152400</xdr:rowOff>
    </xdr:to>
    <xdr:sp macro="" textlink="">
      <xdr:nvSpPr>
        <xdr:cNvPr id="12" name="Rectangle 11">
          <a:extLst>
            <a:ext uri="{FF2B5EF4-FFF2-40B4-BE49-F238E27FC236}">
              <a16:creationId xmlns:a16="http://schemas.microsoft.com/office/drawing/2014/main" id="{90881E0B-3C41-74CE-FCC4-9360CB1A5DF2}"/>
            </a:ext>
          </a:extLst>
        </xdr:cNvPr>
        <xdr:cNvSpPr/>
      </xdr:nvSpPr>
      <xdr:spPr>
        <a:xfrm>
          <a:off x="2301240" y="3634740"/>
          <a:ext cx="3985260" cy="32842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358140</xdr:colOff>
      <xdr:row>24</xdr:row>
      <xdr:rowOff>99060</xdr:rowOff>
    </xdr:from>
    <xdr:to>
      <xdr:col>13</xdr:col>
      <xdr:colOff>480060</xdr:colOff>
      <xdr:row>37</xdr:row>
      <xdr:rowOff>114300</xdr:rowOff>
    </xdr:to>
    <xdr:sp macro="" textlink="">
      <xdr:nvSpPr>
        <xdr:cNvPr id="13" name="Rectangle 12">
          <a:extLst>
            <a:ext uri="{FF2B5EF4-FFF2-40B4-BE49-F238E27FC236}">
              <a16:creationId xmlns:a16="http://schemas.microsoft.com/office/drawing/2014/main" id="{B21F9208-EB3F-7304-880B-AE9C5265130F}"/>
            </a:ext>
          </a:extLst>
        </xdr:cNvPr>
        <xdr:cNvSpPr/>
      </xdr:nvSpPr>
      <xdr:spPr>
        <a:xfrm>
          <a:off x="6454140" y="4488180"/>
          <a:ext cx="1950720" cy="239268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8</xdr:row>
      <xdr:rowOff>30480</xdr:rowOff>
    </xdr:from>
    <xdr:to>
      <xdr:col>3</xdr:col>
      <xdr:colOff>335280</xdr:colOff>
      <xdr:row>23</xdr:row>
      <xdr:rowOff>144780</xdr:rowOff>
    </xdr:to>
    <xdr:graphicFrame macro="">
      <xdr:nvGraphicFramePr>
        <xdr:cNvPr id="14" name="Chart 13">
          <a:extLst>
            <a:ext uri="{FF2B5EF4-FFF2-40B4-BE49-F238E27FC236}">
              <a16:creationId xmlns:a16="http://schemas.microsoft.com/office/drawing/2014/main" id="{070F88D5-B8D8-4BE9-9B1B-675B6CBC6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20</xdr:row>
      <xdr:rowOff>38100</xdr:rowOff>
    </xdr:from>
    <xdr:to>
      <xdr:col>10</xdr:col>
      <xdr:colOff>152400</xdr:colOff>
      <xdr:row>37</xdr:row>
      <xdr:rowOff>121920</xdr:rowOff>
    </xdr:to>
    <xdr:graphicFrame macro="">
      <xdr:nvGraphicFramePr>
        <xdr:cNvPr id="15" name="Chart 14">
          <a:extLst>
            <a:ext uri="{FF2B5EF4-FFF2-40B4-BE49-F238E27FC236}">
              <a16:creationId xmlns:a16="http://schemas.microsoft.com/office/drawing/2014/main" id="{30027E9B-27C6-4983-AE74-924AC8F07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8</xdr:row>
      <xdr:rowOff>68580</xdr:rowOff>
    </xdr:from>
    <xdr:to>
      <xdr:col>10</xdr:col>
      <xdr:colOff>182880</xdr:colOff>
      <xdr:row>18</xdr:row>
      <xdr:rowOff>175260</xdr:rowOff>
    </xdr:to>
    <xdr:graphicFrame macro="">
      <xdr:nvGraphicFramePr>
        <xdr:cNvPr id="16" name="Chart 15">
          <a:extLst>
            <a:ext uri="{FF2B5EF4-FFF2-40B4-BE49-F238E27FC236}">
              <a16:creationId xmlns:a16="http://schemas.microsoft.com/office/drawing/2014/main" id="{BA814D9A-FE05-458F-A731-D831F9E52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358140</xdr:colOff>
      <xdr:row>24</xdr:row>
      <xdr:rowOff>99060</xdr:rowOff>
    </xdr:from>
    <xdr:to>
      <xdr:col>13</xdr:col>
      <xdr:colOff>510540</xdr:colOff>
      <xdr:row>37</xdr:row>
      <xdr:rowOff>144780</xdr:rowOff>
    </xdr:to>
    <xdr:graphicFrame macro="">
      <xdr:nvGraphicFramePr>
        <xdr:cNvPr id="17" name="Chart 16">
          <a:extLst>
            <a:ext uri="{FF2B5EF4-FFF2-40B4-BE49-F238E27FC236}">
              <a16:creationId xmlns:a16="http://schemas.microsoft.com/office/drawing/2014/main" id="{FF88D8F6-A60A-4DD1-AA15-FB3748F88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236220</xdr:colOff>
      <xdr:row>24</xdr:row>
      <xdr:rowOff>121920</xdr:rowOff>
    </xdr:from>
    <xdr:to>
      <xdr:col>3</xdr:col>
      <xdr:colOff>320040</xdr:colOff>
      <xdr:row>37</xdr:row>
      <xdr:rowOff>60960</xdr:rowOff>
    </xdr:to>
    <xdr:graphicFrame macro="">
      <xdr:nvGraphicFramePr>
        <xdr:cNvPr id="18" name="Chart 17">
          <a:extLst>
            <a:ext uri="{FF2B5EF4-FFF2-40B4-BE49-F238E27FC236}">
              <a16:creationId xmlns:a16="http://schemas.microsoft.com/office/drawing/2014/main" id="{C6FA1D39-9E5F-44FF-8980-61783E3AB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335280</xdr:colOff>
      <xdr:row>8</xdr:row>
      <xdr:rowOff>30480</xdr:rowOff>
    </xdr:from>
    <xdr:to>
      <xdr:col>13</xdr:col>
      <xdr:colOff>472440</xdr:colOff>
      <xdr:row>23</xdr:row>
      <xdr:rowOff>30480</xdr:rowOff>
    </xdr:to>
    <xdr:graphicFrame macro="">
      <xdr:nvGraphicFramePr>
        <xdr:cNvPr id="19" name="Chart 18">
          <a:extLst>
            <a:ext uri="{FF2B5EF4-FFF2-40B4-BE49-F238E27FC236}">
              <a16:creationId xmlns:a16="http://schemas.microsoft.com/office/drawing/2014/main" id="{FF51D6B0-2471-48C8-AC34-B6E1CF13F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274320</xdr:colOff>
      <xdr:row>1</xdr:row>
      <xdr:rowOff>121920</xdr:rowOff>
    </xdr:from>
    <xdr:to>
      <xdr:col>3</xdr:col>
      <xdr:colOff>419100</xdr:colOff>
      <xdr:row>6</xdr:row>
      <xdr:rowOff>83820</xdr:rowOff>
    </xdr:to>
    <xdr:sp macro="" textlink="">
      <xdr:nvSpPr>
        <xdr:cNvPr id="20" name="Rectangle: Rounded Corners 19">
          <a:extLst>
            <a:ext uri="{FF2B5EF4-FFF2-40B4-BE49-F238E27FC236}">
              <a16:creationId xmlns:a16="http://schemas.microsoft.com/office/drawing/2014/main" id="{A9BE01A0-EF4E-535A-BFCB-B036992383D4}"/>
            </a:ext>
          </a:extLst>
        </xdr:cNvPr>
        <xdr:cNvSpPr/>
      </xdr:nvSpPr>
      <xdr:spPr>
        <a:xfrm>
          <a:off x="274320" y="304800"/>
          <a:ext cx="1973580" cy="8763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SALES PERFORMANCE</a:t>
          </a:r>
          <a:r>
            <a:rPr lang="en-IN" sz="1200" baseline="0">
              <a:solidFill>
                <a:schemeClr val="tx1"/>
              </a:solidFill>
              <a:latin typeface="Arial Black" panose="020B0A04020102020204" pitchFamily="34" charset="0"/>
            </a:rPr>
            <a:t> DASHBOARD</a:t>
          </a:r>
          <a:endParaRPr lang="en-IN" sz="1200">
            <a:solidFill>
              <a:schemeClr val="tx1"/>
            </a:solidFill>
            <a:latin typeface="Arial Black" panose="020B0A04020102020204" pitchFamily="34" charset="0"/>
          </a:endParaRPr>
        </a:p>
      </xdr:txBody>
    </xdr:sp>
    <xdr:clientData/>
  </xdr:twoCellAnchor>
  <xdr:twoCellAnchor editAs="oneCell">
    <xdr:from>
      <xdr:col>13</xdr:col>
      <xdr:colOff>533400</xdr:colOff>
      <xdr:row>8</xdr:row>
      <xdr:rowOff>38101</xdr:rowOff>
    </xdr:from>
    <xdr:to>
      <xdr:col>16</xdr:col>
      <xdr:colOff>533400</xdr:colOff>
      <xdr:row>15</xdr:row>
      <xdr:rowOff>45721</xdr:rowOff>
    </xdr:to>
    <mc:AlternateContent xmlns:mc="http://schemas.openxmlformats.org/markup-compatibility/2006">
      <mc:Choice xmlns:a14="http://schemas.microsoft.com/office/drawing/2010/main" Requires="a14">
        <xdr:graphicFrame macro="">
          <xdr:nvGraphicFramePr>
            <xdr:cNvPr id="21" name="WEEKDAYS 1">
              <a:extLst>
                <a:ext uri="{FF2B5EF4-FFF2-40B4-BE49-F238E27FC236}">
                  <a16:creationId xmlns:a16="http://schemas.microsoft.com/office/drawing/2014/main" id="{E09C4C3E-3716-4FE5-8D6C-907F1395B298}"/>
                </a:ext>
              </a:extLst>
            </xdr:cNvPr>
            <xdr:cNvGraphicFramePr/>
          </xdr:nvGraphicFramePr>
          <xdr:xfrm>
            <a:off x="0" y="0"/>
            <a:ext cx="0" cy="0"/>
          </xdr:xfrm>
          <a:graphic>
            <a:graphicData uri="http://schemas.microsoft.com/office/drawing/2010/slicer">
              <sle:slicer xmlns:sle="http://schemas.microsoft.com/office/drawing/2010/slicer" name="WEEKDAYS 1"/>
            </a:graphicData>
          </a:graphic>
        </xdr:graphicFrame>
      </mc:Choice>
      <mc:Fallback>
        <xdr:sp macro="" textlink="">
          <xdr:nvSpPr>
            <xdr:cNvPr id="0" name=""/>
            <xdr:cNvSpPr>
              <a:spLocks noTextEdit="1"/>
            </xdr:cNvSpPr>
          </xdr:nvSpPr>
          <xdr:spPr>
            <a:xfrm>
              <a:off x="8458200" y="150114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15</xdr:row>
      <xdr:rowOff>175261</xdr:rowOff>
    </xdr:from>
    <xdr:to>
      <xdr:col>16</xdr:col>
      <xdr:colOff>556260</xdr:colOff>
      <xdr:row>22</xdr:row>
      <xdr:rowOff>137160</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2C30AB3F-987D-4560-A730-A7D6424A829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481060" y="291846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23</xdr:row>
      <xdr:rowOff>68580</xdr:rowOff>
    </xdr:from>
    <xdr:to>
      <xdr:col>16</xdr:col>
      <xdr:colOff>563880</xdr:colOff>
      <xdr:row>29</xdr:row>
      <xdr:rowOff>160019</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50E8D510-CBA1-4BEC-9A7B-0DEF3B1CF3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488680" y="4274820"/>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30</xdr:row>
      <xdr:rowOff>60960</xdr:rowOff>
    </xdr:from>
    <xdr:to>
      <xdr:col>16</xdr:col>
      <xdr:colOff>563880</xdr:colOff>
      <xdr:row>37</xdr:row>
      <xdr:rowOff>106679</xdr:rowOff>
    </xdr:to>
    <mc:AlternateContent xmlns:mc="http://schemas.openxmlformats.org/markup-compatibility/2006">
      <mc:Choice xmlns:a14="http://schemas.microsoft.com/office/drawing/2010/main" Requires="a14">
        <xdr:graphicFrame macro="">
          <xdr:nvGraphicFramePr>
            <xdr:cNvPr id="24" name="Customer_Segment 1">
              <a:extLst>
                <a:ext uri="{FF2B5EF4-FFF2-40B4-BE49-F238E27FC236}">
                  <a16:creationId xmlns:a16="http://schemas.microsoft.com/office/drawing/2014/main" id="{1D944255-D009-43CD-9126-CBA2CEFA1F5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8488680" y="5547360"/>
              <a:ext cx="182880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ee Patel" refreshedDate="46280.473183449074" createdVersion="8" refreshedVersion="8" minRefreshableVersion="3" recordCount="1498" xr:uid="{239158D0-DE09-45FC-BECF-EC784F201B91}">
  <cacheSource type="worksheet">
    <worksheetSource ref="A1:U1499" sheet="Sheet2"/>
  </cacheSource>
  <cacheFields count="21">
    <cacheField name="Order_ID" numFmtId="49">
      <sharedItems/>
    </cacheField>
    <cacheField name="Order_Date" numFmtId="14">
      <sharedItems/>
    </cacheField>
    <cacheField name="Customer_Name" numFmtId="49">
      <sharedItems count="300">
        <s v="Cust_0"/>
        <s v="Cust_1"/>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2"/>
        <s v="Cust_3"/>
      </sharedItems>
    </cacheField>
    <cacheField name="Customer_Type" numFmtId="49">
      <sharedItems/>
    </cacheField>
    <cacheField name="Customer_Segment" numFmtId="49">
      <sharedItems count="6">
        <s v="Bakery"/>
        <s v="Café"/>
        <s v="Office"/>
        <s v="Cloud Kitchen"/>
        <s v="Household"/>
        <s v="Tea Stall"/>
      </sharedItems>
    </cacheField>
    <cacheField name="City" numFmtId="49">
      <sharedItems count="4">
        <s v="Mumbai"/>
        <s v="Bangalore"/>
        <s v="Delhi"/>
        <s v="N/A"/>
      </sharedItems>
    </cacheField>
    <cacheField name="Pincode" numFmtId="0">
      <sharedItems containsBlank="1"/>
    </cacheField>
    <cacheField name="Payment_Method" numFmtId="49">
      <sharedItems/>
    </cacheField>
    <cacheField name="SKU" numFmtId="49">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49">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egory" numFmtId="49">
      <sharedItems count="10">
        <s v="Veg"/>
        <s v="Essentials"/>
        <s v="Snacks"/>
        <s v="Other"/>
        <s v="Bakery"/>
        <s v="Frozen"/>
        <s v="Dairy"/>
        <s v="Fruits"/>
        <s v="Baby"/>
        <s v="Beverages"/>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Sales" numFmtId="2">
      <sharedItems containsSemiMixedTypes="0" containsString="0" containsNumber="1" minValue="1.23" maxValue="1688.83"/>
    </cacheField>
    <cacheField name="Delivery_Time" numFmtId="0">
      <sharedItems containsSemiMixedTypes="0" containsString="0" containsNumber="1" minValue="0" maxValue="60"/>
    </cacheField>
    <cacheField name="WEEKDAYS" numFmtId="0">
      <sharedItems count="7">
        <s v="Saturday"/>
        <s v="Friday"/>
        <s v="Wednesday"/>
        <s v="Tuesday"/>
        <s v="Thursday"/>
        <s v="Sunday"/>
        <s v="Monday"/>
      </sharedItems>
    </cacheField>
  </cacheFields>
  <extLst>
    <ext xmlns:x14="http://schemas.microsoft.com/office/spreadsheetml/2009/9/main" uri="{725AE2AE-9491-48be-B2B4-4EB974FC3084}">
      <x14:pivotCacheDefinition pivotCacheId="119653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O0001"/>
    <s v="08-02-2025"/>
    <x v="0"/>
    <s v="Bulk"/>
    <x v="0"/>
    <x v="0"/>
    <s v="532498"/>
    <s v="Wallet"/>
    <x v="0"/>
    <x v="0"/>
    <x v="0"/>
    <n v="2"/>
    <n v="94.25"/>
    <n v="9.43"/>
    <n v="179.07"/>
    <n v="8.9499999999999993"/>
    <n v="0"/>
    <n v="10"/>
    <n v="198.02"/>
    <n v="12"/>
    <x v="0"/>
  </r>
  <r>
    <s v="O0002"/>
    <s v="21-02-2025"/>
    <x v="1"/>
    <s v="Bulk"/>
    <x v="0"/>
    <x v="0"/>
    <s v="157545"/>
    <s v="Upi"/>
    <x v="1"/>
    <x v="1"/>
    <x v="1"/>
    <n v="1"/>
    <n v="18.45"/>
    <n v="1.84"/>
    <n v="16.61"/>
    <n v="0.83"/>
    <n v="0"/>
    <n v="0"/>
    <n v="17.440000000000001"/>
    <n v="24.67"/>
    <x v="1"/>
  </r>
  <r>
    <s v="O0005"/>
    <s v="12-02-2025"/>
    <x v="2"/>
    <s v="Bulk"/>
    <x v="0"/>
    <x v="1"/>
    <s v="429670"/>
    <s v="Upi"/>
    <x v="2"/>
    <x v="2"/>
    <x v="2"/>
    <n v="6"/>
    <n v="52.47"/>
    <n v="7.87"/>
    <n v="306.95"/>
    <n v="15.35"/>
    <n v="0"/>
    <n v="0"/>
    <n v="322.3"/>
    <n v="23"/>
    <x v="2"/>
  </r>
  <r>
    <s v="O0006"/>
    <s v="08-01-2025"/>
    <x v="3"/>
    <s v="Bulk"/>
    <x v="1"/>
    <x v="2"/>
    <s v="258768"/>
    <s v="Netbanking"/>
    <x v="3"/>
    <x v="3"/>
    <x v="3"/>
    <n v="5"/>
    <n v="78.11"/>
    <n v="3.91"/>
    <n v="386.64"/>
    <n v="19.329999999999998"/>
    <n v="30"/>
    <n v="15"/>
    <n v="450.97"/>
    <n v="18"/>
    <x v="2"/>
  </r>
  <r>
    <s v="O0007"/>
    <s v="21-01-2025"/>
    <x v="4"/>
    <s v="Bulk"/>
    <x v="0"/>
    <x v="1"/>
    <s v="776926"/>
    <s v="Upi"/>
    <x v="4"/>
    <x v="4"/>
    <x v="4"/>
    <n v="1"/>
    <n v="103.87"/>
    <n v="5.19"/>
    <n v="98.68"/>
    <n v="4.93"/>
    <n v="20"/>
    <n v="0"/>
    <n v="123.61"/>
    <n v="13"/>
    <x v="3"/>
  </r>
  <r>
    <s v="O0008"/>
    <s v="08-02-2025"/>
    <x v="5"/>
    <s v="Bulk"/>
    <x v="0"/>
    <x v="2"/>
    <s v="233554"/>
    <s v="Cod"/>
    <x v="5"/>
    <x v="5"/>
    <x v="5"/>
    <n v="3"/>
    <n v="129.5"/>
    <n v="12.95"/>
    <n v="375.55"/>
    <n v="18.78"/>
    <n v="20"/>
    <n v="10"/>
    <n v="424.33"/>
    <n v="16"/>
    <x v="0"/>
  </r>
  <r>
    <s v="O0009"/>
    <s v="27-02-2025"/>
    <x v="6"/>
    <s v="Bulk"/>
    <x v="2"/>
    <x v="0"/>
    <s v="159676"/>
    <s v="Upi"/>
    <x v="6"/>
    <x v="6"/>
    <x v="2"/>
    <n v="1"/>
    <n v="131.88999999999999"/>
    <n v="0"/>
    <n v="131.88999999999999"/>
    <n v="6.59"/>
    <n v="10"/>
    <n v="0"/>
    <n v="148.47999999999999"/>
    <n v="23"/>
    <x v="4"/>
  </r>
  <r>
    <s v="O0010"/>
    <s v="19-01-2025"/>
    <x v="7"/>
    <s v="Bulk"/>
    <x v="3"/>
    <x v="2"/>
    <s v="688365"/>
    <s v="Upi"/>
    <x v="7"/>
    <x v="7"/>
    <x v="6"/>
    <n v="1"/>
    <n v="207.92"/>
    <n v="20.79"/>
    <n v="187.13"/>
    <n v="9.36"/>
    <n v="30"/>
    <n v="0"/>
    <n v="226.49"/>
    <n v="17"/>
    <x v="5"/>
  </r>
  <r>
    <s v="O0011"/>
    <s v="23-01-2025"/>
    <x v="8"/>
    <s v="New"/>
    <x v="4"/>
    <x v="2"/>
    <s v="481915"/>
    <s v="Wallet"/>
    <x v="8"/>
    <x v="8"/>
    <x v="6"/>
    <n v="3"/>
    <n v="134.09"/>
    <n v="13.41"/>
    <n v="388.86"/>
    <n v="19.440000000000001"/>
    <n v="20"/>
    <n v="0"/>
    <n v="428.3"/>
    <n v="24.67"/>
    <x v="4"/>
  </r>
  <r>
    <s v="O0012"/>
    <s v="11-01-2025"/>
    <x v="9"/>
    <s v="Bulk"/>
    <x v="3"/>
    <x v="2"/>
    <s v="951587"/>
    <s v="Upi"/>
    <x v="9"/>
    <x v="9"/>
    <x v="7"/>
    <n v="6"/>
    <n v="86.17"/>
    <n v="0"/>
    <n v="517.02"/>
    <n v="25.85"/>
    <n v="10"/>
    <n v="5"/>
    <n v="557.87"/>
    <n v="10"/>
    <x v="0"/>
  </r>
  <r>
    <s v="O0013"/>
    <s v="11-01-2025"/>
    <x v="10"/>
    <s v="Bulk"/>
    <x v="3"/>
    <x v="0"/>
    <s v="962061"/>
    <s v="Upi"/>
    <x v="10"/>
    <x v="10"/>
    <x v="5"/>
    <n v="3"/>
    <n v="104.71"/>
    <n v="5.24"/>
    <n v="308.89"/>
    <n v="15.44"/>
    <n v="10"/>
    <n v="20"/>
    <n v="354.33"/>
    <n v="16"/>
    <x v="0"/>
  </r>
  <r>
    <s v="O0014"/>
    <s v="24-01-2025"/>
    <x v="11"/>
    <s v="Bulk"/>
    <x v="2"/>
    <x v="0"/>
    <s v="730235"/>
    <s v="Card"/>
    <x v="11"/>
    <x v="11"/>
    <x v="8"/>
    <n v="4"/>
    <n v="204.9"/>
    <n v="20.49"/>
    <n v="799.11"/>
    <n v="39.96"/>
    <n v="0"/>
    <n v="0"/>
    <n v="839.07"/>
    <n v="24.67"/>
    <x v="1"/>
  </r>
  <r>
    <s v="O0015"/>
    <s v="22-02-2025"/>
    <x v="12"/>
    <s v="Returning"/>
    <x v="4"/>
    <x v="0"/>
    <s v="605815"/>
    <s v="Upi"/>
    <x v="12"/>
    <x v="12"/>
    <x v="4"/>
    <n v="3"/>
    <n v="193.33"/>
    <n v="0"/>
    <n v="579.99"/>
    <n v="29"/>
    <n v="30"/>
    <n v="20"/>
    <n v="658.99"/>
    <n v="3"/>
    <x v="0"/>
  </r>
  <r>
    <s v="O0016"/>
    <s v="05-02-2025"/>
    <x v="13"/>
    <s v="Bulk"/>
    <x v="5"/>
    <x v="1"/>
    <s v="434402"/>
    <s v="Wallet"/>
    <x v="13"/>
    <x v="13"/>
    <x v="7"/>
    <n v="3"/>
    <n v="35.35"/>
    <n v="3.54"/>
    <n v="102.51"/>
    <n v="5.13"/>
    <n v="30"/>
    <n v="0"/>
    <n v="137.63999999999999"/>
    <n v="25"/>
    <x v="2"/>
  </r>
  <r>
    <s v="O0017"/>
    <s v="09-02-2025"/>
    <x v="14"/>
    <s v="Bulk"/>
    <x v="5"/>
    <x v="2"/>
    <s v="427073"/>
    <s v="Cod"/>
    <x v="14"/>
    <x v="14"/>
    <x v="2"/>
    <n v="2"/>
    <n v="128.59"/>
    <n v="6.43"/>
    <n v="250.75"/>
    <n v="12.54"/>
    <n v="0"/>
    <n v="5"/>
    <n v="268.29000000000002"/>
    <n v="34"/>
    <x v="5"/>
  </r>
  <r>
    <s v="O0018"/>
    <s v="24-01-2025"/>
    <x v="15"/>
    <s v="Bulk"/>
    <x v="5"/>
    <x v="0"/>
    <s v="416915"/>
    <s v="Upi"/>
    <x v="15"/>
    <x v="15"/>
    <x v="8"/>
    <n v="5"/>
    <n v="145.22"/>
    <n v="7.26"/>
    <n v="718.84"/>
    <n v="35.94"/>
    <n v="20"/>
    <n v="5"/>
    <n v="779.78"/>
    <n v="24.67"/>
    <x v="1"/>
  </r>
  <r>
    <s v="O0019"/>
    <s v="03-01-2025"/>
    <x v="16"/>
    <s v="Bulk"/>
    <x v="0"/>
    <x v="1"/>
    <s v="890857"/>
    <s v="Phonepe"/>
    <x v="16"/>
    <x v="16"/>
    <x v="1"/>
    <n v="1"/>
    <n v="156.96"/>
    <n v="23.54"/>
    <n v="133.41999999999999"/>
    <n v="6.67"/>
    <n v="10"/>
    <n v="5"/>
    <n v="155.09"/>
    <n v="18"/>
    <x v="1"/>
  </r>
  <r>
    <s v="O0020"/>
    <s v="22-01-2025"/>
    <x v="17"/>
    <s v="Bulk"/>
    <x v="2"/>
    <x v="1"/>
    <m/>
    <s v="Upi"/>
    <x v="17"/>
    <x v="17"/>
    <x v="1"/>
    <n v="2"/>
    <n v="19.809999999999999"/>
    <n v="0"/>
    <n v="39.619999999999997"/>
    <n v="1.98"/>
    <n v="20"/>
    <n v="20"/>
    <n v="81.599999999999994"/>
    <n v="42"/>
    <x v="2"/>
  </r>
  <r>
    <s v="O0021"/>
    <s v="22-02-2025"/>
    <x v="18"/>
    <s v="Bulk"/>
    <x v="1"/>
    <x v="0"/>
    <s v="727433"/>
    <s v="Upi"/>
    <x v="18"/>
    <x v="18"/>
    <x v="9"/>
    <n v="3"/>
    <n v="164.88"/>
    <n v="16.489999999999998"/>
    <n v="478.15"/>
    <n v="23.91"/>
    <n v="30"/>
    <n v="10"/>
    <n v="542.05999999999995"/>
    <n v="24.67"/>
    <x v="0"/>
  </r>
  <r>
    <s v="O0022"/>
    <s v="02-01-2025"/>
    <x v="19"/>
    <s v="Bulk"/>
    <x v="0"/>
    <x v="1"/>
    <s v="756639"/>
    <s v="Upi"/>
    <x v="19"/>
    <x v="19"/>
    <x v="9"/>
    <n v="2"/>
    <n v="185.31"/>
    <n v="27.8"/>
    <n v="342.82"/>
    <n v="17.14"/>
    <n v="10"/>
    <n v="0"/>
    <n v="369.96"/>
    <n v="32"/>
    <x v="4"/>
  </r>
  <r>
    <s v="O0023"/>
    <s v="24-01-2025"/>
    <x v="20"/>
    <s v="Bulk"/>
    <x v="1"/>
    <x v="2"/>
    <s v="881817"/>
    <s v="Netbanking"/>
    <x v="20"/>
    <x v="20"/>
    <x v="0"/>
    <n v="1"/>
    <n v="4.92"/>
    <n v="0.25"/>
    <n v="4.67"/>
    <n v="0.23"/>
    <n v="10"/>
    <n v="15"/>
    <n v="29.9"/>
    <n v="41"/>
    <x v="1"/>
  </r>
  <r>
    <s v="O0024"/>
    <s v="13-02-2025"/>
    <x v="21"/>
    <s v="Bulk"/>
    <x v="0"/>
    <x v="1"/>
    <s v="607606"/>
    <s v="Upi"/>
    <x v="21"/>
    <x v="21"/>
    <x v="7"/>
    <n v="1"/>
    <n v="143.94999999999999"/>
    <n v="7.2"/>
    <n v="136.75"/>
    <n v="6.84"/>
    <n v="30"/>
    <n v="5"/>
    <n v="178.59"/>
    <n v="27"/>
    <x v="4"/>
  </r>
  <r>
    <s v="O0025"/>
    <s v="30-01-2025"/>
    <x v="22"/>
    <s v="New"/>
    <x v="4"/>
    <x v="1"/>
    <s v="127856"/>
    <s v="Gpay"/>
    <x v="22"/>
    <x v="22"/>
    <x v="9"/>
    <n v="3"/>
    <n v="99.86"/>
    <n v="14.98"/>
    <n v="284.60000000000002"/>
    <n v="14.23"/>
    <n v="20"/>
    <n v="5"/>
    <n v="323.83"/>
    <n v="38"/>
    <x v="4"/>
  </r>
  <r>
    <s v="O0026"/>
    <s v="07-02-2025"/>
    <x v="23"/>
    <s v="Bulk"/>
    <x v="2"/>
    <x v="2"/>
    <s v="248757"/>
    <s v="Upi"/>
    <x v="23"/>
    <x v="23"/>
    <x v="8"/>
    <n v="3"/>
    <n v="17.39"/>
    <n v="0"/>
    <n v="52.17"/>
    <n v="2.61"/>
    <n v="0"/>
    <n v="10"/>
    <n v="64.78"/>
    <n v="11"/>
    <x v="1"/>
  </r>
  <r>
    <s v="O0027"/>
    <s v="02-01-2025"/>
    <x v="24"/>
    <s v="Bulk"/>
    <x v="5"/>
    <x v="0"/>
    <s v="436676"/>
    <s v="Upi"/>
    <x v="24"/>
    <x v="24"/>
    <x v="9"/>
    <n v="2"/>
    <n v="42.69"/>
    <n v="0"/>
    <n v="85.38"/>
    <n v="4.2699999999999996"/>
    <n v="10"/>
    <n v="15"/>
    <n v="114.65"/>
    <n v="26"/>
    <x v="4"/>
  </r>
  <r>
    <s v="O0028"/>
    <s v="01-03-2025"/>
    <x v="25"/>
    <s v="Bulk"/>
    <x v="0"/>
    <x v="0"/>
    <s v="752665"/>
    <s v="Upi"/>
    <x v="25"/>
    <x v="25"/>
    <x v="1"/>
    <n v="3"/>
    <n v="61.3"/>
    <n v="0"/>
    <n v="183.9"/>
    <n v="9.19"/>
    <n v="30"/>
    <n v="15"/>
    <n v="238.09"/>
    <n v="45"/>
    <x v="0"/>
  </r>
  <r>
    <s v="O0029"/>
    <s v="21-01-2025"/>
    <x v="26"/>
    <s v="Bulk"/>
    <x v="2"/>
    <x v="1"/>
    <s v="816756"/>
    <s v="Upi"/>
    <x v="26"/>
    <x v="26"/>
    <x v="7"/>
    <n v="4"/>
    <n v="86.32"/>
    <n v="4.32"/>
    <n v="340.96"/>
    <n v="17.05"/>
    <n v="0"/>
    <n v="0"/>
    <n v="358.01"/>
    <n v="28"/>
    <x v="3"/>
  </r>
  <r>
    <s v="O0030"/>
    <s v="02-02-2025"/>
    <x v="27"/>
    <s v="Bulk"/>
    <x v="5"/>
    <x v="2"/>
    <s v="672212"/>
    <s v="Phonepe"/>
    <x v="27"/>
    <x v="27"/>
    <x v="7"/>
    <n v="1"/>
    <n v="65.42"/>
    <n v="6.54"/>
    <n v="58.88"/>
    <n v="2.94"/>
    <n v="0"/>
    <n v="5"/>
    <n v="66.819999999999993"/>
    <n v="41"/>
    <x v="5"/>
  </r>
  <r>
    <s v="O0031"/>
    <s v="12-01-2025"/>
    <x v="28"/>
    <s v="Returning"/>
    <x v="4"/>
    <x v="1"/>
    <s v="791757"/>
    <s v="Cod"/>
    <x v="28"/>
    <x v="28"/>
    <x v="0"/>
    <n v="6"/>
    <n v="9.5500000000000007"/>
    <n v="1.43"/>
    <n v="55.87"/>
    <n v="2.79"/>
    <n v="20"/>
    <n v="10"/>
    <n v="88.66"/>
    <n v="12"/>
    <x v="5"/>
  </r>
  <r>
    <s v="O0032"/>
    <s v="27-02-2025"/>
    <x v="29"/>
    <s v="Bulk"/>
    <x v="3"/>
    <x v="1"/>
    <s v="322320"/>
    <s v="Phonepe"/>
    <x v="29"/>
    <x v="29"/>
    <x v="6"/>
    <n v="2"/>
    <n v="131.91"/>
    <n v="13.19"/>
    <n v="250.63"/>
    <n v="12.53"/>
    <n v="0"/>
    <n v="15"/>
    <n v="278.16000000000003"/>
    <n v="22"/>
    <x v="4"/>
  </r>
  <r>
    <s v="O0033"/>
    <s v="22-01-2025"/>
    <x v="30"/>
    <s v="Bulk"/>
    <x v="5"/>
    <x v="1"/>
    <s v="808662"/>
    <s v="Wallet"/>
    <x v="30"/>
    <x v="30"/>
    <x v="9"/>
    <n v="5"/>
    <n v="164.88"/>
    <n v="16.489999999999998"/>
    <n v="807.91"/>
    <n v="40.4"/>
    <n v="20"/>
    <n v="20"/>
    <n v="888.31"/>
    <n v="24.67"/>
    <x v="2"/>
  </r>
  <r>
    <s v="O0034"/>
    <s v="13-02-2025"/>
    <x v="31"/>
    <s v="Returning"/>
    <x v="4"/>
    <x v="3"/>
    <s v="582615"/>
    <s v="Netbanking"/>
    <x v="31"/>
    <x v="31"/>
    <x v="3"/>
    <n v="6"/>
    <n v="149.6"/>
    <n v="0"/>
    <n v="897.59999999999991"/>
    <n v="44.88"/>
    <n v="0"/>
    <n v="5"/>
    <n v="947.4799999999999"/>
    <n v="26"/>
    <x v="4"/>
  </r>
  <r>
    <s v="O0035"/>
    <s v="25-01-2025"/>
    <x v="32"/>
    <s v="Bulk"/>
    <x v="0"/>
    <x v="0"/>
    <s v="221789"/>
    <s v="Upi"/>
    <x v="32"/>
    <x v="32"/>
    <x v="0"/>
    <n v="4"/>
    <n v="28.85"/>
    <n v="4.33"/>
    <n v="111.07"/>
    <n v="5.55"/>
    <n v="30"/>
    <n v="0"/>
    <n v="146.62"/>
    <n v="24.67"/>
    <x v="0"/>
  </r>
  <r>
    <s v="O0036"/>
    <s v="18-02-2025"/>
    <x v="33"/>
    <s v="New"/>
    <x v="4"/>
    <x v="1"/>
    <s v="901480"/>
    <s v="Cod"/>
    <x v="33"/>
    <x v="33"/>
    <x v="2"/>
    <n v="2"/>
    <n v="257.91000000000003"/>
    <n v="25.79"/>
    <n v="490.03"/>
    <n v="24.5"/>
    <n v="0"/>
    <n v="15"/>
    <n v="529.53"/>
    <n v="24.67"/>
    <x v="3"/>
  </r>
  <r>
    <s v="O0037"/>
    <s v="27-01-2025"/>
    <x v="34"/>
    <s v="Bulk"/>
    <x v="3"/>
    <x v="1"/>
    <s v="830026"/>
    <s v="Upi"/>
    <x v="34"/>
    <x v="34"/>
    <x v="3"/>
    <n v="1"/>
    <n v="13.17"/>
    <n v="1.98"/>
    <n v="11.19"/>
    <n v="0.56000000000000005"/>
    <n v="0"/>
    <n v="0"/>
    <n v="11.75"/>
    <n v="24.67"/>
    <x v="6"/>
  </r>
  <r>
    <s v="O0038"/>
    <s v="28-02-2025"/>
    <x v="35"/>
    <s v="Bulk"/>
    <x v="2"/>
    <x v="2"/>
    <s v="599883"/>
    <s v="Card"/>
    <x v="35"/>
    <x v="35"/>
    <x v="7"/>
    <n v="1"/>
    <n v="258.17"/>
    <n v="38.729999999999997"/>
    <n v="219.44"/>
    <n v="10.97"/>
    <n v="10"/>
    <n v="15"/>
    <n v="255.41"/>
    <n v="29"/>
    <x v="1"/>
  </r>
  <r>
    <s v="O0039"/>
    <s v="11-02-2025"/>
    <x v="36"/>
    <s v="Bulk"/>
    <x v="2"/>
    <x v="1"/>
    <s v="528988"/>
    <s v="Upi"/>
    <x v="36"/>
    <x v="36"/>
    <x v="6"/>
    <n v="4"/>
    <n v="101.53"/>
    <n v="10.15"/>
    <n v="395.97"/>
    <n v="19.8"/>
    <n v="30"/>
    <n v="15"/>
    <n v="460.77"/>
    <n v="18"/>
    <x v="3"/>
  </r>
  <r>
    <s v="O0040"/>
    <s v="28-01-2025"/>
    <x v="37"/>
    <s v="Bulk"/>
    <x v="0"/>
    <x v="2"/>
    <s v="714615"/>
    <s v="Wallet"/>
    <x v="37"/>
    <x v="37"/>
    <x v="6"/>
    <n v="4"/>
    <n v="180.61"/>
    <n v="27.09"/>
    <n v="695.35"/>
    <n v="34.770000000000003"/>
    <n v="30"/>
    <n v="0"/>
    <n v="760.12"/>
    <n v="26"/>
    <x v="3"/>
  </r>
  <r>
    <s v="O0041"/>
    <s v="01-03-2025"/>
    <x v="38"/>
    <s v="New"/>
    <x v="4"/>
    <x v="0"/>
    <s v="494966"/>
    <s v="Gpay"/>
    <x v="38"/>
    <x v="38"/>
    <x v="7"/>
    <n v="1"/>
    <n v="161.5"/>
    <n v="24.22"/>
    <n v="137.28"/>
    <n v="6.86"/>
    <n v="0"/>
    <n v="0"/>
    <n v="144.13999999999999"/>
    <n v="37"/>
    <x v="0"/>
  </r>
  <r>
    <s v="O0042"/>
    <s v="16-01-2025"/>
    <x v="39"/>
    <s v="Bulk"/>
    <x v="2"/>
    <x v="0"/>
    <s v="177454"/>
    <s v="Upi"/>
    <x v="39"/>
    <x v="39"/>
    <x v="7"/>
    <n v="4"/>
    <n v="202.08"/>
    <n v="30.31"/>
    <n v="778.0100000000001"/>
    <n v="38.9"/>
    <n v="20"/>
    <n v="0"/>
    <n v="836.91000000000008"/>
    <n v="24"/>
    <x v="4"/>
  </r>
  <r>
    <s v="O0043"/>
    <s v="15-01-2025"/>
    <x v="40"/>
    <s v="Bulk"/>
    <x v="0"/>
    <x v="2"/>
    <s v="616142"/>
    <s v="Upi"/>
    <x v="40"/>
    <x v="40"/>
    <x v="5"/>
    <n v="1"/>
    <n v="103"/>
    <n v="5.15"/>
    <n v="97.85"/>
    <n v="4.8899999999999997"/>
    <n v="20"/>
    <n v="20"/>
    <n v="142.74"/>
    <n v="26"/>
    <x v="2"/>
  </r>
  <r>
    <s v="O0044"/>
    <s v="16-02-2025"/>
    <x v="41"/>
    <s v="New"/>
    <x v="4"/>
    <x v="2"/>
    <s v="767542"/>
    <s v="Netbanking"/>
    <x v="41"/>
    <x v="41"/>
    <x v="2"/>
    <n v="3"/>
    <n v="87.94"/>
    <n v="0"/>
    <n v="263.82"/>
    <n v="13.19"/>
    <n v="0"/>
    <n v="15"/>
    <n v="292.01"/>
    <n v="24.67"/>
    <x v="5"/>
  </r>
  <r>
    <s v="O0045"/>
    <s v="20-02-2025"/>
    <x v="42"/>
    <s v="Bulk"/>
    <x v="5"/>
    <x v="2"/>
    <s v="576657"/>
    <s v="Phonepe"/>
    <x v="42"/>
    <x v="42"/>
    <x v="2"/>
    <n v="1"/>
    <n v="276.36"/>
    <n v="0"/>
    <n v="276.36"/>
    <n v="13.82"/>
    <n v="30"/>
    <n v="15"/>
    <n v="335.18"/>
    <n v="29"/>
    <x v="4"/>
  </r>
  <r>
    <s v="O0046"/>
    <s v="13-02-2025"/>
    <x v="43"/>
    <s v="New"/>
    <x v="4"/>
    <x v="2"/>
    <s v="938003"/>
    <s v="Upi"/>
    <x v="43"/>
    <x v="43"/>
    <x v="7"/>
    <n v="2"/>
    <n v="201.41"/>
    <n v="0"/>
    <n v="402.82"/>
    <n v="20.14"/>
    <n v="30"/>
    <n v="5"/>
    <n v="457.96"/>
    <n v="21"/>
    <x v="4"/>
  </r>
  <r>
    <s v="O0047"/>
    <s v="24-02-2025"/>
    <x v="44"/>
    <s v="Bulk"/>
    <x v="3"/>
    <x v="1"/>
    <s v="938807"/>
    <s v="Netbanking"/>
    <x v="44"/>
    <x v="44"/>
    <x v="9"/>
    <n v="2"/>
    <n v="173.19"/>
    <n v="25.98"/>
    <n v="320.39999999999998"/>
    <n v="16.02"/>
    <n v="0"/>
    <n v="15"/>
    <n v="351.42"/>
    <n v="38"/>
    <x v="6"/>
  </r>
  <r>
    <s v="O0048"/>
    <s v="21-02-2025"/>
    <x v="45"/>
    <s v="Bulk"/>
    <x v="5"/>
    <x v="2"/>
    <s v="234055"/>
    <s v="Netbanking"/>
    <x v="45"/>
    <x v="45"/>
    <x v="0"/>
    <n v="5"/>
    <n v="93.93"/>
    <n v="14.09"/>
    <n v="455.56000000000012"/>
    <n v="22.78"/>
    <n v="0"/>
    <n v="15"/>
    <n v="493.34"/>
    <n v="24.67"/>
    <x v="1"/>
  </r>
  <r>
    <s v="O0049"/>
    <s v="26-02-2025"/>
    <x v="46"/>
    <s v="Bulk"/>
    <x v="5"/>
    <x v="1"/>
    <s v="550062"/>
    <s v="Phonepe"/>
    <x v="46"/>
    <x v="46"/>
    <x v="7"/>
    <n v="2"/>
    <n v="4.8"/>
    <n v="0"/>
    <n v="9.6"/>
    <n v="0.48"/>
    <n v="0"/>
    <n v="5"/>
    <n v="15.08"/>
    <n v="12"/>
    <x v="2"/>
  </r>
  <r>
    <s v="O0050"/>
    <s v="03-01-2025"/>
    <x v="47"/>
    <s v="Bulk"/>
    <x v="3"/>
    <x v="1"/>
    <s v="703561"/>
    <s v="Upi"/>
    <x v="47"/>
    <x v="47"/>
    <x v="5"/>
    <n v="3"/>
    <n v="203.32"/>
    <n v="0"/>
    <n v="609.96"/>
    <n v="30.5"/>
    <n v="0"/>
    <n v="20"/>
    <n v="660.46"/>
    <n v="33"/>
    <x v="1"/>
  </r>
  <r>
    <s v="O0051"/>
    <s v="06-02-2025"/>
    <x v="48"/>
    <s v="Bulk"/>
    <x v="0"/>
    <x v="2"/>
    <s v="559297"/>
    <s v="Upi"/>
    <x v="48"/>
    <x v="48"/>
    <x v="9"/>
    <n v="3"/>
    <n v="106.91"/>
    <n v="5.35"/>
    <n v="315.38"/>
    <n v="15.77"/>
    <n v="30"/>
    <n v="10"/>
    <n v="371.15"/>
    <n v="34"/>
    <x v="4"/>
  </r>
  <r>
    <s v="O0052"/>
    <s v="20-02-2025"/>
    <x v="49"/>
    <s v="Bulk"/>
    <x v="1"/>
    <x v="2"/>
    <s v="919471"/>
    <s v="Upi"/>
    <x v="49"/>
    <x v="49"/>
    <x v="4"/>
    <n v="4"/>
    <n v="122.82"/>
    <n v="6.14"/>
    <n v="485.14"/>
    <n v="24.26"/>
    <n v="20"/>
    <n v="10"/>
    <n v="539.4"/>
    <n v="24"/>
    <x v="4"/>
  </r>
  <r>
    <s v="O0053"/>
    <s v="07-01-2025"/>
    <x v="50"/>
    <s v="Returning"/>
    <x v="4"/>
    <x v="1"/>
    <s v="350195"/>
    <s v="Cod"/>
    <x v="50"/>
    <x v="50"/>
    <x v="1"/>
    <n v="1"/>
    <n v="93.27"/>
    <n v="13.99"/>
    <n v="79.28"/>
    <n v="3.96"/>
    <n v="0"/>
    <n v="20"/>
    <n v="103.24"/>
    <n v="39"/>
    <x v="3"/>
  </r>
  <r>
    <s v="O0054"/>
    <s v="21-01-2025"/>
    <x v="51"/>
    <s v="Bulk"/>
    <x v="3"/>
    <x v="2"/>
    <s v="265873"/>
    <s v="Upi"/>
    <x v="51"/>
    <x v="51"/>
    <x v="4"/>
    <n v="1"/>
    <n v="167.62"/>
    <n v="8.3800000000000008"/>
    <n v="159.24"/>
    <n v="7.96"/>
    <n v="0"/>
    <n v="0"/>
    <n v="167.2"/>
    <n v="6"/>
    <x v="3"/>
  </r>
  <r>
    <s v="O0055"/>
    <s v="09-01-2025"/>
    <x v="52"/>
    <s v="Bulk"/>
    <x v="1"/>
    <x v="0"/>
    <s v="813135"/>
    <s v="Netbanking"/>
    <x v="52"/>
    <x v="52"/>
    <x v="0"/>
    <n v="2"/>
    <n v="59.75"/>
    <n v="2.99"/>
    <n v="116.51"/>
    <n v="5.83"/>
    <n v="0"/>
    <n v="0"/>
    <n v="122.34"/>
    <n v="24.67"/>
    <x v="4"/>
  </r>
  <r>
    <s v="O0056"/>
    <s v="08-02-2025"/>
    <x v="53"/>
    <s v="New"/>
    <x v="4"/>
    <x v="2"/>
    <s v="830051"/>
    <s v="Netbanking"/>
    <x v="53"/>
    <x v="53"/>
    <x v="7"/>
    <n v="1"/>
    <n v="3.98"/>
    <n v="0.4"/>
    <n v="3.58"/>
    <n v="0.18"/>
    <n v="20"/>
    <n v="5"/>
    <n v="28.76"/>
    <n v="12"/>
    <x v="0"/>
  </r>
  <r>
    <s v="O0057"/>
    <s v="18-01-2025"/>
    <x v="54"/>
    <s v="Bulk"/>
    <x v="3"/>
    <x v="0"/>
    <s v="835457"/>
    <s v="Wallet"/>
    <x v="54"/>
    <x v="54"/>
    <x v="3"/>
    <n v="4"/>
    <n v="107.16"/>
    <n v="16.07"/>
    <n v="412.57"/>
    <n v="20.63"/>
    <n v="0"/>
    <n v="15"/>
    <n v="448.2"/>
    <n v="33"/>
    <x v="0"/>
  </r>
  <r>
    <s v="O0058"/>
    <s v="04-01-2025"/>
    <x v="55"/>
    <s v="Bulk"/>
    <x v="1"/>
    <x v="2"/>
    <s v="963561"/>
    <s v="Card"/>
    <x v="55"/>
    <x v="55"/>
    <x v="7"/>
    <n v="3"/>
    <n v="190.03"/>
    <n v="0"/>
    <n v="570.09"/>
    <n v="28.5"/>
    <n v="10"/>
    <n v="20"/>
    <n v="628.59"/>
    <n v="41"/>
    <x v="0"/>
  </r>
  <r>
    <s v="O0059"/>
    <s v="25-01-2025"/>
    <x v="56"/>
    <s v="Bulk"/>
    <x v="5"/>
    <x v="1"/>
    <m/>
    <s v="Card"/>
    <x v="56"/>
    <x v="56"/>
    <x v="5"/>
    <n v="2"/>
    <n v="89.93"/>
    <n v="4.5"/>
    <n v="175.36"/>
    <n v="8.77"/>
    <n v="10"/>
    <n v="20"/>
    <n v="214.13"/>
    <n v="30"/>
    <x v="0"/>
  </r>
  <r>
    <s v="O0060"/>
    <s v="01-03-2025"/>
    <x v="57"/>
    <s v="Bulk"/>
    <x v="2"/>
    <x v="0"/>
    <s v="249369"/>
    <s v="Wallet"/>
    <x v="57"/>
    <x v="57"/>
    <x v="2"/>
    <n v="5"/>
    <n v="125.79"/>
    <n v="0"/>
    <n v="628.95000000000005"/>
    <n v="31.45"/>
    <n v="30"/>
    <n v="10"/>
    <n v="700.40000000000009"/>
    <n v="10"/>
    <x v="0"/>
  </r>
  <r>
    <s v="O0061"/>
    <s v="14-01-2025"/>
    <x v="58"/>
    <s v="Bulk"/>
    <x v="1"/>
    <x v="1"/>
    <s v="474999"/>
    <s v="Card"/>
    <x v="58"/>
    <x v="58"/>
    <x v="5"/>
    <n v="1"/>
    <n v="130.63999999999999"/>
    <n v="0"/>
    <n v="130.63999999999999"/>
    <n v="6.53"/>
    <n v="10"/>
    <n v="5"/>
    <n v="152.16999999999999"/>
    <n v="32"/>
    <x v="3"/>
  </r>
  <r>
    <s v="O0062"/>
    <s v="19-02-2025"/>
    <x v="59"/>
    <s v="Bulk"/>
    <x v="2"/>
    <x v="2"/>
    <s v="893719"/>
    <s v="Wallet"/>
    <x v="59"/>
    <x v="59"/>
    <x v="6"/>
    <n v="5"/>
    <n v="114.77"/>
    <n v="17.22"/>
    <n v="556.63"/>
    <n v="27.83"/>
    <n v="0"/>
    <n v="15"/>
    <n v="599.46"/>
    <n v="34"/>
    <x v="2"/>
  </r>
  <r>
    <s v="O0063"/>
    <s v="27-02-2025"/>
    <x v="60"/>
    <s v="Bulk"/>
    <x v="3"/>
    <x v="0"/>
    <s v="426916"/>
    <s v="Netbanking"/>
    <x v="60"/>
    <x v="60"/>
    <x v="0"/>
    <n v="1"/>
    <n v="67.3"/>
    <n v="3.37"/>
    <n v="63.93"/>
    <n v="3.2"/>
    <n v="10"/>
    <n v="20"/>
    <n v="97.13"/>
    <n v="30"/>
    <x v="4"/>
  </r>
  <r>
    <s v="O0064"/>
    <s v="09-01-2025"/>
    <x v="61"/>
    <s v="Bulk"/>
    <x v="5"/>
    <x v="0"/>
    <s v="658030"/>
    <s v="Card"/>
    <x v="61"/>
    <x v="61"/>
    <x v="0"/>
    <n v="5"/>
    <n v="65.64"/>
    <n v="0"/>
    <n v="328.2"/>
    <n v="16.41"/>
    <n v="0"/>
    <n v="0"/>
    <n v="344.61"/>
    <n v="34"/>
    <x v="4"/>
  </r>
  <r>
    <s v="O0065"/>
    <s v="26-01-2025"/>
    <x v="62"/>
    <s v="Bulk"/>
    <x v="5"/>
    <x v="1"/>
    <s v="972388"/>
    <s v="Upi"/>
    <x v="62"/>
    <x v="62"/>
    <x v="6"/>
    <n v="3"/>
    <n v="82.14"/>
    <n v="12.32"/>
    <n v="234.1"/>
    <n v="11.71"/>
    <n v="0"/>
    <n v="0"/>
    <n v="245.81"/>
    <n v="31"/>
    <x v="5"/>
  </r>
  <r>
    <s v="O0066"/>
    <s v="22-02-2025"/>
    <x v="63"/>
    <s v="Bulk"/>
    <x v="2"/>
    <x v="0"/>
    <s v="228322"/>
    <s v="Netbanking"/>
    <x v="63"/>
    <x v="63"/>
    <x v="7"/>
    <n v="1"/>
    <n v="122.6"/>
    <n v="0"/>
    <n v="122.6"/>
    <n v="6.13"/>
    <n v="10"/>
    <n v="10"/>
    <n v="148.72999999999999"/>
    <n v="35"/>
    <x v="0"/>
  </r>
  <r>
    <s v="O0067"/>
    <s v="02-01-2025"/>
    <x v="64"/>
    <s v="Bulk"/>
    <x v="1"/>
    <x v="1"/>
    <s v="186231"/>
    <s v="Card"/>
    <x v="64"/>
    <x v="64"/>
    <x v="6"/>
    <n v="5"/>
    <n v="52.09"/>
    <n v="0"/>
    <n v="260.45"/>
    <n v="13.02"/>
    <n v="10"/>
    <n v="0"/>
    <n v="283.47000000000003"/>
    <n v="29"/>
    <x v="4"/>
  </r>
  <r>
    <s v="O0068"/>
    <s v="20-01-2025"/>
    <x v="65"/>
    <s v="Bulk"/>
    <x v="3"/>
    <x v="1"/>
    <s v="590042"/>
    <s v="Cod"/>
    <x v="65"/>
    <x v="65"/>
    <x v="1"/>
    <n v="4"/>
    <n v="155.44"/>
    <n v="0"/>
    <n v="621.76"/>
    <n v="31.09"/>
    <n v="10"/>
    <n v="15"/>
    <n v="677.85"/>
    <n v="36"/>
    <x v="6"/>
  </r>
  <r>
    <s v="O0069"/>
    <s v="28-01-2025"/>
    <x v="66"/>
    <s v="Bulk"/>
    <x v="2"/>
    <x v="2"/>
    <s v="153947"/>
    <s v="Upi"/>
    <x v="66"/>
    <x v="66"/>
    <x v="4"/>
    <n v="3"/>
    <n v="162.9"/>
    <n v="16.29"/>
    <n v="472.41"/>
    <n v="23.62"/>
    <n v="20"/>
    <n v="5"/>
    <n v="521.03"/>
    <n v="28"/>
    <x v="3"/>
  </r>
  <r>
    <s v="O0070"/>
    <s v="16-02-2025"/>
    <x v="67"/>
    <s v="Bulk"/>
    <x v="1"/>
    <x v="2"/>
    <m/>
    <s v="Gpay"/>
    <x v="67"/>
    <x v="67"/>
    <x v="8"/>
    <n v="1"/>
    <n v="109.97"/>
    <n v="5.5"/>
    <n v="104.47"/>
    <n v="5.22"/>
    <n v="30"/>
    <n v="5"/>
    <n v="144.69"/>
    <n v="26"/>
    <x v="5"/>
  </r>
  <r>
    <s v="O0071"/>
    <s v="01-03-2025"/>
    <x v="68"/>
    <s v="Bulk"/>
    <x v="2"/>
    <x v="1"/>
    <s v="716412"/>
    <s v="Wallet"/>
    <x v="68"/>
    <x v="68"/>
    <x v="3"/>
    <n v="3"/>
    <n v="110.85"/>
    <n v="0"/>
    <n v="332.55"/>
    <n v="16.63"/>
    <n v="30"/>
    <n v="5"/>
    <n v="384.17999999999989"/>
    <n v="29"/>
    <x v="0"/>
  </r>
  <r>
    <s v="O0072"/>
    <s v="07-01-2025"/>
    <x v="69"/>
    <s v="Bulk"/>
    <x v="5"/>
    <x v="0"/>
    <s v="175418"/>
    <s v="Upi"/>
    <x v="69"/>
    <x v="69"/>
    <x v="7"/>
    <n v="3"/>
    <n v="73.069999999999993"/>
    <n v="3.65"/>
    <n v="215.56"/>
    <n v="10.78"/>
    <n v="20"/>
    <n v="10"/>
    <n v="256.33999999999997"/>
    <n v="18"/>
    <x v="3"/>
  </r>
  <r>
    <s v="O0073"/>
    <s v="13-02-2025"/>
    <x v="70"/>
    <s v="New"/>
    <x v="4"/>
    <x v="2"/>
    <s v="700530"/>
    <s v="Gpay"/>
    <x v="70"/>
    <x v="70"/>
    <x v="5"/>
    <n v="3"/>
    <n v="125.4"/>
    <n v="6.27"/>
    <n v="369.93000000000012"/>
    <n v="18.5"/>
    <n v="0"/>
    <n v="10"/>
    <n v="398.43000000000012"/>
    <n v="22"/>
    <x v="4"/>
  </r>
  <r>
    <s v="O0074"/>
    <s v="08-01-2025"/>
    <x v="71"/>
    <s v="Bulk"/>
    <x v="1"/>
    <x v="0"/>
    <s v="244353"/>
    <s v="Gpay"/>
    <x v="71"/>
    <x v="71"/>
    <x v="5"/>
    <n v="3"/>
    <n v="134.96"/>
    <n v="20.239999999999998"/>
    <n v="384.64"/>
    <n v="19.23"/>
    <n v="30"/>
    <n v="10"/>
    <n v="443.87"/>
    <n v="40"/>
    <x v="2"/>
  </r>
  <r>
    <s v="O0075"/>
    <s v="16-02-2025"/>
    <x v="72"/>
    <s v="Bulk"/>
    <x v="3"/>
    <x v="0"/>
    <s v="827955"/>
    <s v="Netbanking"/>
    <x v="72"/>
    <x v="72"/>
    <x v="2"/>
    <n v="5"/>
    <n v="33.51"/>
    <n v="1.68"/>
    <n v="165.87"/>
    <n v="8.2899999999999991"/>
    <n v="20"/>
    <n v="20"/>
    <n v="214.16"/>
    <n v="32"/>
    <x v="5"/>
  </r>
  <r>
    <s v="O0076"/>
    <s v="04-02-2025"/>
    <x v="73"/>
    <s v="Bulk"/>
    <x v="3"/>
    <x v="2"/>
    <s v="606047"/>
    <s v="Phonepe"/>
    <x v="73"/>
    <x v="73"/>
    <x v="8"/>
    <n v="4"/>
    <n v="93.21"/>
    <n v="9.32"/>
    <n v="363.52"/>
    <n v="18.18"/>
    <n v="20"/>
    <n v="10"/>
    <n v="411.7"/>
    <n v="24.67"/>
    <x v="3"/>
  </r>
  <r>
    <s v="O0077"/>
    <s v="14-01-2025"/>
    <x v="74"/>
    <s v="New"/>
    <x v="4"/>
    <x v="1"/>
    <s v="872800"/>
    <s v="Upi"/>
    <x v="74"/>
    <x v="74"/>
    <x v="9"/>
    <n v="3"/>
    <n v="98.22"/>
    <n v="0"/>
    <n v="294.66000000000003"/>
    <n v="14.73"/>
    <n v="20"/>
    <n v="10"/>
    <n v="339.39"/>
    <n v="26"/>
    <x v="3"/>
  </r>
  <r>
    <s v="O0078"/>
    <s v="17-01-2025"/>
    <x v="75"/>
    <s v="Bulk"/>
    <x v="5"/>
    <x v="1"/>
    <s v="842406"/>
    <s v="Upi"/>
    <x v="75"/>
    <x v="75"/>
    <x v="0"/>
    <n v="1"/>
    <n v="234.65"/>
    <n v="35.200000000000003"/>
    <n v="199.45"/>
    <n v="9.9700000000000006"/>
    <n v="30"/>
    <n v="20"/>
    <n v="259.42"/>
    <n v="28"/>
    <x v="1"/>
  </r>
  <r>
    <s v="O0079"/>
    <s v="05-02-2025"/>
    <x v="76"/>
    <s v="Bulk"/>
    <x v="1"/>
    <x v="1"/>
    <m/>
    <s v="Netbanking"/>
    <x v="76"/>
    <x v="76"/>
    <x v="9"/>
    <n v="1"/>
    <n v="188.2"/>
    <n v="28.23"/>
    <n v="159.97"/>
    <n v="8"/>
    <n v="30"/>
    <n v="15"/>
    <n v="212.97"/>
    <n v="20"/>
    <x v="2"/>
  </r>
  <r>
    <s v="O0080"/>
    <s v="19-02-2025"/>
    <x v="77"/>
    <s v="Bulk"/>
    <x v="2"/>
    <x v="2"/>
    <s v="713474"/>
    <s v="Upi"/>
    <x v="77"/>
    <x v="77"/>
    <x v="2"/>
    <n v="1"/>
    <n v="232.87"/>
    <n v="11.64"/>
    <n v="221.23"/>
    <n v="11.06"/>
    <n v="20"/>
    <n v="5"/>
    <n v="257.29000000000002"/>
    <n v="31"/>
    <x v="2"/>
  </r>
  <r>
    <s v="O0081"/>
    <s v="09-02-2025"/>
    <x v="78"/>
    <s v="Bulk"/>
    <x v="1"/>
    <x v="0"/>
    <s v="438076"/>
    <s v="Upi"/>
    <x v="78"/>
    <x v="78"/>
    <x v="7"/>
    <n v="2"/>
    <n v="46.21"/>
    <n v="0"/>
    <n v="92.42"/>
    <n v="4.62"/>
    <n v="20"/>
    <n v="5"/>
    <n v="122.04"/>
    <n v="24.67"/>
    <x v="5"/>
  </r>
  <r>
    <s v="O0082"/>
    <s v="04-01-2025"/>
    <x v="79"/>
    <s v="Bulk"/>
    <x v="1"/>
    <x v="2"/>
    <s v="440941"/>
    <s v="Cod"/>
    <x v="79"/>
    <x v="79"/>
    <x v="8"/>
    <n v="2"/>
    <n v="170.05"/>
    <n v="0"/>
    <n v="340.1"/>
    <n v="17.010000000000002"/>
    <n v="30"/>
    <n v="15"/>
    <n v="402.11"/>
    <n v="20"/>
    <x v="0"/>
  </r>
  <r>
    <s v="O0083"/>
    <s v="02-01-2025"/>
    <x v="80"/>
    <s v="New"/>
    <x v="4"/>
    <x v="2"/>
    <s v="312943"/>
    <s v="Upi"/>
    <x v="80"/>
    <x v="80"/>
    <x v="3"/>
    <n v="2"/>
    <n v="98.72"/>
    <n v="4.9400000000000004"/>
    <n v="192.5"/>
    <n v="9.6199999999999992"/>
    <n v="0"/>
    <n v="5"/>
    <n v="207.12"/>
    <n v="31"/>
    <x v="4"/>
  </r>
  <r>
    <s v="O0084"/>
    <s v="06-01-2025"/>
    <x v="81"/>
    <s v="Bulk"/>
    <x v="3"/>
    <x v="1"/>
    <s v="762784"/>
    <s v="Wallet"/>
    <x v="81"/>
    <x v="81"/>
    <x v="6"/>
    <n v="2"/>
    <n v="99.38"/>
    <n v="14.91"/>
    <n v="183.85"/>
    <n v="9.19"/>
    <n v="10"/>
    <n v="10"/>
    <n v="213.04"/>
    <n v="40"/>
    <x v="6"/>
  </r>
  <r>
    <s v="O0085"/>
    <s v="23-02-2025"/>
    <x v="82"/>
    <s v="Returning"/>
    <x v="4"/>
    <x v="1"/>
    <m/>
    <s v="Upi"/>
    <x v="82"/>
    <x v="82"/>
    <x v="3"/>
    <n v="5"/>
    <n v="64.239999999999995"/>
    <n v="0"/>
    <n v="321.2"/>
    <n v="16.059999999999999"/>
    <n v="30"/>
    <n v="10"/>
    <n v="377.26"/>
    <n v="12"/>
    <x v="5"/>
  </r>
  <r>
    <s v="O0086"/>
    <s v="11-02-2025"/>
    <x v="83"/>
    <s v="Returning"/>
    <x v="4"/>
    <x v="1"/>
    <m/>
    <s v="Upi"/>
    <x v="83"/>
    <x v="83"/>
    <x v="9"/>
    <n v="5"/>
    <n v="115.07"/>
    <n v="0"/>
    <n v="575.34999999999991"/>
    <n v="28.77"/>
    <n v="30"/>
    <n v="0"/>
    <n v="634.11999999999989"/>
    <n v="36"/>
    <x v="3"/>
  </r>
  <r>
    <s v="O0087"/>
    <s v="04-01-2025"/>
    <x v="84"/>
    <s v="Bulk"/>
    <x v="1"/>
    <x v="1"/>
    <s v="343373"/>
    <s v="Phonepe"/>
    <x v="84"/>
    <x v="84"/>
    <x v="9"/>
    <n v="2"/>
    <n v="91.09"/>
    <n v="4.55"/>
    <n v="177.63"/>
    <n v="8.8800000000000008"/>
    <n v="30"/>
    <n v="10"/>
    <n v="226.51"/>
    <n v="32"/>
    <x v="0"/>
  </r>
  <r>
    <s v="O0088"/>
    <s v="23-02-2025"/>
    <x v="85"/>
    <s v="Bulk"/>
    <x v="5"/>
    <x v="1"/>
    <s v="707167"/>
    <s v="Gpay"/>
    <x v="85"/>
    <x v="85"/>
    <x v="9"/>
    <n v="4"/>
    <n v="97.79"/>
    <n v="9.7799999999999994"/>
    <n v="381.38000000000011"/>
    <n v="19.07"/>
    <n v="20"/>
    <n v="10"/>
    <n v="430.45"/>
    <n v="25"/>
    <x v="5"/>
  </r>
  <r>
    <s v="O0089"/>
    <s v="29-01-2025"/>
    <x v="86"/>
    <s v="Bulk"/>
    <x v="3"/>
    <x v="1"/>
    <s v="430904"/>
    <s v="Gpay"/>
    <x v="86"/>
    <x v="86"/>
    <x v="0"/>
    <n v="4"/>
    <n v="104.59"/>
    <n v="10.46"/>
    <n v="407.9"/>
    <n v="20.399999999999999"/>
    <n v="10"/>
    <n v="0"/>
    <n v="438.3"/>
    <n v="37"/>
    <x v="2"/>
  </r>
  <r>
    <s v="O0090"/>
    <s v="18-01-2025"/>
    <x v="87"/>
    <s v="Bulk"/>
    <x v="1"/>
    <x v="1"/>
    <s v="466245"/>
    <s v="Netbanking"/>
    <x v="87"/>
    <x v="87"/>
    <x v="6"/>
    <n v="3"/>
    <n v="34.43"/>
    <n v="5.16"/>
    <n v="98.13"/>
    <n v="4.91"/>
    <n v="30"/>
    <n v="15"/>
    <n v="148.04"/>
    <n v="31"/>
    <x v="0"/>
  </r>
  <r>
    <s v="O0091"/>
    <s v="26-01-2025"/>
    <x v="88"/>
    <s v="Bulk"/>
    <x v="5"/>
    <x v="0"/>
    <s v="891541"/>
    <s v="Wallet"/>
    <x v="88"/>
    <x v="88"/>
    <x v="1"/>
    <n v="1"/>
    <n v="92.14"/>
    <n v="9.2100000000000009"/>
    <n v="82.93"/>
    <n v="4.1500000000000004"/>
    <n v="30"/>
    <n v="5"/>
    <n v="122.08"/>
    <n v="24.67"/>
    <x v="5"/>
  </r>
  <r>
    <s v="O0092"/>
    <s v="13-02-2025"/>
    <x v="89"/>
    <s v="Bulk"/>
    <x v="0"/>
    <x v="0"/>
    <s v="726759"/>
    <s v="Phonepe"/>
    <x v="89"/>
    <x v="89"/>
    <x v="6"/>
    <n v="4"/>
    <n v="16.93"/>
    <n v="0"/>
    <n v="67.72"/>
    <n v="3.39"/>
    <n v="30"/>
    <n v="10"/>
    <n v="111.11"/>
    <n v="20"/>
    <x v="4"/>
  </r>
  <r>
    <s v="O0093"/>
    <s v="03-02-2025"/>
    <x v="90"/>
    <s v="Returning"/>
    <x v="4"/>
    <x v="2"/>
    <s v="969741"/>
    <s v="Netbanking"/>
    <x v="90"/>
    <x v="90"/>
    <x v="7"/>
    <n v="1"/>
    <n v="237.77"/>
    <n v="35.67"/>
    <n v="202.1"/>
    <n v="10.11"/>
    <n v="30"/>
    <n v="5"/>
    <n v="247.21"/>
    <n v="21"/>
    <x v="6"/>
  </r>
  <r>
    <s v="O0094"/>
    <s v="10-01-2025"/>
    <x v="91"/>
    <s v="Bulk"/>
    <x v="5"/>
    <x v="0"/>
    <s v="693586"/>
    <s v="Phonepe"/>
    <x v="91"/>
    <x v="91"/>
    <x v="1"/>
    <n v="5"/>
    <n v="164.53"/>
    <n v="16.45"/>
    <n v="806.19999999999993"/>
    <n v="40.31"/>
    <n v="30"/>
    <n v="15"/>
    <n v="891.51"/>
    <n v="27"/>
    <x v="1"/>
  </r>
  <r>
    <s v="O0095"/>
    <s v="05-02-2025"/>
    <x v="92"/>
    <s v="Bulk"/>
    <x v="1"/>
    <x v="2"/>
    <s v="545485"/>
    <s v="Gpay"/>
    <x v="92"/>
    <x v="92"/>
    <x v="1"/>
    <n v="3"/>
    <n v="104.2"/>
    <n v="15.63"/>
    <n v="296.97000000000003"/>
    <n v="14.85"/>
    <n v="10"/>
    <n v="5"/>
    <n v="326.82000000000011"/>
    <n v="20"/>
    <x v="2"/>
  </r>
  <r>
    <s v="O0096"/>
    <s v="14-01-2025"/>
    <x v="93"/>
    <s v="Returning"/>
    <x v="4"/>
    <x v="2"/>
    <s v="830023"/>
    <s v="Cod"/>
    <x v="93"/>
    <x v="93"/>
    <x v="6"/>
    <n v="2"/>
    <n v="50.5"/>
    <n v="0"/>
    <n v="101"/>
    <n v="5.05"/>
    <n v="20"/>
    <n v="0"/>
    <n v="126.05"/>
    <n v="18"/>
    <x v="3"/>
  </r>
  <r>
    <s v="O0097"/>
    <s v="31-01-2025"/>
    <x v="94"/>
    <s v="Bulk"/>
    <x v="5"/>
    <x v="1"/>
    <s v="999187"/>
    <s v="Phonepe"/>
    <x v="94"/>
    <x v="94"/>
    <x v="8"/>
    <n v="1"/>
    <n v="67.42"/>
    <n v="3.37"/>
    <n v="64.05"/>
    <n v="3.2"/>
    <n v="10"/>
    <n v="5"/>
    <n v="82.25"/>
    <n v="25"/>
    <x v="1"/>
  </r>
  <r>
    <s v="O0098"/>
    <s v="17-02-2025"/>
    <x v="95"/>
    <s v="Bulk"/>
    <x v="5"/>
    <x v="1"/>
    <s v="312977"/>
    <s v="Upi"/>
    <x v="95"/>
    <x v="95"/>
    <x v="5"/>
    <n v="1"/>
    <n v="53.56"/>
    <n v="0"/>
    <n v="53.56"/>
    <n v="2.68"/>
    <n v="20"/>
    <n v="5"/>
    <n v="81.240000000000009"/>
    <n v="42"/>
    <x v="6"/>
  </r>
  <r>
    <s v="O0099"/>
    <s v="15-01-2025"/>
    <x v="96"/>
    <s v="Bulk"/>
    <x v="5"/>
    <x v="0"/>
    <s v="859746"/>
    <s v="Upi"/>
    <x v="96"/>
    <x v="96"/>
    <x v="9"/>
    <n v="4"/>
    <n v="141.11000000000001"/>
    <n v="7.06"/>
    <n v="557.38000000000011"/>
    <n v="27.87"/>
    <n v="10"/>
    <n v="10"/>
    <n v="605.25000000000011"/>
    <n v="26"/>
    <x v="2"/>
  </r>
  <r>
    <s v="O0100"/>
    <s v="08-01-2025"/>
    <x v="97"/>
    <s v="Returning"/>
    <x v="4"/>
    <x v="2"/>
    <s v="427025"/>
    <s v="Upi"/>
    <x v="97"/>
    <x v="97"/>
    <x v="9"/>
    <n v="3"/>
    <n v="172.82"/>
    <n v="17.28"/>
    <n v="501.18000000000012"/>
    <n v="25.06"/>
    <n v="30"/>
    <n v="20"/>
    <n v="576.24"/>
    <n v="25"/>
    <x v="2"/>
  </r>
  <r>
    <s v="O0101"/>
    <s v="14-01-2025"/>
    <x v="98"/>
    <s v="Bulk"/>
    <x v="2"/>
    <x v="1"/>
    <s v="649114"/>
    <s v="Upi"/>
    <x v="98"/>
    <x v="98"/>
    <x v="5"/>
    <n v="1"/>
    <n v="195.91"/>
    <n v="29.39"/>
    <n v="166.52"/>
    <n v="8.33"/>
    <n v="20"/>
    <n v="15"/>
    <n v="209.85"/>
    <n v="24.67"/>
    <x v="3"/>
  </r>
  <r>
    <s v="O0102"/>
    <s v="23-01-2025"/>
    <x v="99"/>
    <s v="Bulk"/>
    <x v="1"/>
    <x v="0"/>
    <m/>
    <s v="Upi"/>
    <x v="99"/>
    <x v="99"/>
    <x v="9"/>
    <n v="4"/>
    <n v="246.95"/>
    <n v="0"/>
    <n v="987.8"/>
    <n v="49.39"/>
    <n v="20"/>
    <n v="5"/>
    <n v="1062.19"/>
    <n v="22"/>
    <x v="4"/>
  </r>
  <r>
    <s v="O0103"/>
    <s v="01-03-2025"/>
    <x v="100"/>
    <s v="Bulk"/>
    <x v="5"/>
    <x v="0"/>
    <s v="920094"/>
    <s v="Phonepe"/>
    <x v="100"/>
    <x v="100"/>
    <x v="0"/>
    <n v="5"/>
    <n v="131.86000000000001"/>
    <n v="6.59"/>
    <n v="652.71"/>
    <n v="32.64"/>
    <n v="0"/>
    <n v="15"/>
    <n v="700.35"/>
    <n v="24.67"/>
    <x v="0"/>
  </r>
  <r>
    <s v="O0104"/>
    <s v="26-02-2025"/>
    <x v="101"/>
    <s v="Bulk"/>
    <x v="1"/>
    <x v="2"/>
    <s v="172715"/>
    <s v="Upi"/>
    <x v="101"/>
    <x v="101"/>
    <x v="9"/>
    <n v="3"/>
    <n v="250.95"/>
    <n v="25.09"/>
    <n v="727.75999999999988"/>
    <n v="36.39"/>
    <n v="20"/>
    <n v="5"/>
    <n v="789.14999999999986"/>
    <n v="41"/>
    <x v="2"/>
  </r>
  <r>
    <s v="O0105"/>
    <s v="09-02-2025"/>
    <x v="102"/>
    <s v="Bulk"/>
    <x v="3"/>
    <x v="1"/>
    <s v="183186"/>
    <s v="Gpay"/>
    <x v="102"/>
    <x v="102"/>
    <x v="9"/>
    <n v="2"/>
    <n v="80.91"/>
    <n v="4.05"/>
    <n v="157.77000000000001"/>
    <n v="7.89"/>
    <n v="0"/>
    <n v="15"/>
    <n v="180.66"/>
    <n v="20"/>
    <x v="5"/>
  </r>
  <r>
    <s v="O0106"/>
    <s v="21-01-2025"/>
    <x v="103"/>
    <s v="Bulk"/>
    <x v="3"/>
    <x v="2"/>
    <s v="320971"/>
    <s v="Upi"/>
    <x v="103"/>
    <x v="103"/>
    <x v="5"/>
    <n v="1"/>
    <n v="88.24"/>
    <n v="8.82"/>
    <n v="79.419999999999987"/>
    <n v="3.97"/>
    <n v="0"/>
    <n v="5"/>
    <n v="88.389999999999986"/>
    <n v="19"/>
    <x v="3"/>
  </r>
  <r>
    <s v="O0107"/>
    <s v="16-01-2025"/>
    <x v="104"/>
    <s v="Bulk"/>
    <x v="5"/>
    <x v="1"/>
    <s v="268484"/>
    <s v="Card"/>
    <x v="104"/>
    <x v="104"/>
    <x v="7"/>
    <n v="2"/>
    <n v="223.65"/>
    <n v="33.549999999999997"/>
    <n v="413.75"/>
    <n v="20.69"/>
    <n v="0"/>
    <n v="15"/>
    <n v="449.44"/>
    <n v="24.67"/>
    <x v="4"/>
  </r>
  <r>
    <s v="O0108"/>
    <s v="14-02-2025"/>
    <x v="105"/>
    <s v="Bulk"/>
    <x v="1"/>
    <x v="1"/>
    <s v="538716"/>
    <s v="Upi"/>
    <x v="105"/>
    <x v="105"/>
    <x v="5"/>
    <n v="3"/>
    <n v="52.33"/>
    <n v="7.85"/>
    <n v="149.13999999999999"/>
    <n v="7.46"/>
    <n v="20"/>
    <n v="0"/>
    <n v="176.6"/>
    <n v="30"/>
    <x v="1"/>
  </r>
  <r>
    <s v="O0109"/>
    <s v="18-01-2025"/>
    <x v="106"/>
    <s v="Bulk"/>
    <x v="3"/>
    <x v="0"/>
    <s v="331447"/>
    <s v="Cod"/>
    <x v="106"/>
    <x v="106"/>
    <x v="9"/>
    <n v="2"/>
    <n v="19.88"/>
    <n v="2.98"/>
    <n v="36.78"/>
    <n v="1.84"/>
    <n v="0"/>
    <n v="5"/>
    <n v="43.62"/>
    <n v="24"/>
    <x v="0"/>
  </r>
  <r>
    <s v="O0110"/>
    <s v="16-02-2025"/>
    <x v="107"/>
    <s v="Bulk"/>
    <x v="0"/>
    <x v="1"/>
    <s v="726045"/>
    <s v="Gpay"/>
    <x v="107"/>
    <x v="107"/>
    <x v="0"/>
    <n v="4"/>
    <n v="8.14"/>
    <n v="1.22"/>
    <n v="31.34"/>
    <n v="1.57"/>
    <n v="20"/>
    <n v="15"/>
    <n v="67.91"/>
    <n v="15"/>
    <x v="5"/>
  </r>
  <r>
    <s v="O0111"/>
    <s v="22-02-2025"/>
    <x v="108"/>
    <s v="Bulk"/>
    <x v="0"/>
    <x v="0"/>
    <s v="667873"/>
    <s v="Netbanking"/>
    <x v="108"/>
    <x v="108"/>
    <x v="8"/>
    <n v="3"/>
    <n v="182.83"/>
    <n v="27.42"/>
    <n v="521.07000000000005"/>
    <n v="26.05"/>
    <n v="20"/>
    <n v="0"/>
    <n v="567.12"/>
    <n v="24"/>
    <x v="0"/>
  </r>
  <r>
    <s v="O0112"/>
    <s v="24-01-2025"/>
    <x v="109"/>
    <s v="Bulk"/>
    <x v="1"/>
    <x v="0"/>
    <s v="915858"/>
    <s v="Phonepe"/>
    <x v="109"/>
    <x v="109"/>
    <x v="7"/>
    <n v="2"/>
    <n v="199.02"/>
    <n v="19.899999999999999"/>
    <n v="378.14"/>
    <n v="18.91"/>
    <n v="30"/>
    <n v="20"/>
    <n v="447.05000000000013"/>
    <n v="29"/>
    <x v="1"/>
  </r>
  <r>
    <s v="O0113"/>
    <s v="26-01-2025"/>
    <x v="110"/>
    <s v="Returning"/>
    <x v="4"/>
    <x v="0"/>
    <s v="360116"/>
    <s v="Upi"/>
    <x v="110"/>
    <x v="110"/>
    <x v="8"/>
    <n v="4"/>
    <n v="130.76"/>
    <n v="19.61"/>
    <n v="503.42999999999989"/>
    <n v="25.17"/>
    <n v="30"/>
    <n v="0"/>
    <n v="558.59999999999991"/>
    <n v="18"/>
    <x v="5"/>
  </r>
  <r>
    <s v="O0114"/>
    <s v="25-01-2025"/>
    <x v="111"/>
    <s v="Returning"/>
    <x v="4"/>
    <x v="1"/>
    <s v="257795"/>
    <s v="Upi"/>
    <x v="111"/>
    <x v="111"/>
    <x v="7"/>
    <n v="1"/>
    <n v="82.47"/>
    <n v="8.25"/>
    <n v="74.22"/>
    <n v="3.71"/>
    <n v="0"/>
    <n v="10"/>
    <n v="87.929999999999993"/>
    <n v="28"/>
    <x v="0"/>
  </r>
  <r>
    <s v="O0115"/>
    <s v="01-03-2025"/>
    <x v="112"/>
    <s v="Bulk"/>
    <x v="0"/>
    <x v="0"/>
    <s v="722605"/>
    <s v="Cod"/>
    <x v="112"/>
    <x v="112"/>
    <x v="2"/>
    <n v="3"/>
    <n v="102.51"/>
    <n v="0"/>
    <n v="307.52999999999997"/>
    <n v="15.38"/>
    <n v="20"/>
    <n v="20"/>
    <n v="362.91"/>
    <n v="30"/>
    <x v="0"/>
  </r>
  <r>
    <s v="O0116"/>
    <s v="01-03-2025"/>
    <x v="113"/>
    <s v="Bulk"/>
    <x v="3"/>
    <x v="0"/>
    <s v="300422"/>
    <s v="Netbanking"/>
    <x v="113"/>
    <x v="113"/>
    <x v="5"/>
    <n v="2"/>
    <n v="14.07"/>
    <n v="0.7"/>
    <n v="27.44"/>
    <n v="1.37"/>
    <n v="30"/>
    <n v="10"/>
    <n v="68.81"/>
    <n v="27"/>
    <x v="0"/>
  </r>
  <r>
    <s v="O0117"/>
    <s v="01-03-2025"/>
    <x v="114"/>
    <s v="Bulk"/>
    <x v="5"/>
    <x v="1"/>
    <s v="244832"/>
    <s v="Upi"/>
    <x v="114"/>
    <x v="114"/>
    <x v="9"/>
    <n v="2"/>
    <n v="52.82"/>
    <n v="0"/>
    <n v="105.64"/>
    <n v="5.28"/>
    <n v="10"/>
    <n v="20"/>
    <n v="140.91999999999999"/>
    <n v="33"/>
    <x v="0"/>
  </r>
  <r>
    <s v="O0118"/>
    <s v="14-02-2025"/>
    <x v="115"/>
    <s v="Bulk"/>
    <x v="5"/>
    <x v="1"/>
    <s v="857038"/>
    <s v="Upi"/>
    <x v="115"/>
    <x v="115"/>
    <x v="4"/>
    <n v="1"/>
    <n v="91.94"/>
    <n v="13.79"/>
    <n v="78.150000000000006"/>
    <n v="3.91"/>
    <n v="20"/>
    <n v="10"/>
    <n v="112.06"/>
    <n v="28"/>
    <x v="1"/>
  </r>
  <r>
    <s v="O0119"/>
    <s v="10-02-2025"/>
    <x v="116"/>
    <s v="Bulk"/>
    <x v="0"/>
    <x v="0"/>
    <s v="482729"/>
    <s v="Phonepe"/>
    <x v="116"/>
    <x v="116"/>
    <x v="3"/>
    <n v="3"/>
    <n v="102.03"/>
    <n v="15.3"/>
    <n v="290.79000000000002"/>
    <n v="14.54"/>
    <n v="0"/>
    <n v="0"/>
    <n v="305.33"/>
    <n v="25"/>
    <x v="6"/>
  </r>
  <r>
    <s v="O0120"/>
    <s v="29-01-2025"/>
    <x v="117"/>
    <s v="Returning"/>
    <x v="4"/>
    <x v="1"/>
    <s v="869299"/>
    <s v="Netbanking"/>
    <x v="117"/>
    <x v="117"/>
    <x v="9"/>
    <n v="1"/>
    <n v="66.78"/>
    <n v="3.34"/>
    <n v="63.44"/>
    <n v="3.17"/>
    <n v="20"/>
    <n v="10"/>
    <n v="96.61"/>
    <n v="29"/>
    <x v="2"/>
  </r>
  <r>
    <s v="O0121"/>
    <s v="15-01-2025"/>
    <x v="118"/>
    <s v="Bulk"/>
    <x v="2"/>
    <x v="1"/>
    <s v="316184"/>
    <s v="Cod"/>
    <x v="118"/>
    <x v="118"/>
    <x v="5"/>
    <n v="4"/>
    <n v="126.91"/>
    <n v="0"/>
    <n v="507.64"/>
    <n v="25.38"/>
    <n v="30"/>
    <n v="20"/>
    <n v="583.02"/>
    <n v="21"/>
    <x v="2"/>
  </r>
  <r>
    <s v="O0122"/>
    <s v="14-02-2025"/>
    <x v="119"/>
    <s v="Bulk"/>
    <x v="3"/>
    <x v="2"/>
    <s v="192324"/>
    <s v="Gpay"/>
    <x v="119"/>
    <x v="119"/>
    <x v="7"/>
    <n v="2"/>
    <n v="21.8"/>
    <n v="0"/>
    <n v="43.6"/>
    <n v="2.1800000000000002"/>
    <n v="20"/>
    <n v="10"/>
    <n v="75.78"/>
    <n v="24.67"/>
    <x v="1"/>
  </r>
  <r>
    <s v="O0123"/>
    <s v="01-01-2025"/>
    <x v="120"/>
    <s v="Bulk"/>
    <x v="5"/>
    <x v="0"/>
    <s v="741179"/>
    <s v="Upi"/>
    <x v="120"/>
    <x v="120"/>
    <x v="7"/>
    <n v="5"/>
    <n v="162.43"/>
    <n v="24.36"/>
    <n v="787.79000000000008"/>
    <n v="39.39"/>
    <n v="0"/>
    <n v="5"/>
    <n v="832.18000000000006"/>
    <n v="34"/>
    <x v="2"/>
  </r>
  <r>
    <s v="O0124"/>
    <s v="25-01-2025"/>
    <x v="121"/>
    <s v="Returning"/>
    <x v="4"/>
    <x v="2"/>
    <s v="543324"/>
    <s v="Upi"/>
    <x v="121"/>
    <x v="121"/>
    <x v="3"/>
    <n v="3"/>
    <n v="185.37"/>
    <n v="0"/>
    <n v="556.11"/>
    <n v="27.81"/>
    <n v="30"/>
    <n v="5"/>
    <n v="618.91999999999996"/>
    <n v="24.67"/>
    <x v="0"/>
  </r>
  <r>
    <s v="O0125"/>
    <s v="07-01-2025"/>
    <x v="122"/>
    <s v="New"/>
    <x v="4"/>
    <x v="0"/>
    <s v="260928"/>
    <s v="Upi"/>
    <x v="122"/>
    <x v="122"/>
    <x v="3"/>
    <n v="2"/>
    <n v="92.94"/>
    <n v="9.2899999999999991"/>
    <n v="176.59"/>
    <n v="8.83"/>
    <n v="20"/>
    <n v="20"/>
    <n v="225.42"/>
    <n v="32"/>
    <x v="3"/>
  </r>
  <r>
    <s v="O0126"/>
    <s v="09-01-2025"/>
    <x v="123"/>
    <s v="Returning"/>
    <x v="4"/>
    <x v="2"/>
    <s v="796595"/>
    <s v="Upi"/>
    <x v="123"/>
    <x v="123"/>
    <x v="4"/>
    <n v="2"/>
    <n v="84.67"/>
    <n v="0"/>
    <n v="169.34"/>
    <n v="8.4700000000000006"/>
    <n v="20"/>
    <n v="20"/>
    <n v="217.81"/>
    <n v="25"/>
    <x v="4"/>
  </r>
  <r>
    <s v="O0127"/>
    <s v="24-01-2025"/>
    <x v="124"/>
    <s v="Bulk"/>
    <x v="5"/>
    <x v="1"/>
    <s v="633398"/>
    <s v="Netbanking"/>
    <x v="124"/>
    <x v="124"/>
    <x v="5"/>
    <n v="4"/>
    <n v="140.79"/>
    <n v="7.04"/>
    <n v="556.12"/>
    <n v="27.81"/>
    <n v="0"/>
    <n v="15"/>
    <n v="598.92999999999995"/>
    <n v="26"/>
    <x v="1"/>
  </r>
  <r>
    <s v="O0128"/>
    <s v="01-01-2025"/>
    <x v="125"/>
    <s v="Bulk"/>
    <x v="0"/>
    <x v="1"/>
    <s v="728349"/>
    <s v="Upi"/>
    <x v="125"/>
    <x v="125"/>
    <x v="5"/>
    <n v="1"/>
    <n v="67.73"/>
    <n v="6.77"/>
    <n v="60.960000000000008"/>
    <n v="3.05"/>
    <n v="20"/>
    <n v="15"/>
    <n v="99.01"/>
    <n v="29"/>
    <x v="2"/>
  </r>
  <r>
    <s v="O0129"/>
    <s v="13-02-2025"/>
    <x v="126"/>
    <s v="Bulk"/>
    <x v="5"/>
    <x v="2"/>
    <s v="601076"/>
    <s v="Phonepe"/>
    <x v="126"/>
    <x v="126"/>
    <x v="2"/>
    <n v="5"/>
    <n v="57.61"/>
    <n v="8.64"/>
    <n v="279.41000000000003"/>
    <n v="13.97"/>
    <n v="20"/>
    <n v="20"/>
    <n v="333.38000000000011"/>
    <n v="17"/>
    <x v="4"/>
  </r>
  <r>
    <s v="O0130"/>
    <s v="08-01-2025"/>
    <x v="127"/>
    <s v="Bulk"/>
    <x v="3"/>
    <x v="1"/>
    <s v="900101"/>
    <s v="Upi"/>
    <x v="127"/>
    <x v="127"/>
    <x v="3"/>
    <n v="4"/>
    <n v="136.59"/>
    <n v="13.66"/>
    <n v="532.70000000000005"/>
    <n v="26.64"/>
    <n v="10"/>
    <n v="20"/>
    <n v="589.34"/>
    <n v="18"/>
    <x v="2"/>
  </r>
  <r>
    <s v="O0131"/>
    <s v="24-01-2025"/>
    <x v="128"/>
    <s v="Bulk"/>
    <x v="1"/>
    <x v="2"/>
    <s v="128625"/>
    <s v="Upi"/>
    <x v="128"/>
    <x v="128"/>
    <x v="9"/>
    <n v="2"/>
    <n v="133.05000000000001"/>
    <n v="6.65"/>
    <n v="259.45"/>
    <n v="12.97"/>
    <n v="10"/>
    <n v="5"/>
    <n v="287.42000000000007"/>
    <n v="23"/>
    <x v="1"/>
  </r>
  <r>
    <s v="O0132"/>
    <s v="11-01-2025"/>
    <x v="129"/>
    <s v="Bulk"/>
    <x v="5"/>
    <x v="1"/>
    <s v="996880"/>
    <s v="Wallet"/>
    <x v="129"/>
    <x v="129"/>
    <x v="9"/>
    <n v="2"/>
    <n v="177.78"/>
    <n v="0"/>
    <n v="355.56"/>
    <n v="17.78"/>
    <n v="20"/>
    <n v="15"/>
    <n v="408.34"/>
    <n v="28"/>
    <x v="0"/>
  </r>
  <r>
    <s v="O0133"/>
    <s v="20-02-2025"/>
    <x v="130"/>
    <s v="Bulk"/>
    <x v="2"/>
    <x v="2"/>
    <s v="894557"/>
    <s v="Gpay"/>
    <x v="130"/>
    <x v="130"/>
    <x v="9"/>
    <n v="5"/>
    <n v="191.22"/>
    <n v="9.56"/>
    <n v="946.54000000000008"/>
    <n v="47.33"/>
    <n v="20"/>
    <n v="15"/>
    <n v="1028.8699999999999"/>
    <n v="33"/>
    <x v="4"/>
  </r>
  <r>
    <s v="O0134"/>
    <s v="17-01-2025"/>
    <x v="131"/>
    <s v="Bulk"/>
    <x v="0"/>
    <x v="2"/>
    <s v="742804"/>
    <s v="Upi"/>
    <x v="131"/>
    <x v="131"/>
    <x v="0"/>
    <n v="6"/>
    <n v="180.31"/>
    <n v="18.03"/>
    <n v="1063.83"/>
    <n v="53.19"/>
    <n v="30"/>
    <n v="0"/>
    <n v="1147.02"/>
    <n v="22"/>
    <x v="1"/>
  </r>
  <r>
    <s v="O0135"/>
    <s v="08-01-2025"/>
    <x v="132"/>
    <s v="Bulk"/>
    <x v="1"/>
    <x v="2"/>
    <s v="619777"/>
    <s v="Upi"/>
    <x v="132"/>
    <x v="132"/>
    <x v="5"/>
    <n v="6"/>
    <n v="147.21"/>
    <n v="22.08"/>
    <n v="861.18"/>
    <n v="43.06"/>
    <n v="20"/>
    <n v="5"/>
    <n v="929.24"/>
    <n v="24.67"/>
    <x v="2"/>
  </r>
  <r>
    <s v="O0136"/>
    <s v="04-02-2025"/>
    <x v="133"/>
    <s v="Bulk"/>
    <x v="2"/>
    <x v="0"/>
    <s v="983084"/>
    <s v="Cod"/>
    <x v="133"/>
    <x v="133"/>
    <x v="8"/>
    <n v="1"/>
    <n v="63.98"/>
    <n v="6.4"/>
    <n v="57.58"/>
    <n v="2.88"/>
    <n v="0"/>
    <n v="5"/>
    <n v="65.460000000000008"/>
    <n v="34"/>
    <x v="3"/>
  </r>
  <r>
    <s v="O0137"/>
    <s v="04-02-2025"/>
    <x v="134"/>
    <s v="Bulk"/>
    <x v="3"/>
    <x v="1"/>
    <s v="890144"/>
    <s v="Card"/>
    <x v="134"/>
    <x v="134"/>
    <x v="9"/>
    <n v="2"/>
    <n v="102.15"/>
    <n v="10.220000000000001"/>
    <n v="194.08"/>
    <n v="9.6999999999999993"/>
    <n v="10"/>
    <n v="5"/>
    <n v="218.78"/>
    <n v="38"/>
    <x v="3"/>
  </r>
  <r>
    <s v="O0138"/>
    <s v="02-02-2025"/>
    <x v="135"/>
    <s v="Bulk"/>
    <x v="2"/>
    <x v="1"/>
    <s v="858470"/>
    <s v="Card"/>
    <x v="135"/>
    <x v="135"/>
    <x v="7"/>
    <n v="3"/>
    <n v="58.28"/>
    <n v="2.91"/>
    <n v="171.93"/>
    <n v="8.6"/>
    <n v="20"/>
    <n v="0"/>
    <n v="200.53"/>
    <n v="36"/>
    <x v="5"/>
  </r>
  <r>
    <s v="O0139"/>
    <s v="28-02-2025"/>
    <x v="136"/>
    <s v="Returning"/>
    <x v="4"/>
    <x v="1"/>
    <s v="990328"/>
    <s v="Upi"/>
    <x v="136"/>
    <x v="136"/>
    <x v="9"/>
    <n v="1"/>
    <n v="1.17"/>
    <n v="0"/>
    <n v="1.17"/>
    <n v="0.06"/>
    <n v="0"/>
    <n v="0"/>
    <n v="1.23"/>
    <n v="35"/>
    <x v="1"/>
  </r>
  <r>
    <s v="O0140"/>
    <s v="05-01-2025"/>
    <x v="137"/>
    <s v="Bulk"/>
    <x v="2"/>
    <x v="1"/>
    <s v="553449"/>
    <s v="Upi"/>
    <x v="137"/>
    <x v="137"/>
    <x v="7"/>
    <n v="5"/>
    <n v="254.77"/>
    <n v="12.74"/>
    <n v="1261.1099999999999"/>
    <n v="63.06"/>
    <n v="20"/>
    <n v="20"/>
    <n v="1364.17"/>
    <n v="41"/>
    <x v="5"/>
  </r>
  <r>
    <s v="O0141"/>
    <s v="11-02-2025"/>
    <x v="138"/>
    <s v="New"/>
    <x v="4"/>
    <x v="0"/>
    <s v="325049"/>
    <s v="Upi"/>
    <x v="138"/>
    <x v="138"/>
    <x v="3"/>
    <n v="5"/>
    <n v="120.17"/>
    <n v="6.01"/>
    <n v="594.84"/>
    <n v="29.74"/>
    <n v="10"/>
    <n v="15"/>
    <n v="649.58000000000004"/>
    <n v="41"/>
    <x v="3"/>
  </r>
  <r>
    <s v="O0142"/>
    <s v="08-02-2025"/>
    <x v="139"/>
    <s v="Bulk"/>
    <x v="1"/>
    <x v="0"/>
    <s v="312781"/>
    <s v="Netbanking"/>
    <x v="139"/>
    <x v="139"/>
    <x v="2"/>
    <n v="1"/>
    <n v="130.26"/>
    <n v="6.51"/>
    <n v="123.75"/>
    <n v="6.19"/>
    <n v="10"/>
    <n v="0"/>
    <n v="139.94"/>
    <n v="38"/>
    <x v="0"/>
  </r>
  <r>
    <s v="O0143"/>
    <s v="27-02-2025"/>
    <x v="140"/>
    <s v="Bulk"/>
    <x v="1"/>
    <x v="1"/>
    <s v="923346"/>
    <s v="Wallet"/>
    <x v="140"/>
    <x v="140"/>
    <x v="0"/>
    <n v="4"/>
    <n v="104.84"/>
    <n v="5.24"/>
    <n v="414.12"/>
    <n v="20.71"/>
    <n v="20"/>
    <n v="10"/>
    <n v="464.83"/>
    <n v="28"/>
    <x v="4"/>
  </r>
  <r>
    <s v="O0144"/>
    <s v="10-02-2025"/>
    <x v="141"/>
    <s v="Bulk"/>
    <x v="3"/>
    <x v="1"/>
    <s v="848013"/>
    <s v="Upi"/>
    <x v="141"/>
    <x v="141"/>
    <x v="1"/>
    <n v="1"/>
    <n v="103.16"/>
    <n v="10.32"/>
    <n v="92.84"/>
    <n v="4.6399999999999997"/>
    <n v="0"/>
    <n v="0"/>
    <n v="97.48"/>
    <n v="29"/>
    <x v="6"/>
  </r>
  <r>
    <s v="O0145"/>
    <s v="28-01-2025"/>
    <x v="142"/>
    <s v="Bulk"/>
    <x v="3"/>
    <x v="1"/>
    <s v="621863"/>
    <s v="Netbanking"/>
    <x v="142"/>
    <x v="142"/>
    <x v="9"/>
    <n v="7"/>
    <n v="178.25"/>
    <n v="17.82"/>
    <n v="1229.93"/>
    <n v="61.5"/>
    <n v="10"/>
    <n v="5"/>
    <n v="1306.43"/>
    <n v="18"/>
    <x v="3"/>
  </r>
  <r>
    <s v="O0146"/>
    <s v="07-01-2025"/>
    <x v="143"/>
    <s v="Bulk"/>
    <x v="2"/>
    <x v="1"/>
    <s v="855801"/>
    <s v="Wallet"/>
    <x v="143"/>
    <x v="143"/>
    <x v="2"/>
    <n v="4"/>
    <n v="25.77"/>
    <n v="2.58"/>
    <n v="100.5"/>
    <n v="5.03"/>
    <n v="20"/>
    <n v="10"/>
    <n v="135.53"/>
    <n v="28"/>
    <x v="3"/>
  </r>
  <r>
    <s v="O0147"/>
    <s v="09-01-2025"/>
    <x v="144"/>
    <s v="New"/>
    <x v="4"/>
    <x v="1"/>
    <s v="275211"/>
    <s v="Gpay"/>
    <x v="144"/>
    <x v="144"/>
    <x v="5"/>
    <n v="2"/>
    <n v="111.94"/>
    <n v="16.79"/>
    <n v="207.09"/>
    <n v="10.35"/>
    <n v="30"/>
    <n v="20"/>
    <n v="267.44"/>
    <n v="23"/>
    <x v="4"/>
  </r>
  <r>
    <s v="O0148"/>
    <s v="08-01-2025"/>
    <x v="145"/>
    <s v="Bulk"/>
    <x v="1"/>
    <x v="0"/>
    <s v="829532"/>
    <s v="Netbanking"/>
    <x v="145"/>
    <x v="145"/>
    <x v="8"/>
    <n v="3"/>
    <n v="39.96"/>
    <n v="0"/>
    <n v="119.88"/>
    <n v="5.99"/>
    <n v="30"/>
    <n v="20"/>
    <n v="175.87"/>
    <n v="34"/>
    <x v="2"/>
  </r>
  <r>
    <s v="O0149"/>
    <s v="12-01-2025"/>
    <x v="146"/>
    <s v="Bulk"/>
    <x v="1"/>
    <x v="0"/>
    <s v="957463"/>
    <s v="Card"/>
    <x v="146"/>
    <x v="146"/>
    <x v="1"/>
    <n v="1"/>
    <n v="203.84"/>
    <n v="20.38"/>
    <n v="183.46"/>
    <n v="9.17"/>
    <n v="20"/>
    <n v="10"/>
    <n v="222.63"/>
    <n v="24"/>
    <x v="5"/>
  </r>
  <r>
    <s v="O0150"/>
    <s v="03-02-2025"/>
    <x v="147"/>
    <s v="Bulk"/>
    <x v="5"/>
    <x v="1"/>
    <s v="844149"/>
    <s v="Phonepe"/>
    <x v="147"/>
    <x v="147"/>
    <x v="9"/>
    <n v="1"/>
    <n v="124.11"/>
    <n v="12.41"/>
    <n v="111.7"/>
    <n v="5.59"/>
    <n v="30"/>
    <n v="20"/>
    <n v="167.29"/>
    <n v="37"/>
    <x v="6"/>
  </r>
  <r>
    <s v="O0151"/>
    <s v="02-02-2025"/>
    <x v="148"/>
    <s v="Bulk"/>
    <x v="3"/>
    <x v="0"/>
    <s v="706217"/>
    <s v="Upi"/>
    <x v="148"/>
    <x v="148"/>
    <x v="5"/>
    <n v="3"/>
    <n v="199.52"/>
    <n v="0"/>
    <n v="598.56000000000006"/>
    <n v="29.93"/>
    <n v="10"/>
    <n v="15"/>
    <n v="653.49"/>
    <n v="29"/>
    <x v="5"/>
  </r>
  <r>
    <s v="O0152"/>
    <s v="17-02-2025"/>
    <x v="149"/>
    <s v="New"/>
    <x v="4"/>
    <x v="2"/>
    <s v="332601"/>
    <s v="Gpay"/>
    <x v="149"/>
    <x v="149"/>
    <x v="7"/>
    <n v="2"/>
    <n v="55.11"/>
    <n v="8.27"/>
    <n v="101.95"/>
    <n v="5.0999999999999996"/>
    <n v="10"/>
    <n v="0"/>
    <n v="117.05"/>
    <n v="22"/>
    <x v="6"/>
  </r>
  <r>
    <s v="O0153"/>
    <s v="24-02-2025"/>
    <x v="150"/>
    <s v="Bulk"/>
    <x v="0"/>
    <x v="1"/>
    <s v="549042"/>
    <s v="Gpay"/>
    <x v="150"/>
    <x v="150"/>
    <x v="8"/>
    <n v="4"/>
    <n v="68.56"/>
    <n v="0"/>
    <n v="274.24"/>
    <n v="13.71"/>
    <n v="30"/>
    <n v="5"/>
    <n v="322.95"/>
    <n v="14"/>
    <x v="6"/>
  </r>
  <r>
    <s v="O0154"/>
    <s v="23-01-2025"/>
    <x v="151"/>
    <s v="Returning"/>
    <x v="4"/>
    <x v="0"/>
    <s v="561792"/>
    <s v="Upi"/>
    <x v="151"/>
    <x v="151"/>
    <x v="7"/>
    <n v="3"/>
    <n v="173.54"/>
    <n v="26.03"/>
    <n v="494.59"/>
    <n v="24.73"/>
    <n v="10"/>
    <n v="15"/>
    <n v="544.32000000000005"/>
    <n v="27"/>
    <x v="4"/>
  </r>
  <r>
    <s v="O0155"/>
    <s v="24-01-2025"/>
    <x v="152"/>
    <s v="Bulk"/>
    <x v="0"/>
    <x v="2"/>
    <s v="346242"/>
    <s v="Wallet"/>
    <x v="152"/>
    <x v="152"/>
    <x v="1"/>
    <n v="1"/>
    <n v="51.47"/>
    <n v="2.57"/>
    <n v="48.9"/>
    <n v="2.4500000000000002"/>
    <n v="0"/>
    <n v="0"/>
    <n v="51.35"/>
    <n v="22"/>
    <x v="1"/>
  </r>
  <r>
    <s v="O0156"/>
    <s v="06-02-2025"/>
    <x v="153"/>
    <s v="Bulk"/>
    <x v="5"/>
    <x v="0"/>
    <s v="385855"/>
    <s v="Card"/>
    <x v="153"/>
    <x v="153"/>
    <x v="1"/>
    <n v="2"/>
    <n v="185.6"/>
    <n v="9.2799999999999994"/>
    <n v="361.92"/>
    <n v="18.100000000000001"/>
    <n v="30"/>
    <n v="20"/>
    <n v="430.02"/>
    <n v="37"/>
    <x v="4"/>
  </r>
  <r>
    <s v="O0157"/>
    <s v="04-02-2025"/>
    <x v="154"/>
    <s v="Bulk"/>
    <x v="1"/>
    <x v="0"/>
    <s v="551000"/>
    <s v="Gpay"/>
    <x v="154"/>
    <x v="154"/>
    <x v="7"/>
    <n v="6"/>
    <n v="40.409999999999997"/>
    <n v="0"/>
    <n v="242.46"/>
    <n v="12.12"/>
    <n v="30"/>
    <n v="10"/>
    <n v="294.58"/>
    <n v="32"/>
    <x v="3"/>
  </r>
  <r>
    <s v="O0158"/>
    <s v="13-02-2025"/>
    <x v="155"/>
    <s v="Bulk"/>
    <x v="2"/>
    <x v="1"/>
    <s v="486601"/>
    <s v="Upi"/>
    <x v="155"/>
    <x v="155"/>
    <x v="9"/>
    <n v="3"/>
    <n v="119.87"/>
    <n v="0"/>
    <n v="359.61"/>
    <n v="17.98"/>
    <n v="0"/>
    <n v="10"/>
    <n v="387.59"/>
    <n v="41"/>
    <x v="4"/>
  </r>
  <r>
    <s v="O0159"/>
    <s v="09-02-2025"/>
    <x v="156"/>
    <s v="Bulk"/>
    <x v="3"/>
    <x v="0"/>
    <s v="942186"/>
    <s v="Upi"/>
    <x v="156"/>
    <x v="156"/>
    <x v="2"/>
    <n v="4"/>
    <n v="220.66"/>
    <n v="33.1"/>
    <n v="849.54"/>
    <n v="42.48"/>
    <n v="20"/>
    <n v="15"/>
    <n v="927.02"/>
    <n v="19"/>
    <x v="5"/>
  </r>
  <r>
    <s v="O0160"/>
    <s v="22-01-2025"/>
    <x v="157"/>
    <s v="Bulk"/>
    <x v="0"/>
    <x v="0"/>
    <m/>
    <s v="Netbanking"/>
    <x v="157"/>
    <x v="157"/>
    <x v="5"/>
    <n v="3"/>
    <n v="87.95"/>
    <n v="8.7899999999999991"/>
    <n v="255.06"/>
    <n v="12.75"/>
    <n v="30"/>
    <n v="5"/>
    <n v="302.81000000000012"/>
    <n v="26"/>
    <x v="2"/>
  </r>
  <r>
    <s v="O0161"/>
    <s v="27-01-2025"/>
    <x v="158"/>
    <s v="Bulk"/>
    <x v="0"/>
    <x v="0"/>
    <m/>
    <s v="Cod"/>
    <x v="158"/>
    <x v="158"/>
    <x v="1"/>
    <n v="3"/>
    <n v="168.57"/>
    <n v="16.86"/>
    <n v="488.85"/>
    <n v="24.44"/>
    <n v="10"/>
    <n v="20"/>
    <n v="543.29"/>
    <n v="11"/>
    <x v="6"/>
  </r>
  <r>
    <s v="O0162"/>
    <s v="04-02-2025"/>
    <x v="159"/>
    <s v="Returning"/>
    <x v="4"/>
    <x v="2"/>
    <s v="216492"/>
    <s v="Upi"/>
    <x v="159"/>
    <x v="159"/>
    <x v="5"/>
    <n v="1"/>
    <n v="59.11"/>
    <n v="5.91"/>
    <n v="53.2"/>
    <n v="2.66"/>
    <n v="20"/>
    <n v="10"/>
    <n v="85.86"/>
    <n v="36"/>
    <x v="3"/>
  </r>
  <r>
    <s v="O0163"/>
    <s v="01-01-2025"/>
    <x v="160"/>
    <s v="Bulk"/>
    <x v="3"/>
    <x v="1"/>
    <s v="561227"/>
    <s v="Upi"/>
    <x v="160"/>
    <x v="160"/>
    <x v="7"/>
    <n v="1"/>
    <n v="74.459999999999994"/>
    <n v="7.45"/>
    <n v="67.009999999999991"/>
    <n v="3.35"/>
    <n v="0"/>
    <n v="15"/>
    <n v="85.359999999999985"/>
    <n v="25"/>
    <x v="2"/>
  </r>
  <r>
    <s v="O0164"/>
    <s v="04-02-2025"/>
    <x v="161"/>
    <s v="New"/>
    <x v="4"/>
    <x v="0"/>
    <s v="599499"/>
    <s v="Cod"/>
    <x v="161"/>
    <x v="161"/>
    <x v="9"/>
    <n v="3"/>
    <n v="26.65"/>
    <n v="4"/>
    <n v="75.949999999999989"/>
    <n v="3.8"/>
    <n v="10"/>
    <n v="10"/>
    <n v="99.749999999999986"/>
    <n v="41"/>
    <x v="3"/>
  </r>
  <r>
    <s v="O0165"/>
    <s v="06-02-2025"/>
    <x v="162"/>
    <s v="New"/>
    <x v="4"/>
    <x v="2"/>
    <s v="498465"/>
    <s v="Upi"/>
    <x v="162"/>
    <x v="162"/>
    <x v="9"/>
    <n v="4"/>
    <n v="49.64"/>
    <n v="2.48"/>
    <n v="196.08"/>
    <n v="9.8000000000000007"/>
    <n v="20"/>
    <n v="0"/>
    <n v="225.88"/>
    <n v="12"/>
    <x v="4"/>
  </r>
  <r>
    <s v="O0166"/>
    <s v="16-02-2025"/>
    <x v="163"/>
    <s v="Bulk"/>
    <x v="5"/>
    <x v="1"/>
    <s v="415507"/>
    <s v="Phonepe"/>
    <x v="163"/>
    <x v="163"/>
    <x v="0"/>
    <n v="6"/>
    <n v="145.13999999999999"/>
    <n v="7.26"/>
    <n v="863.57999999999993"/>
    <n v="43.18"/>
    <n v="10"/>
    <n v="20"/>
    <n v="936.75999999999988"/>
    <n v="24.67"/>
    <x v="5"/>
  </r>
  <r>
    <s v="O0167"/>
    <s v="14-01-2025"/>
    <x v="164"/>
    <s v="New"/>
    <x v="4"/>
    <x v="0"/>
    <s v="142828"/>
    <s v="Gpay"/>
    <x v="164"/>
    <x v="164"/>
    <x v="3"/>
    <n v="3"/>
    <n v="79.150000000000006"/>
    <n v="7.92"/>
    <n v="229.53"/>
    <n v="11.48"/>
    <n v="30"/>
    <n v="5"/>
    <n v="276.01"/>
    <n v="24.67"/>
    <x v="3"/>
  </r>
  <r>
    <s v="O0168"/>
    <s v="03-01-2025"/>
    <x v="165"/>
    <s v="Bulk"/>
    <x v="2"/>
    <x v="2"/>
    <s v="886639"/>
    <s v="Card"/>
    <x v="165"/>
    <x v="165"/>
    <x v="9"/>
    <n v="5"/>
    <n v="161.66"/>
    <n v="8.08"/>
    <n v="800.21999999999991"/>
    <n v="40.01"/>
    <n v="30"/>
    <n v="10"/>
    <n v="880.2299999999999"/>
    <n v="24.67"/>
    <x v="1"/>
  </r>
  <r>
    <s v="O0169"/>
    <s v="01-01-2025"/>
    <x v="166"/>
    <s v="Bulk"/>
    <x v="0"/>
    <x v="1"/>
    <s v="601643"/>
    <s v="Upi"/>
    <x v="166"/>
    <x v="166"/>
    <x v="7"/>
    <n v="1"/>
    <n v="10.69"/>
    <n v="1.07"/>
    <n v="9.6199999999999992"/>
    <n v="0.48"/>
    <n v="20"/>
    <n v="10"/>
    <n v="40.1"/>
    <n v="17"/>
    <x v="2"/>
  </r>
  <r>
    <s v="O0170"/>
    <s v="05-01-2025"/>
    <x v="167"/>
    <s v="Bulk"/>
    <x v="0"/>
    <x v="0"/>
    <s v="198540"/>
    <s v="Phonepe"/>
    <x v="167"/>
    <x v="167"/>
    <x v="6"/>
    <n v="5"/>
    <n v="118.8"/>
    <n v="11.88"/>
    <n v="582.12"/>
    <n v="29.11"/>
    <n v="0"/>
    <n v="20"/>
    <n v="631.23"/>
    <n v="28"/>
    <x v="5"/>
  </r>
  <r>
    <s v="O0171"/>
    <s v="26-01-2025"/>
    <x v="168"/>
    <s v="Bulk"/>
    <x v="2"/>
    <x v="2"/>
    <s v="156273"/>
    <s v="Upi"/>
    <x v="168"/>
    <x v="168"/>
    <x v="0"/>
    <n v="1"/>
    <n v="167.36"/>
    <n v="25.1"/>
    <n v="142.26"/>
    <n v="7.11"/>
    <n v="0"/>
    <n v="10"/>
    <n v="159.37"/>
    <n v="48"/>
    <x v="5"/>
  </r>
  <r>
    <s v="O0172"/>
    <s v="24-02-2025"/>
    <x v="169"/>
    <s v="Bulk"/>
    <x v="5"/>
    <x v="2"/>
    <s v="110699"/>
    <s v="Wallet"/>
    <x v="169"/>
    <x v="169"/>
    <x v="5"/>
    <n v="3"/>
    <n v="145.51"/>
    <n v="0"/>
    <n v="436.53"/>
    <n v="21.83"/>
    <n v="20"/>
    <n v="10"/>
    <n v="488.36"/>
    <n v="28"/>
    <x v="6"/>
  </r>
  <r>
    <s v="O0173"/>
    <s v="14-01-2025"/>
    <x v="170"/>
    <s v="Bulk"/>
    <x v="0"/>
    <x v="1"/>
    <s v="622988"/>
    <s v="Upi"/>
    <x v="170"/>
    <x v="170"/>
    <x v="9"/>
    <n v="4"/>
    <n v="177.4"/>
    <n v="26.61"/>
    <n v="682.99"/>
    <n v="34.15"/>
    <n v="10"/>
    <n v="5"/>
    <n v="732.14"/>
    <n v="22"/>
    <x v="3"/>
  </r>
  <r>
    <s v="O0174"/>
    <s v="08-02-2025"/>
    <x v="171"/>
    <s v="Bulk"/>
    <x v="2"/>
    <x v="1"/>
    <s v="492136"/>
    <s v="Wallet"/>
    <x v="171"/>
    <x v="171"/>
    <x v="9"/>
    <n v="2"/>
    <n v="77.739999999999995"/>
    <n v="0"/>
    <n v="155.47999999999999"/>
    <n v="7.77"/>
    <n v="30"/>
    <n v="10"/>
    <n v="203.25"/>
    <n v="22"/>
    <x v="0"/>
  </r>
  <r>
    <s v="O0175"/>
    <s v="27-01-2025"/>
    <x v="172"/>
    <s v="Bulk"/>
    <x v="5"/>
    <x v="0"/>
    <s v="333782"/>
    <s v="Upi"/>
    <x v="172"/>
    <x v="172"/>
    <x v="9"/>
    <n v="5"/>
    <n v="122.35"/>
    <n v="0"/>
    <n v="611.75"/>
    <n v="30.59"/>
    <n v="0"/>
    <n v="10"/>
    <n v="652.34"/>
    <n v="46"/>
    <x v="6"/>
  </r>
  <r>
    <s v="O0176"/>
    <s v="09-01-2025"/>
    <x v="173"/>
    <s v="Bulk"/>
    <x v="3"/>
    <x v="0"/>
    <s v="826331"/>
    <s v="Cod"/>
    <x v="173"/>
    <x v="173"/>
    <x v="3"/>
    <n v="1"/>
    <n v="146.94"/>
    <n v="7.35"/>
    <n v="139.59"/>
    <n v="6.98"/>
    <n v="20"/>
    <n v="5"/>
    <n v="171.57"/>
    <n v="19"/>
    <x v="4"/>
  </r>
  <r>
    <s v="O0177"/>
    <s v="15-01-2025"/>
    <x v="174"/>
    <s v="Bulk"/>
    <x v="2"/>
    <x v="1"/>
    <s v="187468"/>
    <s v="Upi"/>
    <x v="174"/>
    <x v="174"/>
    <x v="9"/>
    <n v="2"/>
    <n v="147.84"/>
    <n v="7.39"/>
    <n v="288.29000000000002"/>
    <n v="14.41"/>
    <n v="10"/>
    <n v="15"/>
    <n v="327.7"/>
    <n v="33"/>
    <x v="2"/>
  </r>
  <r>
    <s v="O0178"/>
    <s v="15-01-2025"/>
    <x v="175"/>
    <s v="Returning"/>
    <x v="4"/>
    <x v="1"/>
    <s v="173861"/>
    <s v="Gpay"/>
    <x v="175"/>
    <x v="175"/>
    <x v="3"/>
    <n v="1"/>
    <n v="175.14"/>
    <n v="26.27"/>
    <n v="148.87"/>
    <n v="7.44"/>
    <n v="20"/>
    <n v="0"/>
    <n v="176.31"/>
    <n v="22"/>
    <x v="2"/>
  </r>
  <r>
    <s v="O0179"/>
    <s v="26-01-2025"/>
    <x v="176"/>
    <s v="Bulk"/>
    <x v="3"/>
    <x v="1"/>
    <s v="893153"/>
    <s v="Upi"/>
    <x v="176"/>
    <x v="176"/>
    <x v="9"/>
    <n v="2"/>
    <n v="92.99"/>
    <n v="9.3000000000000007"/>
    <n v="176.68"/>
    <n v="8.83"/>
    <n v="0"/>
    <n v="20"/>
    <n v="205.51"/>
    <n v="23"/>
    <x v="5"/>
  </r>
  <r>
    <s v="O0180"/>
    <s v="11-02-2025"/>
    <x v="177"/>
    <s v="Bulk"/>
    <x v="0"/>
    <x v="1"/>
    <s v="204211"/>
    <s v="Netbanking"/>
    <x v="177"/>
    <x v="177"/>
    <x v="4"/>
    <n v="1"/>
    <n v="93.95"/>
    <n v="4.7"/>
    <n v="89.25"/>
    <n v="4.46"/>
    <n v="20"/>
    <n v="10"/>
    <n v="123.71"/>
    <n v="19"/>
    <x v="3"/>
  </r>
  <r>
    <s v="O0181"/>
    <s v="01-03-2025"/>
    <x v="178"/>
    <s v="Bulk"/>
    <x v="3"/>
    <x v="2"/>
    <s v="829182"/>
    <s v="Netbanking"/>
    <x v="178"/>
    <x v="178"/>
    <x v="6"/>
    <n v="4"/>
    <n v="127.21"/>
    <n v="0"/>
    <n v="508.84"/>
    <n v="25.44"/>
    <n v="20"/>
    <n v="20"/>
    <n v="574.28"/>
    <n v="5"/>
    <x v="0"/>
  </r>
  <r>
    <s v="O0182"/>
    <s v="13-01-2025"/>
    <x v="179"/>
    <s v="Bulk"/>
    <x v="3"/>
    <x v="0"/>
    <s v="245788"/>
    <s v="Netbanking"/>
    <x v="179"/>
    <x v="179"/>
    <x v="0"/>
    <n v="2"/>
    <n v="267.89"/>
    <n v="40.18"/>
    <n v="495.6"/>
    <n v="24.78"/>
    <n v="30"/>
    <n v="0"/>
    <n v="550.38"/>
    <n v="21"/>
    <x v="6"/>
  </r>
  <r>
    <s v="O0183"/>
    <s v="20-02-2025"/>
    <x v="180"/>
    <s v="Bulk"/>
    <x v="0"/>
    <x v="2"/>
    <s v="987700"/>
    <s v="Gpay"/>
    <x v="180"/>
    <x v="180"/>
    <x v="7"/>
    <n v="3"/>
    <n v="113.06"/>
    <n v="5.65"/>
    <n v="333.53"/>
    <n v="16.68"/>
    <n v="20"/>
    <n v="20"/>
    <n v="390.21"/>
    <n v="17"/>
    <x v="4"/>
  </r>
  <r>
    <s v="O0184"/>
    <s v="01-02-2025"/>
    <x v="181"/>
    <s v="Bulk"/>
    <x v="2"/>
    <x v="2"/>
    <s v="997151"/>
    <s v="Upi"/>
    <x v="181"/>
    <x v="181"/>
    <x v="6"/>
    <n v="3"/>
    <n v="123.4"/>
    <n v="18.510000000000002"/>
    <n v="351.69000000000011"/>
    <n v="17.579999999999998"/>
    <n v="0"/>
    <n v="10"/>
    <n v="379.27"/>
    <n v="30"/>
    <x v="0"/>
  </r>
  <r>
    <s v="O0185"/>
    <s v="08-02-2025"/>
    <x v="182"/>
    <s v="Bulk"/>
    <x v="3"/>
    <x v="2"/>
    <s v="659550"/>
    <s v="Card"/>
    <x v="182"/>
    <x v="182"/>
    <x v="6"/>
    <n v="1"/>
    <n v="81.209999999999994"/>
    <n v="0"/>
    <n v="81.209999999999994"/>
    <n v="4.0599999999999996"/>
    <n v="0"/>
    <n v="0"/>
    <n v="85.27"/>
    <n v="21"/>
    <x v="0"/>
  </r>
  <r>
    <s v="O0186"/>
    <s v="18-02-2025"/>
    <x v="183"/>
    <s v="Returning"/>
    <x v="4"/>
    <x v="2"/>
    <s v="160545"/>
    <s v="Netbanking"/>
    <x v="183"/>
    <x v="183"/>
    <x v="8"/>
    <n v="4"/>
    <n v="47.42"/>
    <n v="4.74"/>
    <n v="184.94"/>
    <n v="9.25"/>
    <n v="10"/>
    <n v="5"/>
    <n v="209.19"/>
    <n v="30"/>
    <x v="3"/>
  </r>
  <r>
    <s v="O0187"/>
    <s v="21-02-2025"/>
    <x v="184"/>
    <s v="Bulk"/>
    <x v="3"/>
    <x v="1"/>
    <s v="350497"/>
    <s v="Card"/>
    <x v="184"/>
    <x v="184"/>
    <x v="7"/>
    <n v="1"/>
    <n v="145.03"/>
    <n v="0"/>
    <n v="145.03"/>
    <n v="7.25"/>
    <n v="20"/>
    <n v="15"/>
    <n v="187.28"/>
    <n v="22"/>
    <x v="1"/>
  </r>
  <r>
    <s v="O0188"/>
    <s v="01-02-2025"/>
    <x v="185"/>
    <s v="Bulk"/>
    <x v="0"/>
    <x v="1"/>
    <s v="256104"/>
    <s v="Cod"/>
    <x v="185"/>
    <x v="185"/>
    <x v="9"/>
    <n v="5"/>
    <n v="218.37"/>
    <n v="32.76"/>
    <n v="1059.0899999999999"/>
    <n v="52.95"/>
    <n v="10"/>
    <n v="5"/>
    <n v="1127.04"/>
    <n v="24"/>
    <x v="0"/>
  </r>
  <r>
    <s v="O0189"/>
    <s v="04-01-2025"/>
    <x v="186"/>
    <s v="Bulk"/>
    <x v="3"/>
    <x v="1"/>
    <s v="237478"/>
    <s v="Cod"/>
    <x v="186"/>
    <x v="186"/>
    <x v="3"/>
    <n v="1"/>
    <n v="104.38"/>
    <n v="10.44"/>
    <n v="93.94"/>
    <n v="4.7"/>
    <n v="30"/>
    <n v="5"/>
    <n v="133.63999999999999"/>
    <n v="21"/>
    <x v="0"/>
  </r>
  <r>
    <s v="O0190"/>
    <s v="30-01-2025"/>
    <x v="187"/>
    <s v="Bulk"/>
    <x v="3"/>
    <x v="1"/>
    <s v="671139"/>
    <s v="Cod"/>
    <x v="187"/>
    <x v="187"/>
    <x v="9"/>
    <n v="1"/>
    <n v="96.71"/>
    <n v="14.51"/>
    <n v="82.199999999999989"/>
    <n v="4.1100000000000003"/>
    <n v="20"/>
    <n v="0"/>
    <n v="106.31"/>
    <n v="26"/>
    <x v="4"/>
  </r>
  <r>
    <s v="O0191"/>
    <s v="06-02-2025"/>
    <x v="188"/>
    <s v="Bulk"/>
    <x v="3"/>
    <x v="1"/>
    <s v="985155"/>
    <s v="Upi"/>
    <x v="188"/>
    <x v="188"/>
    <x v="9"/>
    <n v="1"/>
    <n v="174.75"/>
    <n v="8.74"/>
    <n v="166.01"/>
    <n v="8.3000000000000007"/>
    <n v="30"/>
    <n v="15"/>
    <n v="219.31"/>
    <n v="24.67"/>
    <x v="4"/>
  </r>
  <r>
    <s v="O0192"/>
    <s v="23-01-2025"/>
    <x v="189"/>
    <s v="Returning"/>
    <x v="4"/>
    <x v="1"/>
    <s v="199071"/>
    <s v="Card"/>
    <x v="189"/>
    <x v="189"/>
    <x v="4"/>
    <n v="1"/>
    <n v="176.06"/>
    <n v="0"/>
    <n v="176.06"/>
    <n v="8.8000000000000007"/>
    <n v="20"/>
    <n v="10"/>
    <n v="214.86"/>
    <n v="20"/>
    <x v="4"/>
  </r>
  <r>
    <s v="O0193"/>
    <s v="08-02-2025"/>
    <x v="190"/>
    <s v="Bulk"/>
    <x v="0"/>
    <x v="2"/>
    <s v="914037"/>
    <s v="Gpay"/>
    <x v="190"/>
    <x v="190"/>
    <x v="0"/>
    <n v="5"/>
    <n v="89.57"/>
    <n v="0"/>
    <n v="447.85"/>
    <n v="22.39"/>
    <n v="10"/>
    <n v="20"/>
    <n v="500.24"/>
    <n v="24.67"/>
    <x v="0"/>
  </r>
  <r>
    <s v="O0194"/>
    <s v="14-02-2025"/>
    <x v="191"/>
    <s v="Bulk"/>
    <x v="1"/>
    <x v="1"/>
    <s v="955684"/>
    <s v="Card"/>
    <x v="191"/>
    <x v="191"/>
    <x v="7"/>
    <n v="1"/>
    <n v="152.49"/>
    <n v="7.62"/>
    <n v="144.87"/>
    <n v="7.24"/>
    <n v="20"/>
    <n v="5"/>
    <n v="177.11"/>
    <n v="32"/>
    <x v="1"/>
  </r>
  <r>
    <s v="O0195"/>
    <s v="15-01-2025"/>
    <x v="192"/>
    <s v="Bulk"/>
    <x v="2"/>
    <x v="1"/>
    <s v="602420"/>
    <s v="Card"/>
    <x v="192"/>
    <x v="192"/>
    <x v="4"/>
    <n v="2"/>
    <n v="109.54"/>
    <n v="5.48"/>
    <n v="213.6"/>
    <n v="10.68"/>
    <n v="10"/>
    <n v="20"/>
    <n v="254.28"/>
    <n v="38"/>
    <x v="2"/>
  </r>
  <r>
    <s v="O0196"/>
    <s v="12-02-2025"/>
    <x v="193"/>
    <s v="Bulk"/>
    <x v="3"/>
    <x v="2"/>
    <s v="322084"/>
    <s v="Cod"/>
    <x v="193"/>
    <x v="193"/>
    <x v="7"/>
    <n v="2"/>
    <n v="87.23"/>
    <n v="8.7200000000000006"/>
    <n v="165.74"/>
    <n v="8.2899999999999991"/>
    <n v="10"/>
    <n v="20"/>
    <n v="204.03"/>
    <n v="28"/>
    <x v="2"/>
  </r>
  <r>
    <s v="O0197"/>
    <s v="29-01-2025"/>
    <x v="194"/>
    <s v="Bulk"/>
    <x v="1"/>
    <x v="2"/>
    <s v="744863"/>
    <s v="Upi"/>
    <x v="194"/>
    <x v="194"/>
    <x v="5"/>
    <n v="1"/>
    <n v="118.14"/>
    <n v="0"/>
    <n v="118.14"/>
    <n v="5.91"/>
    <n v="30"/>
    <n v="20"/>
    <n v="174.05"/>
    <n v="24"/>
    <x v="2"/>
  </r>
  <r>
    <s v="O0198"/>
    <s v="05-02-2025"/>
    <x v="195"/>
    <s v="Bulk"/>
    <x v="1"/>
    <x v="0"/>
    <s v="780481"/>
    <s v="Upi"/>
    <x v="195"/>
    <x v="195"/>
    <x v="7"/>
    <n v="7"/>
    <n v="118.36"/>
    <n v="5.92"/>
    <n v="822.6"/>
    <n v="41.13"/>
    <n v="10"/>
    <n v="10"/>
    <n v="883.73"/>
    <n v="15"/>
    <x v="2"/>
  </r>
  <r>
    <s v="O0199"/>
    <s v="13-01-2025"/>
    <x v="196"/>
    <s v="Bulk"/>
    <x v="2"/>
    <x v="2"/>
    <s v="917052"/>
    <s v="Cod"/>
    <x v="196"/>
    <x v="196"/>
    <x v="5"/>
    <n v="5"/>
    <n v="68.23"/>
    <n v="10.23"/>
    <n v="330.92"/>
    <n v="16.55"/>
    <n v="0"/>
    <n v="15"/>
    <n v="362.47"/>
    <n v="29"/>
    <x v="6"/>
  </r>
  <r>
    <s v="O0200"/>
    <s v="01-02-2025"/>
    <x v="197"/>
    <s v="Bulk"/>
    <x v="3"/>
    <x v="1"/>
    <s v="479504"/>
    <s v="Upi"/>
    <x v="197"/>
    <x v="197"/>
    <x v="6"/>
    <n v="5"/>
    <n v="208.27"/>
    <n v="10.41"/>
    <n v="1030.94"/>
    <n v="51.55"/>
    <n v="30"/>
    <n v="20"/>
    <n v="1132.49"/>
    <n v="22"/>
    <x v="0"/>
  </r>
  <r>
    <s v="O0201"/>
    <s v="07-01-2025"/>
    <x v="198"/>
    <s v="New"/>
    <x v="4"/>
    <x v="0"/>
    <s v="714641"/>
    <s v="Phonepe"/>
    <x v="0"/>
    <x v="0"/>
    <x v="2"/>
    <n v="5"/>
    <n v="52.75"/>
    <n v="2.64"/>
    <n v="261.11"/>
    <n v="13.06"/>
    <n v="0"/>
    <n v="10"/>
    <n v="284.17"/>
    <n v="23"/>
    <x v="3"/>
  </r>
  <r>
    <s v="O0202"/>
    <s v="28-02-2025"/>
    <x v="199"/>
    <s v="Bulk"/>
    <x v="2"/>
    <x v="0"/>
    <s v="608679"/>
    <s v="Gpay"/>
    <x v="1"/>
    <x v="1"/>
    <x v="5"/>
    <n v="2"/>
    <n v="249.44"/>
    <n v="12.47"/>
    <n v="486.41"/>
    <n v="24.32"/>
    <n v="20"/>
    <n v="10"/>
    <n v="540.73"/>
    <n v="18"/>
    <x v="1"/>
  </r>
  <r>
    <s v="O0203"/>
    <s v="20-02-2025"/>
    <x v="200"/>
    <s v="Returning"/>
    <x v="4"/>
    <x v="1"/>
    <s v="680780"/>
    <s v="Cod"/>
    <x v="198"/>
    <x v="198"/>
    <x v="7"/>
    <n v="3"/>
    <n v="167.97"/>
    <n v="8.4"/>
    <n v="495.51"/>
    <n v="24.78"/>
    <n v="10"/>
    <n v="20"/>
    <n v="550.29"/>
    <n v="23"/>
    <x v="4"/>
  </r>
  <r>
    <s v="O0204"/>
    <s v="22-01-2025"/>
    <x v="201"/>
    <s v="Bulk"/>
    <x v="1"/>
    <x v="0"/>
    <s v="777974"/>
    <s v="Card"/>
    <x v="199"/>
    <x v="199"/>
    <x v="7"/>
    <n v="4"/>
    <n v="147.6"/>
    <n v="14.76"/>
    <n v="575.64"/>
    <n v="28.78"/>
    <n v="0"/>
    <n v="15"/>
    <n v="619.41999999999996"/>
    <n v="18"/>
    <x v="2"/>
  </r>
  <r>
    <s v="O0205"/>
    <s v="28-01-2025"/>
    <x v="202"/>
    <s v="Bulk"/>
    <x v="1"/>
    <x v="1"/>
    <s v="652370"/>
    <s v="Gpay"/>
    <x v="2"/>
    <x v="2"/>
    <x v="3"/>
    <n v="2"/>
    <n v="125.4"/>
    <n v="18.809999999999999"/>
    <n v="231.99"/>
    <n v="11.6"/>
    <n v="30"/>
    <n v="0"/>
    <n v="273.58999999999997"/>
    <n v="32"/>
    <x v="3"/>
  </r>
  <r>
    <s v="O0206"/>
    <s v="02-01-2025"/>
    <x v="203"/>
    <s v="Bulk"/>
    <x v="5"/>
    <x v="2"/>
    <s v="301139"/>
    <s v="Card"/>
    <x v="3"/>
    <x v="3"/>
    <x v="9"/>
    <n v="5"/>
    <n v="39.17"/>
    <n v="0"/>
    <n v="195.85"/>
    <n v="9.7899999999999991"/>
    <n v="0"/>
    <n v="10"/>
    <n v="215.64"/>
    <n v="15"/>
    <x v="4"/>
  </r>
  <r>
    <s v="O0207"/>
    <s v="11-02-2025"/>
    <x v="204"/>
    <s v="Bulk"/>
    <x v="3"/>
    <x v="2"/>
    <s v="338340"/>
    <s v="Upi"/>
    <x v="4"/>
    <x v="4"/>
    <x v="5"/>
    <n v="4"/>
    <n v="189.47"/>
    <n v="0"/>
    <n v="757.88"/>
    <n v="37.89"/>
    <n v="10"/>
    <n v="15"/>
    <n v="820.77"/>
    <n v="14"/>
    <x v="3"/>
  </r>
  <r>
    <s v="O0208"/>
    <s v="14-02-2025"/>
    <x v="205"/>
    <s v="Bulk"/>
    <x v="5"/>
    <x v="1"/>
    <s v="928965"/>
    <s v="Upi"/>
    <x v="5"/>
    <x v="5"/>
    <x v="5"/>
    <n v="1"/>
    <n v="191.14"/>
    <n v="9.56"/>
    <n v="181.58"/>
    <n v="9.08"/>
    <n v="10"/>
    <n v="20"/>
    <n v="220.66"/>
    <n v="32"/>
    <x v="1"/>
  </r>
  <r>
    <s v="O0209"/>
    <s v="26-02-2025"/>
    <x v="206"/>
    <s v="Bulk"/>
    <x v="0"/>
    <x v="1"/>
    <s v="248702"/>
    <s v="Netbanking"/>
    <x v="6"/>
    <x v="6"/>
    <x v="8"/>
    <n v="3"/>
    <n v="69.12"/>
    <n v="3.46"/>
    <n v="203.9"/>
    <n v="10.199999999999999"/>
    <n v="20"/>
    <n v="5"/>
    <n v="239.1"/>
    <n v="24.67"/>
    <x v="2"/>
  </r>
  <r>
    <s v="O0210"/>
    <s v="22-02-2025"/>
    <x v="207"/>
    <s v="Bulk"/>
    <x v="1"/>
    <x v="0"/>
    <s v="308432"/>
    <s v="Wallet"/>
    <x v="7"/>
    <x v="7"/>
    <x v="2"/>
    <n v="1"/>
    <n v="162.57"/>
    <n v="24.39"/>
    <n v="138.18"/>
    <n v="6.91"/>
    <n v="0"/>
    <n v="0"/>
    <n v="145.09"/>
    <n v="12"/>
    <x v="0"/>
  </r>
  <r>
    <s v="O0211"/>
    <s v="06-01-2025"/>
    <x v="208"/>
    <s v="Bulk"/>
    <x v="1"/>
    <x v="1"/>
    <s v="552776"/>
    <s v="Cod"/>
    <x v="8"/>
    <x v="8"/>
    <x v="6"/>
    <n v="1"/>
    <n v="68.319999999999993"/>
    <n v="3.42"/>
    <n v="64.899999999999991"/>
    <n v="3.24"/>
    <n v="0"/>
    <n v="0"/>
    <n v="68.139999999999986"/>
    <n v="24.67"/>
    <x v="6"/>
  </r>
  <r>
    <s v="O0212"/>
    <s v="28-01-2025"/>
    <x v="209"/>
    <s v="Bulk"/>
    <x v="3"/>
    <x v="0"/>
    <s v="933289"/>
    <s v="Cod"/>
    <x v="9"/>
    <x v="9"/>
    <x v="7"/>
    <n v="1"/>
    <n v="118.37"/>
    <n v="17.760000000000002"/>
    <n v="100.61"/>
    <n v="5.03"/>
    <n v="20"/>
    <n v="10"/>
    <n v="135.63999999999999"/>
    <n v="24.67"/>
    <x v="3"/>
  </r>
  <r>
    <s v="O0213"/>
    <s v="28-01-2025"/>
    <x v="210"/>
    <s v="Bulk"/>
    <x v="0"/>
    <x v="2"/>
    <s v="903585"/>
    <s v="Cod"/>
    <x v="10"/>
    <x v="10"/>
    <x v="5"/>
    <n v="4"/>
    <n v="81.39"/>
    <n v="8.14"/>
    <n v="317.42"/>
    <n v="15.87"/>
    <n v="0"/>
    <n v="0"/>
    <n v="333.29"/>
    <n v="34"/>
    <x v="3"/>
  </r>
  <r>
    <s v="O0214"/>
    <s v="13-02-2025"/>
    <x v="211"/>
    <s v="Bulk"/>
    <x v="0"/>
    <x v="0"/>
    <s v="719745"/>
    <s v="Card"/>
    <x v="11"/>
    <x v="11"/>
    <x v="2"/>
    <n v="5"/>
    <n v="227.96"/>
    <n v="34.19"/>
    <n v="1105.6099999999999"/>
    <n v="55.28"/>
    <n v="0"/>
    <n v="15"/>
    <n v="1175.8900000000001"/>
    <n v="48"/>
    <x v="4"/>
  </r>
  <r>
    <s v="O0215"/>
    <s v="13-02-2025"/>
    <x v="212"/>
    <s v="Bulk"/>
    <x v="3"/>
    <x v="1"/>
    <s v="126806"/>
    <s v="Phonepe"/>
    <x v="12"/>
    <x v="12"/>
    <x v="6"/>
    <n v="3"/>
    <n v="98.1"/>
    <n v="14.71"/>
    <n v="279.58999999999997"/>
    <n v="13.98"/>
    <n v="20"/>
    <n v="15"/>
    <n v="328.57"/>
    <n v="16"/>
    <x v="4"/>
  </r>
  <r>
    <s v="O0216"/>
    <s v="20-01-2025"/>
    <x v="213"/>
    <s v="Bulk"/>
    <x v="2"/>
    <x v="2"/>
    <s v="979381"/>
    <s v="Cod"/>
    <x v="13"/>
    <x v="13"/>
    <x v="2"/>
    <n v="2"/>
    <n v="73.260000000000005"/>
    <n v="7.33"/>
    <n v="139.19"/>
    <n v="6.96"/>
    <n v="30"/>
    <n v="5"/>
    <n v="181.15"/>
    <n v="45"/>
    <x v="6"/>
  </r>
  <r>
    <s v="O0217"/>
    <s v="30-01-2025"/>
    <x v="214"/>
    <s v="New"/>
    <x v="4"/>
    <x v="1"/>
    <s v="979903"/>
    <s v="Upi"/>
    <x v="14"/>
    <x v="14"/>
    <x v="0"/>
    <n v="1"/>
    <n v="138.9"/>
    <n v="13.89"/>
    <n v="125.01"/>
    <n v="6.25"/>
    <n v="0"/>
    <n v="5"/>
    <n v="136.26"/>
    <n v="23"/>
    <x v="4"/>
  </r>
  <r>
    <s v="O0218"/>
    <s v="11-01-2025"/>
    <x v="215"/>
    <s v="Bulk"/>
    <x v="2"/>
    <x v="1"/>
    <s v="438416"/>
    <s v="Upi"/>
    <x v="15"/>
    <x v="15"/>
    <x v="6"/>
    <n v="2"/>
    <n v="119.84"/>
    <n v="11.98"/>
    <n v="227.7"/>
    <n v="11.39"/>
    <n v="10"/>
    <n v="15"/>
    <n v="264.08999999999997"/>
    <n v="28"/>
    <x v="0"/>
  </r>
  <r>
    <s v="O0219"/>
    <s v="27-02-2025"/>
    <x v="216"/>
    <s v="Bulk"/>
    <x v="5"/>
    <x v="1"/>
    <s v="783404"/>
    <s v="Upi"/>
    <x v="16"/>
    <x v="16"/>
    <x v="3"/>
    <n v="3"/>
    <n v="138.13999999999999"/>
    <n v="0"/>
    <n v="414.42"/>
    <n v="20.72"/>
    <n v="20"/>
    <n v="15"/>
    <n v="470.14"/>
    <n v="8"/>
    <x v="4"/>
  </r>
  <r>
    <s v="O0220"/>
    <s v="24-02-2025"/>
    <x v="217"/>
    <s v="Bulk"/>
    <x v="5"/>
    <x v="1"/>
    <m/>
    <s v="Wallet"/>
    <x v="17"/>
    <x v="17"/>
    <x v="7"/>
    <n v="3"/>
    <n v="215.95"/>
    <n v="21.59"/>
    <n v="626.25999999999988"/>
    <n v="31.31"/>
    <n v="20"/>
    <n v="20"/>
    <n v="697.56999999999982"/>
    <n v="14"/>
    <x v="6"/>
  </r>
  <r>
    <s v="O0221"/>
    <s v="28-01-2025"/>
    <x v="218"/>
    <s v="New"/>
    <x v="4"/>
    <x v="1"/>
    <s v="123387"/>
    <s v="Phonepe"/>
    <x v="18"/>
    <x v="18"/>
    <x v="2"/>
    <n v="4"/>
    <n v="139.58000000000001"/>
    <n v="13.96"/>
    <n v="544.36"/>
    <n v="27.22"/>
    <n v="10"/>
    <n v="20"/>
    <n v="601.58000000000004"/>
    <n v="25"/>
    <x v="3"/>
  </r>
  <r>
    <s v="O0222"/>
    <s v="25-01-2025"/>
    <x v="219"/>
    <s v="Bulk"/>
    <x v="3"/>
    <x v="2"/>
    <s v="277558"/>
    <s v="Upi"/>
    <x v="19"/>
    <x v="19"/>
    <x v="2"/>
    <n v="3"/>
    <n v="80.92"/>
    <n v="8.09"/>
    <n v="234.67"/>
    <n v="11.73"/>
    <n v="0"/>
    <n v="0"/>
    <n v="246.4"/>
    <n v="24"/>
    <x v="0"/>
  </r>
  <r>
    <s v="O0223"/>
    <s v="08-02-2025"/>
    <x v="220"/>
    <s v="Bulk"/>
    <x v="0"/>
    <x v="0"/>
    <s v="651332"/>
    <s v="Upi"/>
    <x v="20"/>
    <x v="20"/>
    <x v="2"/>
    <n v="4"/>
    <n v="149.66999999999999"/>
    <n v="0"/>
    <n v="598.67999999999995"/>
    <n v="29.93"/>
    <n v="20"/>
    <n v="15"/>
    <n v="663.6099999999999"/>
    <n v="32"/>
    <x v="0"/>
  </r>
  <r>
    <s v="O0224"/>
    <s v="02-02-2025"/>
    <x v="221"/>
    <s v="New"/>
    <x v="4"/>
    <x v="1"/>
    <s v="895928"/>
    <s v="Netbanking"/>
    <x v="21"/>
    <x v="21"/>
    <x v="9"/>
    <n v="3"/>
    <n v="276.10000000000002"/>
    <n v="41.41"/>
    <n v="786.8900000000001"/>
    <n v="39.340000000000003"/>
    <n v="30"/>
    <n v="15"/>
    <n v="871.23000000000013"/>
    <n v="26"/>
    <x v="5"/>
  </r>
  <r>
    <s v="O0225"/>
    <s v="01-01-2025"/>
    <x v="222"/>
    <s v="Bulk"/>
    <x v="3"/>
    <x v="0"/>
    <s v="877401"/>
    <s v="Wallet"/>
    <x v="22"/>
    <x v="22"/>
    <x v="2"/>
    <n v="1"/>
    <n v="82.66"/>
    <n v="12.4"/>
    <n v="70.259999999999991"/>
    <n v="3.51"/>
    <n v="10"/>
    <n v="0"/>
    <n v="83.77"/>
    <n v="29"/>
    <x v="2"/>
  </r>
  <r>
    <s v="O0226"/>
    <s v="26-02-2025"/>
    <x v="223"/>
    <s v="New"/>
    <x v="4"/>
    <x v="2"/>
    <s v="789556"/>
    <s v="Phonepe"/>
    <x v="23"/>
    <x v="23"/>
    <x v="4"/>
    <n v="2"/>
    <n v="68.97"/>
    <n v="3.45"/>
    <n v="134.49"/>
    <n v="6.72"/>
    <n v="10"/>
    <n v="20"/>
    <n v="171.21"/>
    <n v="12"/>
    <x v="2"/>
  </r>
  <r>
    <s v="O0227"/>
    <s v="27-01-2025"/>
    <x v="224"/>
    <s v="Bulk"/>
    <x v="2"/>
    <x v="0"/>
    <s v="787016"/>
    <s v="Upi"/>
    <x v="24"/>
    <x v="24"/>
    <x v="9"/>
    <n v="5"/>
    <n v="163.19"/>
    <n v="16.32"/>
    <n v="799.63"/>
    <n v="39.979999999999997"/>
    <n v="20"/>
    <n v="5"/>
    <n v="864.61"/>
    <n v="39"/>
    <x v="6"/>
  </r>
  <r>
    <s v="O0228"/>
    <s v="26-02-2025"/>
    <x v="225"/>
    <s v="Bulk"/>
    <x v="3"/>
    <x v="1"/>
    <s v="791211"/>
    <s v="Upi"/>
    <x v="25"/>
    <x v="25"/>
    <x v="6"/>
    <n v="4"/>
    <n v="12.79"/>
    <n v="1.28"/>
    <n v="49.88"/>
    <n v="2.4900000000000002"/>
    <n v="20"/>
    <n v="15"/>
    <n v="87.37"/>
    <n v="27"/>
    <x v="2"/>
  </r>
  <r>
    <s v="O0229"/>
    <s v="21-02-2025"/>
    <x v="226"/>
    <s v="Bulk"/>
    <x v="5"/>
    <x v="0"/>
    <s v="664660"/>
    <s v="Upi"/>
    <x v="26"/>
    <x v="26"/>
    <x v="1"/>
    <n v="3"/>
    <n v="72.91"/>
    <n v="0"/>
    <n v="218.73"/>
    <n v="10.94"/>
    <n v="30"/>
    <n v="0"/>
    <n v="259.67"/>
    <n v="31"/>
    <x v="1"/>
  </r>
  <r>
    <s v="O0230"/>
    <s v="13-01-2025"/>
    <x v="227"/>
    <s v="Bulk"/>
    <x v="3"/>
    <x v="1"/>
    <s v="516978"/>
    <s v="Cod"/>
    <x v="27"/>
    <x v="27"/>
    <x v="5"/>
    <n v="1"/>
    <n v="53.62"/>
    <n v="5.36"/>
    <n v="48.26"/>
    <n v="2.41"/>
    <n v="0"/>
    <n v="10"/>
    <n v="60.67"/>
    <n v="23"/>
    <x v="6"/>
  </r>
  <r>
    <s v="O0231"/>
    <s v="10-02-2025"/>
    <x v="228"/>
    <s v="Returning"/>
    <x v="4"/>
    <x v="2"/>
    <s v="821909"/>
    <s v="Phonepe"/>
    <x v="28"/>
    <x v="28"/>
    <x v="9"/>
    <n v="5"/>
    <n v="223.62"/>
    <n v="0"/>
    <n v="1118.0999999999999"/>
    <n v="55.91"/>
    <n v="20"/>
    <n v="20"/>
    <n v="1214.01"/>
    <n v="21"/>
    <x v="6"/>
  </r>
  <r>
    <s v="O0232"/>
    <s v="03-01-2025"/>
    <x v="229"/>
    <s v="Bulk"/>
    <x v="3"/>
    <x v="2"/>
    <s v="389910"/>
    <s v="Wallet"/>
    <x v="29"/>
    <x v="29"/>
    <x v="6"/>
    <n v="1"/>
    <n v="207.43"/>
    <n v="0"/>
    <n v="207.43"/>
    <n v="10.37"/>
    <n v="30"/>
    <n v="5"/>
    <n v="252.8"/>
    <n v="20"/>
    <x v="1"/>
  </r>
  <r>
    <s v="O0233"/>
    <s v="08-02-2025"/>
    <x v="230"/>
    <s v="Bulk"/>
    <x v="5"/>
    <x v="2"/>
    <s v="771447"/>
    <s v="Card"/>
    <x v="30"/>
    <x v="30"/>
    <x v="6"/>
    <n v="1"/>
    <n v="121.74"/>
    <n v="6.09"/>
    <n v="115.65"/>
    <n v="5.78"/>
    <n v="0"/>
    <n v="10"/>
    <n v="131.43"/>
    <n v="35"/>
    <x v="0"/>
  </r>
  <r>
    <s v="O0234"/>
    <s v="06-01-2025"/>
    <x v="231"/>
    <s v="Bulk"/>
    <x v="0"/>
    <x v="0"/>
    <m/>
    <s v="Cod"/>
    <x v="31"/>
    <x v="31"/>
    <x v="6"/>
    <n v="2"/>
    <n v="100.99"/>
    <n v="5.05"/>
    <n v="196.93"/>
    <n v="9.85"/>
    <n v="20"/>
    <n v="10"/>
    <n v="236.78"/>
    <n v="45"/>
    <x v="6"/>
  </r>
  <r>
    <s v="O0235"/>
    <s v="08-01-2025"/>
    <x v="232"/>
    <s v="Bulk"/>
    <x v="3"/>
    <x v="1"/>
    <s v="521947"/>
    <s v="Cod"/>
    <x v="32"/>
    <x v="32"/>
    <x v="2"/>
    <n v="5"/>
    <n v="181.44"/>
    <n v="0"/>
    <n v="907.2"/>
    <n v="45.36"/>
    <n v="10"/>
    <n v="15"/>
    <n v="977.56000000000006"/>
    <n v="30"/>
    <x v="2"/>
  </r>
  <r>
    <s v="O0236"/>
    <s v="27-01-2025"/>
    <x v="233"/>
    <s v="New"/>
    <x v="4"/>
    <x v="2"/>
    <s v="252889"/>
    <s v="Upi"/>
    <x v="33"/>
    <x v="33"/>
    <x v="6"/>
    <n v="5"/>
    <n v="34.74"/>
    <n v="5.21"/>
    <n v="168.49"/>
    <n v="8.42"/>
    <n v="20"/>
    <n v="5"/>
    <n v="201.91"/>
    <n v="23"/>
    <x v="6"/>
  </r>
  <r>
    <s v="O0237"/>
    <s v="09-01-2025"/>
    <x v="234"/>
    <s v="New"/>
    <x v="4"/>
    <x v="2"/>
    <s v="241330"/>
    <s v="Phonepe"/>
    <x v="34"/>
    <x v="34"/>
    <x v="2"/>
    <n v="2"/>
    <n v="176.87"/>
    <n v="26.53"/>
    <n v="327.20999999999998"/>
    <n v="16.36"/>
    <n v="20"/>
    <n v="10"/>
    <n v="373.57000000000011"/>
    <n v="31"/>
    <x v="4"/>
  </r>
  <r>
    <s v="O0238"/>
    <s v="06-02-2025"/>
    <x v="235"/>
    <s v="Returning"/>
    <x v="4"/>
    <x v="1"/>
    <s v="461278"/>
    <s v="Phonepe"/>
    <x v="35"/>
    <x v="35"/>
    <x v="7"/>
    <n v="1"/>
    <n v="108.38"/>
    <n v="10.84"/>
    <n v="97.539999999999992"/>
    <n v="4.88"/>
    <n v="20"/>
    <n v="10"/>
    <n v="132.41999999999999"/>
    <n v="16"/>
    <x v="4"/>
  </r>
  <r>
    <s v="O0239"/>
    <s v="02-02-2025"/>
    <x v="236"/>
    <s v="Bulk"/>
    <x v="0"/>
    <x v="0"/>
    <s v="342634"/>
    <s v="Wallet"/>
    <x v="36"/>
    <x v="36"/>
    <x v="1"/>
    <n v="4"/>
    <n v="148.80000000000001"/>
    <n v="14.88"/>
    <n v="580.32000000000005"/>
    <n v="29.02"/>
    <n v="0"/>
    <n v="15"/>
    <n v="624.34"/>
    <n v="11"/>
    <x v="5"/>
  </r>
  <r>
    <s v="O0240"/>
    <s v="20-02-2025"/>
    <x v="237"/>
    <s v="New"/>
    <x v="4"/>
    <x v="2"/>
    <s v="130447"/>
    <s v="Phonepe"/>
    <x v="37"/>
    <x v="37"/>
    <x v="7"/>
    <n v="1"/>
    <n v="183.4"/>
    <n v="27.51"/>
    <n v="155.88999999999999"/>
    <n v="7.79"/>
    <n v="10"/>
    <n v="0"/>
    <n v="173.68"/>
    <n v="43"/>
    <x v="4"/>
  </r>
  <r>
    <s v="O0241"/>
    <s v="11-02-2025"/>
    <x v="238"/>
    <s v="Bulk"/>
    <x v="0"/>
    <x v="0"/>
    <s v="970477"/>
    <s v="Wallet"/>
    <x v="38"/>
    <x v="38"/>
    <x v="3"/>
    <n v="1"/>
    <n v="152.71"/>
    <n v="0"/>
    <n v="152.71"/>
    <n v="7.64"/>
    <n v="0"/>
    <n v="0"/>
    <n v="160.35"/>
    <n v="15"/>
    <x v="3"/>
  </r>
  <r>
    <s v="O0242"/>
    <s v="13-02-2025"/>
    <x v="239"/>
    <s v="Bulk"/>
    <x v="1"/>
    <x v="2"/>
    <s v="851164"/>
    <s v="Upi"/>
    <x v="39"/>
    <x v="39"/>
    <x v="4"/>
    <n v="4"/>
    <n v="172.54"/>
    <n v="8.6300000000000008"/>
    <n v="681.53"/>
    <n v="34.08"/>
    <n v="0"/>
    <n v="10"/>
    <n v="725.61"/>
    <n v="12"/>
    <x v="4"/>
  </r>
  <r>
    <s v="O0243"/>
    <s v="24-01-2025"/>
    <x v="240"/>
    <s v="Returning"/>
    <x v="4"/>
    <x v="0"/>
    <s v="622220"/>
    <s v="Card"/>
    <x v="40"/>
    <x v="40"/>
    <x v="8"/>
    <n v="3"/>
    <n v="163.08000000000001"/>
    <n v="8.15"/>
    <n v="481.09"/>
    <n v="24.05"/>
    <n v="30"/>
    <n v="0"/>
    <n v="535.1400000000001"/>
    <n v="41"/>
    <x v="1"/>
  </r>
  <r>
    <s v="O0244"/>
    <s v="15-01-2025"/>
    <x v="241"/>
    <s v="Bulk"/>
    <x v="3"/>
    <x v="0"/>
    <s v="687100"/>
    <s v="Card"/>
    <x v="41"/>
    <x v="41"/>
    <x v="9"/>
    <n v="3"/>
    <n v="131.84"/>
    <n v="6.59"/>
    <n v="388.93"/>
    <n v="19.45"/>
    <n v="20"/>
    <n v="15"/>
    <n v="443.38"/>
    <n v="35"/>
    <x v="2"/>
  </r>
  <r>
    <s v="O0245"/>
    <s v="28-02-2025"/>
    <x v="242"/>
    <s v="Bulk"/>
    <x v="0"/>
    <x v="2"/>
    <s v="518495"/>
    <s v="Cod"/>
    <x v="42"/>
    <x v="42"/>
    <x v="7"/>
    <n v="2"/>
    <n v="35.99"/>
    <n v="1.8"/>
    <n v="70.180000000000007"/>
    <n v="3.51"/>
    <n v="30"/>
    <n v="5"/>
    <n v="108.69"/>
    <n v="3"/>
    <x v="1"/>
  </r>
  <r>
    <s v="O0246"/>
    <s v="23-02-2025"/>
    <x v="243"/>
    <s v="Bulk"/>
    <x v="3"/>
    <x v="0"/>
    <m/>
    <s v="Card"/>
    <x v="43"/>
    <x v="43"/>
    <x v="4"/>
    <n v="1"/>
    <n v="116.9"/>
    <n v="5.85"/>
    <n v="111.05"/>
    <n v="5.55"/>
    <n v="30"/>
    <n v="10"/>
    <n v="156.6"/>
    <n v="25"/>
    <x v="5"/>
  </r>
  <r>
    <s v="O0247"/>
    <s v="01-02-2025"/>
    <x v="244"/>
    <s v="Bulk"/>
    <x v="2"/>
    <x v="2"/>
    <s v="763070"/>
    <s v="Upi"/>
    <x v="44"/>
    <x v="44"/>
    <x v="8"/>
    <n v="3"/>
    <n v="92.14"/>
    <n v="0"/>
    <n v="276.42"/>
    <n v="13.82"/>
    <n v="0"/>
    <n v="20"/>
    <n v="310.24"/>
    <n v="21"/>
    <x v="0"/>
  </r>
  <r>
    <s v="O0248"/>
    <s v="01-02-2025"/>
    <x v="245"/>
    <s v="Bulk"/>
    <x v="2"/>
    <x v="0"/>
    <s v="755522"/>
    <s v="Cod"/>
    <x v="45"/>
    <x v="45"/>
    <x v="9"/>
    <n v="2"/>
    <n v="168.78"/>
    <n v="16.88"/>
    <n v="320.68"/>
    <n v="16.03"/>
    <n v="0"/>
    <n v="5"/>
    <n v="341.71"/>
    <n v="15"/>
    <x v="0"/>
  </r>
  <r>
    <s v="O0249"/>
    <s v="24-01-2025"/>
    <x v="246"/>
    <s v="Returning"/>
    <x v="4"/>
    <x v="2"/>
    <s v="586799"/>
    <s v="Wallet"/>
    <x v="46"/>
    <x v="46"/>
    <x v="8"/>
    <n v="1"/>
    <n v="173.18"/>
    <n v="17.32"/>
    <n v="155.86000000000001"/>
    <n v="7.79"/>
    <n v="30"/>
    <n v="15"/>
    <n v="208.65"/>
    <n v="18"/>
    <x v="1"/>
  </r>
  <r>
    <s v="O0250"/>
    <s v="10-02-2025"/>
    <x v="247"/>
    <s v="Bulk"/>
    <x v="1"/>
    <x v="0"/>
    <s v="367491"/>
    <s v="Upi"/>
    <x v="47"/>
    <x v="47"/>
    <x v="7"/>
    <n v="2"/>
    <n v="214.09"/>
    <n v="32.11"/>
    <n v="396.07"/>
    <n v="19.8"/>
    <n v="10"/>
    <n v="20"/>
    <n v="445.87"/>
    <n v="17"/>
    <x v="6"/>
  </r>
  <r>
    <s v="O0251"/>
    <s v="21-02-2025"/>
    <x v="248"/>
    <s v="Bulk"/>
    <x v="0"/>
    <x v="2"/>
    <s v="852254"/>
    <s v="Wallet"/>
    <x v="48"/>
    <x v="48"/>
    <x v="0"/>
    <n v="2"/>
    <n v="25.45"/>
    <n v="2.54"/>
    <n v="48.36"/>
    <n v="2.42"/>
    <n v="10"/>
    <n v="20"/>
    <n v="80.78"/>
    <n v="33"/>
    <x v="1"/>
  </r>
  <r>
    <s v="O0252"/>
    <s v="18-02-2025"/>
    <x v="249"/>
    <s v="New"/>
    <x v="4"/>
    <x v="0"/>
    <s v="335718"/>
    <s v="Upi"/>
    <x v="49"/>
    <x v="49"/>
    <x v="2"/>
    <n v="4"/>
    <n v="66.53"/>
    <n v="0"/>
    <n v="266.12"/>
    <n v="13.31"/>
    <n v="20"/>
    <n v="0"/>
    <n v="299.43"/>
    <n v="25"/>
    <x v="3"/>
  </r>
  <r>
    <s v="O0253"/>
    <s v="18-02-2025"/>
    <x v="250"/>
    <s v="Bulk"/>
    <x v="2"/>
    <x v="1"/>
    <s v="735775"/>
    <s v="Card"/>
    <x v="50"/>
    <x v="50"/>
    <x v="2"/>
    <n v="4"/>
    <n v="189.59"/>
    <n v="0"/>
    <n v="758.36"/>
    <n v="37.92"/>
    <n v="30"/>
    <n v="20"/>
    <n v="846.28"/>
    <n v="21"/>
    <x v="3"/>
  </r>
  <r>
    <s v="O0254"/>
    <s v="27-02-2025"/>
    <x v="251"/>
    <s v="Bulk"/>
    <x v="0"/>
    <x v="1"/>
    <s v="527737"/>
    <s v="Phonepe"/>
    <x v="51"/>
    <x v="51"/>
    <x v="9"/>
    <n v="2"/>
    <n v="261.33"/>
    <n v="39.200000000000003"/>
    <n v="483.46"/>
    <n v="24.17"/>
    <n v="0"/>
    <n v="15"/>
    <n v="522.63"/>
    <n v="32"/>
    <x v="4"/>
  </r>
  <r>
    <s v="O0255"/>
    <s v="21-02-2025"/>
    <x v="252"/>
    <s v="New"/>
    <x v="4"/>
    <x v="2"/>
    <s v="450040"/>
    <s v="Netbanking"/>
    <x v="52"/>
    <x v="52"/>
    <x v="0"/>
    <n v="1"/>
    <n v="86.56"/>
    <n v="12.98"/>
    <n v="73.58"/>
    <n v="3.68"/>
    <n v="30"/>
    <n v="10"/>
    <n v="117.26"/>
    <n v="14"/>
    <x v="1"/>
  </r>
  <r>
    <s v="O0256"/>
    <s v="12-01-2025"/>
    <x v="253"/>
    <s v="Bulk"/>
    <x v="3"/>
    <x v="2"/>
    <s v="306487"/>
    <s v="Upi"/>
    <x v="53"/>
    <x v="53"/>
    <x v="5"/>
    <n v="1"/>
    <n v="217.76"/>
    <n v="32.659999999999997"/>
    <n v="185.1"/>
    <n v="9.26"/>
    <n v="10"/>
    <n v="0"/>
    <n v="204.36"/>
    <n v="29"/>
    <x v="5"/>
  </r>
  <r>
    <s v="O0257"/>
    <s v="08-02-2025"/>
    <x v="254"/>
    <s v="Bulk"/>
    <x v="0"/>
    <x v="0"/>
    <s v="145232"/>
    <s v="Phonepe"/>
    <x v="54"/>
    <x v="54"/>
    <x v="1"/>
    <n v="6"/>
    <n v="102.27"/>
    <n v="0"/>
    <n v="613.62"/>
    <n v="30.68"/>
    <n v="0"/>
    <n v="10"/>
    <n v="654.29999999999995"/>
    <n v="26"/>
    <x v="0"/>
  </r>
  <r>
    <s v="O0258"/>
    <s v="02-01-2025"/>
    <x v="255"/>
    <s v="Bulk"/>
    <x v="2"/>
    <x v="2"/>
    <s v="488612"/>
    <s v="Wallet"/>
    <x v="55"/>
    <x v="55"/>
    <x v="0"/>
    <n v="1"/>
    <n v="125.17"/>
    <n v="0"/>
    <n v="125.17"/>
    <n v="6.26"/>
    <n v="30"/>
    <n v="10"/>
    <n v="171.43"/>
    <n v="22"/>
    <x v="4"/>
  </r>
  <r>
    <s v="O0259"/>
    <s v="03-01-2025"/>
    <x v="256"/>
    <s v="Bulk"/>
    <x v="2"/>
    <x v="1"/>
    <s v="964690"/>
    <s v="Wallet"/>
    <x v="56"/>
    <x v="56"/>
    <x v="3"/>
    <n v="5"/>
    <n v="93.1"/>
    <n v="0"/>
    <n v="465.5"/>
    <n v="23.28"/>
    <n v="10"/>
    <n v="10"/>
    <n v="508.78"/>
    <n v="45"/>
    <x v="1"/>
  </r>
  <r>
    <s v="O0260"/>
    <s v="18-02-2025"/>
    <x v="257"/>
    <s v="Bulk"/>
    <x v="1"/>
    <x v="2"/>
    <s v="550542"/>
    <s v="Netbanking"/>
    <x v="57"/>
    <x v="57"/>
    <x v="9"/>
    <n v="4"/>
    <n v="243.45"/>
    <n v="36.520000000000003"/>
    <n v="937.28"/>
    <n v="46.86"/>
    <n v="20"/>
    <n v="0"/>
    <n v="1004.14"/>
    <n v="24.67"/>
    <x v="3"/>
  </r>
  <r>
    <s v="O0261"/>
    <s v="06-02-2025"/>
    <x v="258"/>
    <s v="Bulk"/>
    <x v="5"/>
    <x v="1"/>
    <s v="380852"/>
    <s v="Gpay"/>
    <x v="58"/>
    <x v="58"/>
    <x v="7"/>
    <n v="5"/>
    <n v="123.42"/>
    <n v="18.510000000000002"/>
    <n v="598.59"/>
    <n v="29.93"/>
    <n v="30"/>
    <n v="10"/>
    <n v="668.52"/>
    <n v="3"/>
    <x v="4"/>
  </r>
  <r>
    <s v="O0262"/>
    <s v="18-02-2025"/>
    <x v="259"/>
    <s v="Bulk"/>
    <x v="0"/>
    <x v="1"/>
    <s v="965139"/>
    <s v="Cod"/>
    <x v="59"/>
    <x v="59"/>
    <x v="5"/>
    <n v="2"/>
    <n v="91.04"/>
    <n v="9.1"/>
    <n v="172.98"/>
    <n v="8.65"/>
    <n v="0"/>
    <n v="5"/>
    <n v="186.63"/>
    <n v="15"/>
    <x v="3"/>
  </r>
  <r>
    <s v="O0263"/>
    <s v="25-02-2025"/>
    <x v="260"/>
    <s v="Bulk"/>
    <x v="1"/>
    <x v="0"/>
    <s v="625069"/>
    <s v="Phonepe"/>
    <x v="60"/>
    <x v="60"/>
    <x v="3"/>
    <n v="1"/>
    <n v="125.7"/>
    <n v="0"/>
    <n v="125.7"/>
    <n v="6.29"/>
    <n v="20"/>
    <n v="5"/>
    <n v="156.99"/>
    <n v="15"/>
    <x v="3"/>
  </r>
  <r>
    <s v="O0264"/>
    <s v="17-01-2025"/>
    <x v="261"/>
    <s v="Bulk"/>
    <x v="2"/>
    <x v="2"/>
    <s v="271033"/>
    <s v="Gpay"/>
    <x v="61"/>
    <x v="61"/>
    <x v="9"/>
    <n v="3"/>
    <n v="102.49"/>
    <n v="15.37"/>
    <n v="292.10000000000002"/>
    <n v="14.6"/>
    <n v="10"/>
    <n v="5"/>
    <n v="321.7"/>
    <n v="9"/>
    <x v="1"/>
  </r>
  <r>
    <s v="O0265"/>
    <s v="28-02-2025"/>
    <x v="262"/>
    <s v="Bulk"/>
    <x v="5"/>
    <x v="3"/>
    <s v="647936"/>
    <s v="Upi"/>
    <x v="62"/>
    <x v="62"/>
    <x v="9"/>
    <n v="6"/>
    <n v="241.14"/>
    <n v="0"/>
    <n v="1446.84"/>
    <n v="72.34"/>
    <n v="20"/>
    <n v="0"/>
    <n v="1539.18"/>
    <n v="33"/>
    <x v="1"/>
  </r>
  <r>
    <s v="O0266"/>
    <s v="18-02-2025"/>
    <x v="263"/>
    <s v="Bulk"/>
    <x v="1"/>
    <x v="0"/>
    <s v="279635"/>
    <s v="Upi"/>
    <x v="63"/>
    <x v="63"/>
    <x v="0"/>
    <n v="2"/>
    <n v="195.87"/>
    <n v="9.7899999999999991"/>
    <n v="381.95"/>
    <n v="19.100000000000001"/>
    <n v="20"/>
    <n v="0"/>
    <n v="421.05"/>
    <n v="20"/>
    <x v="3"/>
  </r>
  <r>
    <s v="O0267"/>
    <s v="02-01-2025"/>
    <x v="264"/>
    <s v="Bulk"/>
    <x v="0"/>
    <x v="1"/>
    <s v="222775"/>
    <s v="Card"/>
    <x v="64"/>
    <x v="64"/>
    <x v="9"/>
    <n v="1"/>
    <n v="57.75"/>
    <n v="2.89"/>
    <n v="54.86"/>
    <n v="2.74"/>
    <n v="30"/>
    <n v="15"/>
    <n v="102.6"/>
    <n v="26"/>
    <x v="4"/>
  </r>
  <r>
    <s v="O0268"/>
    <s v="02-01-2025"/>
    <x v="265"/>
    <s v="New"/>
    <x v="4"/>
    <x v="0"/>
    <s v="361716"/>
    <s v="Wallet"/>
    <x v="65"/>
    <x v="65"/>
    <x v="1"/>
    <n v="1"/>
    <n v="196.24"/>
    <n v="9.81"/>
    <n v="186.43"/>
    <n v="9.32"/>
    <n v="20"/>
    <n v="20"/>
    <n v="235.75"/>
    <n v="17"/>
    <x v="4"/>
  </r>
  <r>
    <s v="O0269"/>
    <s v="28-01-2025"/>
    <x v="266"/>
    <s v="Bulk"/>
    <x v="2"/>
    <x v="0"/>
    <s v="522355"/>
    <s v="Upi"/>
    <x v="66"/>
    <x v="66"/>
    <x v="9"/>
    <n v="5"/>
    <n v="37.17"/>
    <n v="0"/>
    <n v="185.85"/>
    <n v="9.2899999999999991"/>
    <n v="20"/>
    <n v="10"/>
    <n v="225.14"/>
    <n v="12"/>
    <x v="3"/>
  </r>
  <r>
    <s v="O0270"/>
    <s v="23-02-2025"/>
    <x v="267"/>
    <s v="Bulk"/>
    <x v="3"/>
    <x v="1"/>
    <s v="106530"/>
    <s v="Wallet"/>
    <x v="67"/>
    <x v="67"/>
    <x v="9"/>
    <n v="3"/>
    <n v="46.27"/>
    <n v="0"/>
    <n v="138.81"/>
    <n v="6.94"/>
    <n v="20"/>
    <n v="20"/>
    <n v="185.75"/>
    <n v="27"/>
    <x v="5"/>
  </r>
  <r>
    <s v="O0271"/>
    <s v="23-01-2025"/>
    <x v="268"/>
    <s v="Bulk"/>
    <x v="2"/>
    <x v="1"/>
    <s v="919812"/>
    <s v="Upi"/>
    <x v="68"/>
    <x v="68"/>
    <x v="9"/>
    <n v="4"/>
    <n v="103.69"/>
    <n v="5.18"/>
    <n v="409.58"/>
    <n v="20.48"/>
    <n v="0"/>
    <n v="20"/>
    <n v="450.06"/>
    <n v="19"/>
    <x v="4"/>
  </r>
  <r>
    <s v="O0272"/>
    <s v="06-02-2025"/>
    <x v="269"/>
    <s v="Bulk"/>
    <x v="5"/>
    <x v="0"/>
    <s v="692131"/>
    <s v="Upi"/>
    <x v="69"/>
    <x v="69"/>
    <x v="6"/>
    <n v="1"/>
    <n v="166.91"/>
    <n v="16.690000000000001"/>
    <n v="150.22"/>
    <n v="7.51"/>
    <n v="30"/>
    <n v="5"/>
    <n v="192.73"/>
    <n v="30"/>
    <x v="4"/>
  </r>
  <r>
    <s v="O0273"/>
    <s v="01-02-2025"/>
    <x v="270"/>
    <s v="Bulk"/>
    <x v="3"/>
    <x v="2"/>
    <s v="939188"/>
    <s v="Upi"/>
    <x v="70"/>
    <x v="70"/>
    <x v="0"/>
    <n v="1"/>
    <n v="188.54"/>
    <n v="28.28"/>
    <n v="160.26"/>
    <n v="8.01"/>
    <n v="10"/>
    <n v="20"/>
    <n v="198.27"/>
    <n v="27"/>
    <x v="0"/>
  </r>
  <r>
    <s v="O0274"/>
    <s v="02-02-2025"/>
    <x v="271"/>
    <s v="Bulk"/>
    <x v="0"/>
    <x v="0"/>
    <s v="298137"/>
    <s v="Upi"/>
    <x v="71"/>
    <x v="71"/>
    <x v="8"/>
    <n v="2"/>
    <n v="64.650000000000006"/>
    <n v="0"/>
    <n v="129.30000000000001"/>
    <n v="6.47"/>
    <n v="0"/>
    <n v="10"/>
    <n v="145.77000000000001"/>
    <n v="24.67"/>
    <x v="5"/>
  </r>
  <r>
    <s v="O0275"/>
    <s v="01-01-2025"/>
    <x v="272"/>
    <s v="Returning"/>
    <x v="4"/>
    <x v="1"/>
    <s v="501220"/>
    <s v="Card"/>
    <x v="72"/>
    <x v="72"/>
    <x v="2"/>
    <n v="5"/>
    <n v="48.66"/>
    <n v="2.4300000000000002"/>
    <n v="240.87"/>
    <n v="12.04"/>
    <n v="0"/>
    <n v="5"/>
    <n v="257.91000000000003"/>
    <n v="22"/>
    <x v="2"/>
  </r>
  <r>
    <s v="O0276"/>
    <s v="19-01-2025"/>
    <x v="273"/>
    <s v="Bulk"/>
    <x v="5"/>
    <x v="1"/>
    <s v="619165"/>
    <s v="Upi"/>
    <x v="73"/>
    <x v="73"/>
    <x v="9"/>
    <n v="5"/>
    <n v="275.37"/>
    <n v="27.54"/>
    <n v="1349.31"/>
    <n v="67.47"/>
    <n v="20"/>
    <n v="20"/>
    <n v="1456.78"/>
    <n v="19"/>
    <x v="5"/>
  </r>
  <r>
    <s v="O0277"/>
    <s v="02-01-2025"/>
    <x v="274"/>
    <s v="Returning"/>
    <x v="4"/>
    <x v="0"/>
    <s v="542632"/>
    <s v="Upi"/>
    <x v="74"/>
    <x v="74"/>
    <x v="5"/>
    <n v="4"/>
    <n v="71.680000000000007"/>
    <n v="7.17"/>
    <n v="279.55"/>
    <n v="13.98"/>
    <n v="20"/>
    <n v="0"/>
    <n v="313.52999999999997"/>
    <n v="30"/>
    <x v="4"/>
  </r>
  <r>
    <s v="O0278"/>
    <s v="22-02-2025"/>
    <x v="275"/>
    <s v="Bulk"/>
    <x v="5"/>
    <x v="2"/>
    <s v="512104"/>
    <s v="Upi"/>
    <x v="75"/>
    <x v="75"/>
    <x v="6"/>
    <n v="3"/>
    <n v="199.06"/>
    <n v="0"/>
    <n v="597.18000000000006"/>
    <n v="29.86"/>
    <n v="10"/>
    <n v="10"/>
    <n v="647.04000000000008"/>
    <n v="27"/>
    <x v="0"/>
  </r>
  <r>
    <s v="O0279"/>
    <s v="13-02-2025"/>
    <x v="276"/>
    <s v="Bulk"/>
    <x v="3"/>
    <x v="1"/>
    <s v="887019"/>
    <s v="Card"/>
    <x v="76"/>
    <x v="76"/>
    <x v="3"/>
    <n v="4"/>
    <n v="114.53"/>
    <n v="11.45"/>
    <n v="446.67"/>
    <n v="22.33"/>
    <n v="0"/>
    <n v="0"/>
    <n v="469"/>
    <n v="2"/>
    <x v="4"/>
  </r>
  <r>
    <s v="O0280"/>
    <s v="26-01-2025"/>
    <x v="277"/>
    <s v="Bulk"/>
    <x v="5"/>
    <x v="0"/>
    <s v="471233"/>
    <s v="Phonepe"/>
    <x v="77"/>
    <x v="77"/>
    <x v="7"/>
    <n v="1"/>
    <n v="89.71"/>
    <n v="13.46"/>
    <n v="76.25"/>
    <n v="3.81"/>
    <n v="10"/>
    <n v="5"/>
    <n v="95.06"/>
    <n v="19"/>
    <x v="5"/>
  </r>
  <r>
    <s v="O0281"/>
    <s v="01-02-2025"/>
    <x v="278"/>
    <s v="Bulk"/>
    <x v="0"/>
    <x v="1"/>
    <s v="133866"/>
    <s v="Card"/>
    <x v="78"/>
    <x v="78"/>
    <x v="0"/>
    <n v="6"/>
    <n v="80.239999999999995"/>
    <n v="8.02"/>
    <n v="473.42"/>
    <n v="23.67"/>
    <n v="30"/>
    <n v="10"/>
    <n v="537.08999999999992"/>
    <n v="4"/>
    <x v="0"/>
  </r>
  <r>
    <s v="O0282"/>
    <s v="06-01-2025"/>
    <x v="279"/>
    <s v="Bulk"/>
    <x v="0"/>
    <x v="1"/>
    <s v="533934"/>
    <s v="Wallet"/>
    <x v="79"/>
    <x v="79"/>
    <x v="6"/>
    <n v="5"/>
    <n v="211.28"/>
    <n v="31.69"/>
    <n v="1024.71"/>
    <n v="51.24"/>
    <n v="30"/>
    <n v="15"/>
    <n v="1120.95"/>
    <n v="32"/>
    <x v="6"/>
  </r>
  <r>
    <s v="O0283"/>
    <s v="01-02-2025"/>
    <x v="280"/>
    <s v="Bulk"/>
    <x v="2"/>
    <x v="0"/>
    <s v="305735"/>
    <s v="Netbanking"/>
    <x v="80"/>
    <x v="80"/>
    <x v="5"/>
    <n v="4"/>
    <n v="90.65"/>
    <n v="0"/>
    <n v="362.6"/>
    <n v="18.13"/>
    <n v="0"/>
    <n v="10"/>
    <n v="390.73"/>
    <n v="27"/>
    <x v="0"/>
  </r>
  <r>
    <s v="O0284"/>
    <s v="24-02-2025"/>
    <x v="281"/>
    <s v="Bulk"/>
    <x v="1"/>
    <x v="0"/>
    <s v="356190"/>
    <s v="Upi"/>
    <x v="81"/>
    <x v="81"/>
    <x v="9"/>
    <n v="3"/>
    <n v="59.61"/>
    <n v="5.96"/>
    <n v="172.87"/>
    <n v="8.64"/>
    <n v="10"/>
    <n v="5"/>
    <n v="196.51"/>
    <n v="19"/>
    <x v="6"/>
  </r>
  <r>
    <s v="O0285"/>
    <s v="04-01-2025"/>
    <x v="282"/>
    <s v="Bulk"/>
    <x v="5"/>
    <x v="0"/>
    <s v="679365"/>
    <s v="Netbanking"/>
    <x v="82"/>
    <x v="82"/>
    <x v="9"/>
    <n v="4"/>
    <n v="172.07"/>
    <n v="0"/>
    <n v="688.28"/>
    <n v="34.409999999999997"/>
    <n v="20"/>
    <n v="20"/>
    <n v="762.68999999999994"/>
    <n v="21"/>
    <x v="0"/>
  </r>
  <r>
    <s v="O0286"/>
    <s v="24-02-2025"/>
    <x v="283"/>
    <s v="Bulk"/>
    <x v="2"/>
    <x v="2"/>
    <s v="543316"/>
    <s v="Cod"/>
    <x v="83"/>
    <x v="83"/>
    <x v="5"/>
    <n v="1"/>
    <n v="108.46"/>
    <n v="0"/>
    <n v="108.46"/>
    <n v="5.42"/>
    <n v="20"/>
    <n v="5"/>
    <n v="138.88"/>
    <n v="24.67"/>
    <x v="6"/>
  </r>
  <r>
    <s v="O0287"/>
    <s v="11-01-2025"/>
    <x v="284"/>
    <s v="Bulk"/>
    <x v="5"/>
    <x v="1"/>
    <s v="517168"/>
    <s v="Card"/>
    <x v="84"/>
    <x v="84"/>
    <x v="1"/>
    <n v="4"/>
    <n v="130.77000000000001"/>
    <n v="13.08"/>
    <n v="510.00000000000011"/>
    <n v="25.5"/>
    <n v="20"/>
    <n v="5"/>
    <n v="560.5"/>
    <n v="24.67"/>
    <x v="0"/>
  </r>
  <r>
    <s v="O0288"/>
    <s v="25-02-2025"/>
    <x v="285"/>
    <s v="Bulk"/>
    <x v="1"/>
    <x v="1"/>
    <s v="973093"/>
    <s v="Cod"/>
    <x v="85"/>
    <x v="85"/>
    <x v="3"/>
    <n v="4"/>
    <n v="160.05000000000001"/>
    <n v="16.010000000000002"/>
    <n v="624.19000000000005"/>
    <n v="31.21"/>
    <n v="20"/>
    <n v="15"/>
    <n v="690.40000000000009"/>
    <n v="27"/>
    <x v="3"/>
  </r>
  <r>
    <s v="O0289"/>
    <s v="28-02-2025"/>
    <x v="286"/>
    <s v="Bulk"/>
    <x v="1"/>
    <x v="0"/>
    <s v="576513"/>
    <s v="Phonepe"/>
    <x v="86"/>
    <x v="86"/>
    <x v="5"/>
    <n v="4"/>
    <n v="160.35"/>
    <n v="16.04"/>
    <n v="625.36"/>
    <n v="31.27"/>
    <n v="30"/>
    <n v="5"/>
    <n v="691.63"/>
    <n v="43"/>
    <x v="1"/>
  </r>
  <r>
    <s v="O0290"/>
    <s v="17-01-2025"/>
    <x v="287"/>
    <s v="New"/>
    <x v="4"/>
    <x v="1"/>
    <s v="802098"/>
    <s v="Netbanking"/>
    <x v="87"/>
    <x v="87"/>
    <x v="5"/>
    <n v="1"/>
    <n v="16.62"/>
    <n v="1.66"/>
    <n v="14.96"/>
    <n v="0.75"/>
    <n v="20"/>
    <n v="20"/>
    <n v="55.71"/>
    <n v="15"/>
    <x v="1"/>
  </r>
  <r>
    <s v="O0291"/>
    <s v="07-02-2025"/>
    <x v="288"/>
    <s v="Bulk"/>
    <x v="3"/>
    <x v="1"/>
    <s v="423853"/>
    <s v="Upi"/>
    <x v="88"/>
    <x v="88"/>
    <x v="0"/>
    <n v="2"/>
    <n v="87.88"/>
    <n v="0"/>
    <n v="175.76"/>
    <n v="8.7899999999999991"/>
    <n v="20"/>
    <n v="5"/>
    <n v="209.55"/>
    <n v="24"/>
    <x v="1"/>
  </r>
  <r>
    <s v="O0292"/>
    <s v="24-01-2025"/>
    <x v="289"/>
    <s v="Bulk"/>
    <x v="3"/>
    <x v="1"/>
    <s v="569164"/>
    <s v="Cod"/>
    <x v="89"/>
    <x v="89"/>
    <x v="2"/>
    <n v="2"/>
    <n v="145.30000000000001"/>
    <n v="7.27"/>
    <n v="283.33"/>
    <n v="14.17"/>
    <n v="0"/>
    <n v="10"/>
    <n v="307.50000000000011"/>
    <n v="33"/>
    <x v="1"/>
  </r>
  <r>
    <s v="O0293"/>
    <s v="05-01-2025"/>
    <x v="290"/>
    <s v="Bulk"/>
    <x v="1"/>
    <x v="0"/>
    <s v="440754"/>
    <s v="Card"/>
    <x v="90"/>
    <x v="90"/>
    <x v="8"/>
    <n v="3"/>
    <n v="173.32"/>
    <n v="0"/>
    <n v="519.96"/>
    <n v="26"/>
    <n v="10"/>
    <n v="20"/>
    <n v="575.96"/>
    <n v="19"/>
    <x v="5"/>
  </r>
  <r>
    <s v="O0294"/>
    <s v="21-02-2025"/>
    <x v="291"/>
    <s v="Bulk"/>
    <x v="0"/>
    <x v="1"/>
    <s v="935869"/>
    <s v="Upi"/>
    <x v="91"/>
    <x v="91"/>
    <x v="7"/>
    <n v="3"/>
    <n v="230.29"/>
    <n v="11.51"/>
    <n v="679.36"/>
    <n v="33.97"/>
    <n v="0"/>
    <n v="10"/>
    <n v="723.33"/>
    <n v="24.67"/>
    <x v="1"/>
  </r>
  <r>
    <s v="O0295"/>
    <s v="03-02-2025"/>
    <x v="292"/>
    <s v="Bulk"/>
    <x v="1"/>
    <x v="0"/>
    <s v="609666"/>
    <s v="Cod"/>
    <x v="92"/>
    <x v="92"/>
    <x v="0"/>
    <n v="3"/>
    <n v="85.2"/>
    <n v="12.78"/>
    <n v="242.82"/>
    <n v="12.14"/>
    <n v="0"/>
    <n v="15"/>
    <n v="269.95999999999998"/>
    <n v="32"/>
    <x v="6"/>
  </r>
  <r>
    <s v="O0296"/>
    <s v="06-01-2025"/>
    <x v="293"/>
    <s v="Bulk"/>
    <x v="2"/>
    <x v="0"/>
    <s v="302435"/>
    <s v="Upi"/>
    <x v="93"/>
    <x v="93"/>
    <x v="5"/>
    <n v="1"/>
    <n v="164.72"/>
    <n v="24.71"/>
    <n v="140.01"/>
    <n v="7"/>
    <n v="30"/>
    <n v="15"/>
    <n v="192.01"/>
    <n v="16"/>
    <x v="6"/>
  </r>
  <r>
    <s v="O0297"/>
    <s v="22-01-2025"/>
    <x v="294"/>
    <s v="Bulk"/>
    <x v="2"/>
    <x v="1"/>
    <s v="163095"/>
    <s v="Upi"/>
    <x v="94"/>
    <x v="94"/>
    <x v="1"/>
    <n v="2"/>
    <n v="167.66"/>
    <n v="0"/>
    <n v="335.32"/>
    <n v="16.77"/>
    <n v="30"/>
    <n v="20"/>
    <n v="402.09"/>
    <n v="24.67"/>
    <x v="2"/>
  </r>
  <r>
    <s v="O0298"/>
    <s v="11-01-2025"/>
    <x v="295"/>
    <s v="Bulk"/>
    <x v="1"/>
    <x v="1"/>
    <s v="522381"/>
    <s v="Wallet"/>
    <x v="95"/>
    <x v="95"/>
    <x v="6"/>
    <n v="4"/>
    <n v="81.040000000000006"/>
    <n v="4.05"/>
    <n v="320.11"/>
    <n v="16.010000000000002"/>
    <n v="20"/>
    <n v="10"/>
    <n v="366.12"/>
    <n v="8"/>
    <x v="0"/>
  </r>
  <r>
    <s v="O0299"/>
    <s v="17-02-2025"/>
    <x v="296"/>
    <s v="Bulk"/>
    <x v="3"/>
    <x v="2"/>
    <m/>
    <s v="Gpay"/>
    <x v="96"/>
    <x v="96"/>
    <x v="3"/>
    <n v="2"/>
    <n v="124.2"/>
    <n v="6.21"/>
    <n v="242.19"/>
    <n v="12.11"/>
    <n v="20"/>
    <n v="0"/>
    <n v="274.3"/>
    <n v="36"/>
    <x v="6"/>
  </r>
  <r>
    <s v="O0300"/>
    <s v="16-01-2025"/>
    <x v="297"/>
    <s v="Returning"/>
    <x v="4"/>
    <x v="1"/>
    <s v="902720"/>
    <s v="Upi"/>
    <x v="97"/>
    <x v="97"/>
    <x v="8"/>
    <n v="1"/>
    <n v="77.069999999999993"/>
    <n v="3.85"/>
    <n v="73.22"/>
    <n v="3.66"/>
    <n v="0"/>
    <n v="0"/>
    <n v="76.88"/>
    <n v="24.67"/>
    <x v="4"/>
  </r>
  <r>
    <s v="O0301"/>
    <s v="02-02-2025"/>
    <x v="0"/>
    <s v="Bulk"/>
    <x v="0"/>
    <x v="0"/>
    <s v="237653"/>
    <s v="Upi"/>
    <x v="98"/>
    <x v="98"/>
    <x v="4"/>
    <n v="3"/>
    <n v="222.55"/>
    <n v="33.380000000000003"/>
    <n v="634.2700000000001"/>
    <n v="31.71"/>
    <n v="0"/>
    <n v="20"/>
    <n v="685.98000000000013"/>
    <n v="19"/>
    <x v="5"/>
  </r>
  <r>
    <s v="O0302"/>
    <s v="09-01-2025"/>
    <x v="1"/>
    <s v="Bulk"/>
    <x v="5"/>
    <x v="0"/>
    <s v="913081"/>
    <s v="Phonepe"/>
    <x v="99"/>
    <x v="99"/>
    <x v="5"/>
    <n v="3"/>
    <n v="208.44"/>
    <n v="0"/>
    <n v="625.31999999999994"/>
    <n v="31.27"/>
    <n v="10"/>
    <n v="0"/>
    <n v="666.58999999999992"/>
    <n v="21"/>
    <x v="4"/>
  </r>
  <r>
    <s v="O0303"/>
    <s v="01-03-2025"/>
    <x v="298"/>
    <s v="Bulk"/>
    <x v="2"/>
    <x v="0"/>
    <s v="964434"/>
    <s v="Upi"/>
    <x v="100"/>
    <x v="100"/>
    <x v="2"/>
    <n v="2"/>
    <n v="98.69"/>
    <n v="4.93"/>
    <n v="192.45"/>
    <n v="9.6199999999999992"/>
    <n v="0"/>
    <n v="5"/>
    <n v="207.07"/>
    <n v="37"/>
    <x v="0"/>
  </r>
  <r>
    <s v="O0304"/>
    <s v="28-02-2025"/>
    <x v="299"/>
    <s v="New"/>
    <x v="4"/>
    <x v="0"/>
    <s v="330147"/>
    <s v="Phonepe"/>
    <x v="101"/>
    <x v="101"/>
    <x v="0"/>
    <n v="6"/>
    <n v="124.53"/>
    <n v="12.45"/>
    <n v="734.73"/>
    <n v="36.74"/>
    <n v="30"/>
    <n v="15"/>
    <n v="816.47"/>
    <n v="8"/>
    <x v="1"/>
  </r>
  <r>
    <s v="O0305"/>
    <s v="06-01-2025"/>
    <x v="2"/>
    <s v="Bulk"/>
    <x v="0"/>
    <x v="0"/>
    <s v="897622"/>
    <s v="Gpay"/>
    <x v="102"/>
    <x v="102"/>
    <x v="1"/>
    <n v="2"/>
    <n v="24.17"/>
    <n v="1.21"/>
    <n v="47.13"/>
    <n v="2.36"/>
    <n v="20"/>
    <n v="0"/>
    <n v="69.490000000000009"/>
    <n v="16"/>
    <x v="6"/>
  </r>
  <r>
    <s v="O0306"/>
    <s v="16-01-2025"/>
    <x v="3"/>
    <s v="Bulk"/>
    <x v="2"/>
    <x v="3"/>
    <s v="257584"/>
    <s v="Cod"/>
    <x v="103"/>
    <x v="103"/>
    <x v="4"/>
    <n v="1"/>
    <n v="174.41"/>
    <n v="17.440000000000001"/>
    <n v="156.97"/>
    <n v="7.85"/>
    <n v="10"/>
    <n v="0"/>
    <n v="174.82"/>
    <n v="22"/>
    <x v="4"/>
  </r>
  <r>
    <s v="O0307"/>
    <s v="29-01-2025"/>
    <x v="4"/>
    <s v="Bulk"/>
    <x v="3"/>
    <x v="1"/>
    <m/>
    <s v="Gpay"/>
    <x v="104"/>
    <x v="104"/>
    <x v="1"/>
    <n v="3"/>
    <n v="91.83"/>
    <n v="9.18"/>
    <n v="266.31"/>
    <n v="13.32"/>
    <n v="0"/>
    <n v="10"/>
    <n v="289.63"/>
    <n v="24.67"/>
    <x v="2"/>
  </r>
  <r>
    <s v="O0308"/>
    <s v="03-01-2025"/>
    <x v="5"/>
    <s v="Bulk"/>
    <x v="3"/>
    <x v="1"/>
    <s v="981506"/>
    <s v="Cod"/>
    <x v="105"/>
    <x v="105"/>
    <x v="1"/>
    <n v="2"/>
    <n v="78.45"/>
    <n v="0"/>
    <n v="156.9"/>
    <n v="7.85"/>
    <n v="10"/>
    <n v="10"/>
    <n v="184.75"/>
    <n v="10"/>
    <x v="1"/>
  </r>
  <r>
    <s v="O0309"/>
    <s v="20-01-2025"/>
    <x v="6"/>
    <s v="Bulk"/>
    <x v="2"/>
    <x v="2"/>
    <s v="818675"/>
    <s v="Upi"/>
    <x v="106"/>
    <x v="106"/>
    <x v="7"/>
    <n v="1"/>
    <n v="147.12"/>
    <n v="0"/>
    <n v="147.12"/>
    <n v="7.36"/>
    <n v="20"/>
    <n v="15"/>
    <n v="189.48"/>
    <n v="12"/>
    <x v="6"/>
  </r>
  <r>
    <s v="O0310"/>
    <s v="01-03-2025"/>
    <x v="7"/>
    <s v="Bulk"/>
    <x v="1"/>
    <x v="2"/>
    <m/>
    <s v="Upi"/>
    <x v="107"/>
    <x v="107"/>
    <x v="8"/>
    <n v="3"/>
    <n v="32.549999999999997"/>
    <n v="4.88"/>
    <n v="92.77"/>
    <n v="4.6399999999999997"/>
    <n v="20"/>
    <n v="15"/>
    <n v="132.41"/>
    <n v="24.67"/>
    <x v="0"/>
  </r>
  <r>
    <s v="O0311"/>
    <s v="28-02-2025"/>
    <x v="8"/>
    <s v="New"/>
    <x v="4"/>
    <x v="2"/>
    <s v="585757"/>
    <s v="Phonepe"/>
    <x v="108"/>
    <x v="108"/>
    <x v="6"/>
    <n v="5"/>
    <n v="85.35"/>
    <n v="0"/>
    <n v="426.75"/>
    <n v="21.34"/>
    <n v="10"/>
    <n v="0"/>
    <n v="458.09"/>
    <n v="6"/>
    <x v="1"/>
  </r>
  <r>
    <s v="O0312"/>
    <s v="05-02-2025"/>
    <x v="9"/>
    <s v="Bulk"/>
    <x v="0"/>
    <x v="1"/>
    <s v="628936"/>
    <s v="Upi"/>
    <x v="109"/>
    <x v="109"/>
    <x v="0"/>
    <n v="3"/>
    <n v="169.76"/>
    <n v="0"/>
    <n v="509.28"/>
    <n v="25.46"/>
    <n v="30"/>
    <n v="5"/>
    <n v="569.74"/>
    <n v="19"/>
    <x v="2"/>
  </r>
  <r>
    <s v="O0313"/>
    <s v="19-01-2025"/>
    <x v="10"/>
    <s v="Bulk"/>
    <x v="2"/>
    <x v="1"/>
    <s v="694316"/>
    <s v="Upi"/>
    <x v="110"/>
    <x v="110"/>
    <x v="7"/>
    <n v="3"/>
    <n v="199.84"/>
    <n v="19.98"/>
    <n v="579.54"/>
    <n v="28.98"/>
    <n v="30"/>
    <n v="20"/>
    <n v="658.52"/>
    <n v="35"/>
    <x v="5"/>
  </r>
  <r>
    <s v="O0314"/>
    <s v="26-01-2025"/>
    <x v="11"/>
    <s v="Bulk"/>
    <x v="1"/>
    <x v="1"/>
    <s v="414925"/>
    <s v="Card"/>
    <x v="111"/>
    <x v="111"/>
    <x v="7"/>
    <n v="3"/>
    <n v="102.39"/>
    <n v="10.24"/>
    <n v="296.93"/>
    <n v="14.85"/>
    <n v="20"/>
    <n v="0"/>
    <n v="331.78"/>
    <n v="24.67"/>
    <x v="5"/>
  </r>
  <r>
    <s v="O0315"/>
    <s v="03-01-2025"/>
    <x v="12"/>
    <s v="Returning"/>
    <x v="4"/>
    <x v="0"/>
    <s v="668651"/>
    <s v="Netbanking"/>
    <x v="112"/>
    <x v="112"/>
    <x v="0"/>
    <n v="3"/>
    <n v="97.83"/>
    <n v="4.8899999999999997"/>
    <n v="288.60000000000002"/>
    <n v="14.43"/>
    <n v="20"/>
    <n v="20"/>
    <n v="343.03"/>
    <n v="13"/>
    <x v="1"/>
  </r>
  <r>
    <s v="O0316"/>
    <s v="19-01-2025"/>
    <x v="13"/>
    <s v="Returning"/>
    <x v="4"/>
    <x v="1"/>
    <m/>
    <s v="Upi"/>
    <x v="113"/>
    <x v="113"/>
    <x v="9"/>
    <n v="3"/>
    <n v="166.13"/>
    <n v="0"/>
    <n v="498.39"/>
    <n v="24.92"/>
    <n v="10"/>
    <n v="0"/>
    <n v="533.30999999999995"/>
    <n v="9"/>
    <x v="5"/>
  </r>
  <r>
    <s v="O0317"/>
    <s v="20-01-2025"/>
    <x v="14"/>
    <s v="Bulk"/>
    <x v="0"/>
    <x v="0"/>
    <s v="952694"/>
    <s v="Upi"/>
    <x v="114"/>
    <x v="114"/>
    <x v="2"/>
    <n v="4"/>
    <n v="91.02"/>
    <n v="13.65"/>
    <n v="350.43"/>
    <n v="17.52"/>
    <n v="10"/>
    <n v="5"/>
    <n v="382.95"/>
    <n v="26"/>
    <x v="6"/>
  </r>
  <r>
    <s v="O0318"/>
    <s v="01-02-2025"/>
    <x v="15"/>
    <s v="Bulk"/>
    <x v="2"/>
    <x v="0"/>
    <s v="853298"/>
    <s v="Wallet"/>
    <x v="115"/>
    <x v="115"/>
    <x v="7"/>
    <n v="4"/>
    <n v="47.7"/>
    <n v="0"/>
    <n v="190.8"/>
    <n v="9.5399999999999991"/>
    <n v="10"/>
    <n v="5"/>
    <n v="215.34"/>
    <n v="3"/>
    <x v="0"/>
  </r>
  <r>
    <s v="O0319"/>
    <s v="07-01-2025"/>
    <x v="16"/>
    <s v="New"/>
    <x v="4"/>
    <x v="1"/>
    <s v="988544"/>
    <s v="Gpay"/>
    <x v="116"/>
    <x v="116"/>
    <x v="5"/>
    <n v="1"/>
    <n v="187.92"/>
    <n v="18.79"/>
    <n v="169.13"/>
    <n v="8.4600000000000009"/>
    <n v="0"/>
    <n v="10"/>
    <n v="187.59"/>
    <n v="24.67"/>
    <x v="3"/>
  </r>
  <r>
    <s v="O0320"/>
    <s v="21-02-2025"/>
    <x v="17"/>
    <s v="Bulk"/>
    <x v="5"/>
    <x v="2"/>
    <s v="423494"/>
    <s v="Wallet"/>
    <x v="117"/>
    <x v="117"/>
    <x v="6"/>
    <n v="7"/>
    <n v="19.53"/>
    <n v="0.98"/>
    <n v="135.72999999999999"/>
    <n v="6.79"/>
    <n v="10"/>
    <n v="0"/>
    <n v="152.52000000000001"/>
    <n v="16"/>
    <x v="1"/>
  </r>
  <r>
    <s v="O0321"/>
    <s v="10-02-2025"/>
    <x v="18"/>
    <s v="Bulk"/>
    <x v="0"/>
    <x v="1"/>
    <s v="621481"/>
    <s v="Phonepe"/>
    <x v="118"/>
    <x v="118"/>
    <x v="6"/>
    <n v="6"/>
    <n v="56.09"/>
    <n v="0"/>
    <n v="336.54"/>
    <n v="16.829999999999998"/>
    <n v="30"/>
    <n v="15"/>
    <n v="398.37"/>
    <n v="36"/>
    <x v="6"/>
  </r>
  <r>
    <s v="O0322"/>
    <s v="02-02-2025"/>
    <x v="19"/>
    <s v="New"/>
    <x v="4"/>
    <x v="2"/>
    <s v="205848"/>
    <s v="Upi"/>
    <x v="119"/>
    <x v="119"/>
    <x v="6"/>
    <n v="1"/>
    <n v="51.55"/>
    <n v="7.73"/>
    <n v="43.819999999999993"/>
    <n v="2.19"/>
    <n v="20"/>
    <n v="15"/>
    <n v="81.009999999999991"/>
    <n v="25"/>
    <x v="5"/>
  </r>
  <r>
    <s v="O0323"/>
    <s v="09-02-2025"/>
    <x v="20"/>
    <s v="Bulk"/>
    <x v="2"/>
    <x v="2"/>
    <s v="303047"/>
    <s v="Upi"/>
    <x v="120"/>
    <x v="120"/>
    <x v="1"/>
    <n v="2"/>
    <n v="100.96"/>
    <n v="5.05"/>
    <n v="196.87"/>
    <n v="9.84"/>
    <n v="0"/>
    <n v="15"/>
    <n v="221.71"/>
    <n v="25"/>
    <x v="5"/>
  </r>
  <r>
    <s v="O0324"/>
    <s v="08-02-2025"/>
    <x v="21"/>
    <s v="Bulk"/>
    <x v="5"/>
    <x v="2"/>
    <s v="610370"/>
    <s v="Netbanking"/>
    <x v="121"/>
    <x v="121"/>
    <x v="9"/>
    <n v="1"/>
    <n v="153.53"/>
    <n v="15.35"/>
    <n v="138.18"/>
    <n v="6.91"/>
    <n v="10"/>
    <n v="10"/>
    <n v="165.09"/>
    <n v="34"/>
    <x v="0"/>
  </r>
  <r>
    <s v="O0325"/>
    <s v="18-01-2025"/>
    <x v="22"/>
    <s v="Bulk"/>
    <x v="5"/>
    <x v="0"/>
    <s v="743294"/>
    <s v="Netbanking"/>
    <x v="122"/>
    <x v="122"/>
    <x v="6"/>
    <n v="1"/>
    <n v="113.83"/>
    <n v="11.38"/>
    <n v="102.45"/>
    <n v="5.12"/>
    <n v="0"/>
    <n v="5"/>
    <n v="112.57"/>
    <n v="26"/>
    <x v="0"/>
  </r>
  <r>
    <s v="O0326"/>
    <s v="09-02-2025"/>
    <x v="23"/>
    <s v="New"/>
    <x v="4"/>
    <x v="2"/>
    <s v="724411"/>
    <s v="Netbanking"/>
    <x v="123"/>
    <x v="123"/>
    <x v="5"/>
    <n v="1"/>
    <n v="200.15"/>
    <n v="20.02"/>
    <n v="180.13"/>
    <n v="9.01"/>
    <n v="0"/>
    <n v="5"/>
    <n v="194.14"/>
    <n v="24.67"/>
    <x v="5"/>
  </r>
  <r>
    <s v="O0327"/>
    <s v="01-01-2025"/>
    <x v="24"/>
    <s v="Bulk"/>
    <x v="3"/>
    <x v="1"/>
    <s v="594178"/>
    <s v="Phonepe"/>
    <x v="124"/>
    <x v="124"/>
    <x v="3"/>
    <n v="2"/>
    <n v="182.88"/>
    <n v="27.43"/>
    <n v="338.33"/>
    <n v="16.920000000000002"/>
    <n v="20"/>
    <n v="0"/>
    <n v="375.25"/>
    <n v="21"/>
    <x v="2"/>
  </r>
  <r>
    <s v="O0328"/>
    <s v="11-01-2025"/>
    <x v="25"/>
    <s v="Bulk"/>
    <x v="5"/>
    <x v="2"/>
    <s v="986559"/>
    <s v="Upi"/>
    <x v="125"/>
    <x v="125"/>
    <x v="4"/>
    <n v="3"/>
    <n v="71.7"/>
    <n v="3.59"/>
    <n v="211.51"/>
    <n v="10.58"/>
    <n v="0"/>
    <n v="0"/>
    <n v="222.09"/>
    <n v="10"/>
    <x v="0"/>
  </r>
  <r>
    <s v="O0329"/>
    <s v="28-01-2025"/>
    <x v="26"/>
    <s v="Bulk"/>
    <x v="3"/>
    <x v="2"/>
    <s v="416456"/>
    <s v="Phonepe"/>
    <x v="126"/>
    <x v="126"/>
    <x v="1"/>
    <n v="3"/>
    <n v="137.32"/>
    <n v="20.6"/>
    <n v="391.36"/>
    <n v="19.57"/>
    <n v="0"/>
    <n v="15"/>
    <n v="425.92999999999989"/>
    <n v="27"/>
    <x v="3"/>
  </r>
  <r>
    <s v="O0330"/>
    <s v="26-02-2025"/>
    <x v="27"/>
    <s v="Bulk"/>
    <x v="3"/>
    <x v="1"/>
    <s v="863799"/>
    <s v="Upi"/>
    <x v="127"/>
    <x v="127"/>
    <x v="9"/>
    <n v="1"/>
    <n v="78.41"/>
    <n v="11.76"/>
    <n v="66.649999999999991"/>
    <n v="3.33"/>
    <n v="20"/>
    <n v="0"/>
    <n v="89.97999999999999"/>
    <n v="24"/>
    <x v="2"/>
  </r>
  <r>
    <s v="O0331"/>
    <s v="25-01-2025"/>
    <x v="28"/>
    <s v="New"/>
    <x v="4"/>
    <x v="1"/>
    <s v="168803"/>
    <s v="Cod"/>
    <x v="128"/>
    <x v="128"/>
    <x v="7"/>
    <n v="2"/>
    <n v="54.54"/>
    <n v="8.18"/>
    <n v="100.9"/>
    <n v="5.05"/>
    <n v="30"/>
    <n v="20"/>
    <n v="155.94999999999999"/>
    <n v="20"/>
    <x v="0"/>
  </r>
  <r>
    <s v="O0332"/>
    <s v="19-02-2025"/>
    <x v="29"/>
    <s v="Bulk"/>
    <x v="0"/>
    <x v="1"/>
    <s v="220234"/>
    <s v="Gpay"/>
    <x v="129"/>
    <x v="129"/>
    <x v="1"/>
    <n v="2"/>
    <n v="145.83000000000001"/>
    <n v="7.29"/>
    <n v="284.37"/>
    <n v="14.22"/>
    <n v="0"/>
    <n v="15"/>
    <n v="313.58999999999997"/>
    <n v="38"/>
    <x v="2"/>
  </r>
  <r>
    <s v="O0333"/>
    <s v="23-01-2025"/>
    <x v="30"/>
    <s v="Bulk"/>
    <x v="5"/>
    <x v="1"/>
    <m/>
    <s v="Cod"/>
    <x v="130"/>
    <x v="130"/>
    <x v="2"/>
    <n v="5"/>
    <n v="196.42"/>
    <n v="29.46"/>
    <n v="952.63999999999987"/>
    <n v="47.63"/>
    <n v="10"/>
    <n v="0"/>
    <n v="1010.27"/>
    <n v="20"/>
    <x v="4"/>
  </r>
  <r>
    <s v="O0334"/>
    <s v="31-01-2025"/>
    <x v="31"/>
    <s v="Returning"/>
    <x v="4"/>
    <x v="1"/>
    <s v="441383"/>
    <s v="Upi"/>
    <x v="131"/>
    <x v="131"/>
    <x v="0"/>
    <n v="5"/>
    <n v="49"/>
    <n v="4.9000000000000004"/>
    <n v="240.1"/>
    <n v="12.01"/>
    <n v="20"/>
    <n v="0"/>
    <n v="272.11"/>
    <n v="24.67"/>
    <x v="1"/>
  </r>
  <r>
    <s v="O0335"/>
    <s v="30-01-2025"/>
    <x v="32"/>
    <s v="Bulk"/>
    <x v="0"/>
    <x v="2"/>
    <s v="630032"/>
    <s v="Upi"/>
    <x v="132"/>
    <x v="132"/>
    <x v="3"/>
    <n v="1"/>
    <n v="84.45"/>
    <n v="8.4499999999999993"/>
    <n v="76"/>
    <n v="3.8"/>
    <n v="30"/>
    <n v="10"/>
    <n v="119.8"/>
    <n v="15"/>
    <x v="4"/>
  </r>
  <r>
    <s v="O0336"/>
    <s v="11-02-2025"/>
    <x v="33"/>
    <s v="Returning"/>
    <x v="4"/>
    <x v="1"/>
    <s v="775159"/>
    <s v="Wallet"/>
    <x v="133"/>
    <x v="133"/>
    <x v="7"/>
    <n v="3"/>
    <n v="117.24"/>
    <n v="5.86"/>
    <n v="345.86"/>
    <n v="17.29"/>
    <n v="0"/>
    <n v="15"/>
    <n v="378.15"/>
    <n v="13"/>
    <x v="3"/>
  </r>
  <r>
    <s v="O0337"/>
    <s v="04-02-2025"/>
    <x v="34"/>
    <s v="Bulk"/>
    <x v="5"/>
    <x v="0"/>
    <s v="530442"/>
    <s v="Cod"/>
    <x v="134"/>
    <x v="134"/>
    <x v="8"/>
    <n v="4"/>
    <n v="120.39"/>
    <n v="6.02"/>
    <n v="475.54"/>
    <n v="23.78"/>
    <n v="30"/>
    <n v="5"/>
    <n v="534.32000000000005"/>
    <n v="23"/>
    <x v="3"/>
  </r>
  <r>
    <s v="O0338"/>
    <s v="07-01-2025"/>
    <x v="35"/>
    <s v="Bulk"/>
    <x v="5"/>
    <x v="0"/>
    <s v="572890"/>
    <s v="Wallet"/>
    <x v="135"/>
    <x v="135"/>
    <x v="3"/>
    <n v="2"/>
    <n v="54.11"/>
    <n v="2.71"/>
    <n v="105.51"/>
    <n v="5.28"/>
    <n v="10"/>
    <n v="0"/>
    <n v="120.79"/>
    <n v="21"/>
    <x v="3"/>
  </r>
  <r>
    <s v="O0339"/>
    <s v="01-03-2025"/>
    <x v="36"/>
    <s v="Bulk"/>
    <x v="5"/>
    <x v="2"/>
    <s v="304923"/>
    <s v="Card"/>
    <x v="136"/>
    <x v="136"/>
    <x v="7"/>
    <n v="2"/>
    <n v="49.28"/>
    <n v="0"/>
    <n v="98.56"/>
    <n v="4.93"/>
    <n v="10"/>
    <n v="5"/>
    <n v="118.49"/>
    <n v="20"/>
    <x v="0"/>
  </r>
  <r>
    <s v="O0340"/>
    <s v="16-01-2025"/>
    <x v="37"/>
    <s v="Bulk"/>
    <x v="3"/>
    <x v="0"/>
    <s v="302747"/>
    <s v="Wallet"/>
    <x v="137"/>
    <x v="137"/>
    <x v="4"/>
    <n v="5"/>
    <n v="161.82"/>
    <n v="0"/>
    <n v="809.09999999999991"/>
    <n v="40.450000000000003"/>
    <n v="20"/>
    <n v="20"/>
    <n v="889.55"/>
    <n v="21"/>
    <x v="4"/>
  </r>
  <r>
    <s v="O0341"/>
    <s v="26-01-2025"/>
    <x v="38"/>
    <s v="Bulk"/>
    <x v="1"/>
    <x v="2"/>
    <s v="159500"/>
    <s v="Netbanking"/>
    <x v="138"/>
    <x v="138"/>
    <x v="9"/>
    <n v="1"/>
    <n v="125.7"/>
    <n v="0"/>
    <n v="125.7"/>
    <n v="6.29"/>
    <n v="20"/>
    <n v="0"/>
    <n v="151.99"/>
    <n v="23"/>
    <x v="5"/>
  </r>
  <r>
    <s v="O0342"/>
    <s v="17-02-2025"/>
    <x v="39"/>
    <s v="Bulk"/>
    <x v="0"/>
    <x v="0"/>
    <s v="632844"/>
    <s v="Upi"/>
    <x v="139"/>
    <x v="139"/>
    <x v="2"/>
    <n v="3"/>
    <n v="118.9"/>
    <n v="5.95"/>
    <n v="350.75000000000011"/>
    <n v="17.54"/>
    <n v="20"/>
    <n v="20"/>
    <n v="408.29000000000008"/>
    <n v="28"/>
    <x v="6"/>
  </r>
  <r>
    <s v="O0343"/>
    <s v="26-02-2025"/>
    <x v="40"/>
    <s v="Returning"/>
    <x v="4"/>
    <x v="2"/>
    <s v="474313"/>
    <s v="Upi"/>
    <x v="140"/>
    <x v="140"/>
    <x v="0"/>
    <n v="4"/>
    <n v="150.05000000000001"/>
    <n v="7.5"/>
    <n v="592.70000000000005"/>
    <n v="29.64"/>
    <n v="30"/>
    <n v="0"/>
    <n v="652.34"/>
    <n v="24.67"/>
    <x v="2"/>
  </r>
  <r>
    <s v="O0344"/>
    <s v="21-02-2025"/>
    <x v="41"/>
    <s v="Bulk"/>
    <x v="3"/>
    <x v="0"/>
    <s v="847028"/>
    <s v="Phonepe"/>
    <x v="141"/>
    <x v="141"/>
    <x v="1"/>
    <n v="4"/>
    <n v="170.93"/>
    <n v="17.09"/>
    <n v="666.63"/>
    <n v="33.33"/>
    <n v="20"/>
    <n v="15"/>
    <n v="734.96"/>
    <n v="23"/>
    <x v="1"/>
  </r>
  <r>
    <s v="O0345"/>
    <s v="01-03-2025"/>
    <x v="42"/>
    <s v="Returning"/>
    <x v="4"/>
    <x v="0"/>
    <s v="971808"/>
    <s v="Gpay"/>
    <x v="142"/>
    <x v="142"/>
    <x v="9"/>
    <n v="2"/>
    <n v="123.67"/>
    <n v="0"/>
    <n v="247.34"/>
    <n v="12.37"/>
    <n v="30"/>
    <n v="20"/>
    <n v="309.70999999999998"/>
    <n v="24.67"/>
    <x v="0"/>
  </r>
  <r>
    <s v="O0346"/>
    <s v="18-02-2025"/>
    <x v="43"/>
    <s v="Bulk"/>
    <x v="2"/>
    <x v="1"/>
    <s v="662060"/>
    <s v="Wallet"/>
    <x v="143"/>
    <x v="143"/>
    <x v="2"/>
    <n v="3"/>
    <n v="55.64"/>
    <n v="0"/>
    <n v="166.92"/>
    <n v="8.35"/>
    <n v="30"/>
    <n v="5"/>
    <n v="210.27"/>
    <n v="27"/>
    <x v="3"/>
  </r>
  <r>
    <s v="O0347"/>
    <s v="02-01-2025"/>
    <x v="44"/>
    <s v="Bulk"/>
    <x v="1"/>
    <x v="2"/>
    <s v="943601"/>
    <s v="Phonepe"/>
    <x v="144"/>
    <x v="144"/>
    <x v="5"/>
    <n v="2"/>
    <n v="260.05"/>
    <n v="26.01"/>
    <n v="494.09"/>
    <n v="24.7"/>
    <n v="0"/>
    <n v="0"/>
    <n v="518.79000000000008"/>
    <n v="32"/>
    <x v="4"/>
  </r>
  <r>
    <s v="O0348"/>
    <s v="01-01-2025"/>
    <x v="45"/>
    <s v="Bulk"/>
    <x v="5"/>
    <x v="0"/>
    <s v="184754"/>
    <s v="Netbanking"/>
    <x v="145"/>
    <x v="145"/>
    <x v="6"/>
    <n v="4"/>
    <n v="186.06"/>
    <n v="0"/>
    <n v="744.24"/>
    <n v="37.21"/>
    <n v="20"/>
    <n v="20"/>
    <n v="821.45"/>
    <n v="44"/>
    <x v="2"/>
  </r>
  <r>
    <s v="O0349"/>
    <s v="17-02-2025"/>
    <x v="46"/>
    <s v="Bulk"/>
    <x v="5"/>
    <x v="0"/>
    <m/>
    <s v="Upi"/>
    <x v="146"/>
    <x v="146"/>
    <x v="9"/>
    <n v="2"/>
    <n v="43.45"/>
    <n v="4.3499999999999996"/>
    <n v="82.550000000000011"/>
    <n v="4.13"/>
    <n v="20"/>
    <n v="15"/>
    <n v="121.68"/>
    <n v="29"/>
    <x v="6"/>
  </r>
  <r>
    <s v="O0350"/>
    <s v="12-01-2025"/>
    <x v="47"/>
    <s v="New"/>
    <x v="4"/>
    <x v="1"/>
    <s v="888140"/>
    <s v="Card"/>
    <x v="147"/>
    <x v="147"/>
    <x v="1"/>
    <n v="4"/>
    <n v="219.87"/>
    <n v="10.99"/>
    <n v="868.49"/>
    <n v="43.42"/>
    <n v="10"/>
    <n v="20"/>
    <n v="941.91"/>
    <n v="40"/>
    <x v="5"/>
  </r>
  <r>
    <s v="O0351"/>
    <s v="05-01-2025"/>
    <x v="48"/>
    <s v="Bulk"/>
    <x v="5"/>
    <x v="3"/>
    <s v="126086"/>
    <s v="Netbanking"/>
    <x v="148"/>
    <x v="148"/>
    <x v="7"/>
    <n v="1"/>
    <n v="117.06"/>
    <n v="0"/>
    <n v="117.06"/>
    <n v="5.85"/>
    <n v="30"/>
    <n v="5"/>
    <n v="157.91"/>
    <n v="24.67"/>
    <x v="5"/>
  </r>
  <r>
    <s v="O0352"/>
    <s v="06-02-2025"/>
    <x v="49"/>
    <s v="Bulk"/>
    <x v="5"/>
    <x v="0"/>
    <s v="638181"/>
    <s v="Gpay"/>
    <x v="149"/>
    <x v="149"/>
    <x v="0"/>
    <n v="3"/>
    <n v="99.41"/>
    <n v="0"/>
    <n v="298.23"/>
    <n v="14.91"/>
    <n v="10"/>
    <n v="5"/>
    <n v="328.14"/>
    <n v="19"/>
    <x v="4"/>
  </r>
  <r>
    <s v="O0353"/>
    <s v="01-02-2025"/>
    <x v="50"/>
    <s v="Bulk"/>
    <x v="1"/>
    <x v="2"/>
    <s v="815371"/>
    <s v="Gpay"/>
    <x v="150"/>
    <x v="150"/>
    <x v="9"/>
    <n v="2"/>
    <n v="112.52"/>
    <n v="16.88"/>
    <n v="208.16"/>
    <n v="10.41"/>
    <n v="20"/>
    <n v="20"/>
    <n v="258.57"/>
    <n v="13"/>
    <x v="0"/>
  </r>
  <r>
    <s v="O0354"/>
    <s v="28-02-2025"/>
    <x v="51"/>
    <s v="Bulk"/>
    <x v="1"/>
    <x v="2"/>
    <s v="521280"/>
    <s v="Upi"/>
    <x v="151"/>
    <x v="151"/>
    <x v="5"/>
    <n v="5"/>
    <n v="116.92"/>
    <n v="11.69"/>
    <n v="572.91"/>
    <n v="28.65"/>
    <n v="10"/>
    <n v="0"/>
    <n v="611.55999999999995"/>
    <n v="10"/>
    <x v="1"/>
  </r>
  <r>
    <s v="O0355"/>
    <s v="24-02-2025"/>
    <x v="52"/>
    <s v="Bulk"/>
    <x v="5"/>
    <x v="2"/>
    <s v="244063"/>
    <s v="Upi"/>
    <x v="152"/>
    <x v="152"/>
    <x v="0"/>
    <n v="1"/>
    <n v="11.11"/>
    <n v="0.56000000000000005"/>
    <n v="10.55"/>
    <n v="0.53"/>
    <n v="20"/>
    <n v="20"/>
    <n v="51.08"/>
    <n v="44"/>
    <x v="6"/>
  </r>
  <r>
    <s v="O0356"/>
    <s v="09-01-2025"/>
    <x v="53"/>
    <s v="Bulk"/>
    <x v="1"/>
    <x v="0"/>
    <s v="514299"/>
    <s v="Gpay"/>
    <x v="153"/>
    <x v="153"/>
    <x v="9"/>
    <n v="8"/>
    <n v="103.82"/>
    <n v="0"/>
    <n v="830.56"/>
    <n v="41.53"/>
    <n v="20"/>
    <n v="0"/>
    <n v="892.08999999999992"/>
    <n v="23"/>
    <x v="4"/>
  </r>
  <r>
    <s v="O0357"/>
    <s v="10-02-2025"/>
    <x v="54"/>
    <s v="Bulk"/>
    <x v="3"/>
    <x v="0"/>
    <s v="928294"/>
    <s v="Gpay"/>
    <x v="154"/>
    <x v="154"/>
    <x v="6"/>
    <n v="4"/>
    <n v="151.27000000000001"/>
    <n v="7.56"/>
    <n v="597.5200000000001"/>
    <n v="29.88"/>
    <n v="20"/>
    <n v="5"/>
    <n v="652.40000000000009"/>
    <n v="31"/>
    <x v="6"/>
  </r>
  <r>
    <s v="O0358"/>
    <s v="04-02-2025"/>
    <x v="55"/>
    <s v="Bulk"/>
    <x v="1"/>
    <x v="1"/>
    <s v="908258"/>
    <s v="Gpay"/>
    <x v="155"/>
    <x v="155"/>
    <x v="7"/>
    <n v="5"/>
    <n v="107.73"/>
    <n v="16.16"/>
    <n v="522.49"/>
    <n v="26.12"/>
    <n v="20"/>
    <n v="15"/>
    <n v="583.61"/>
    <n v="17"/>
    <x v="3"/>
  </r>
  <r>
    <s v="O0359"/>
    <s v="19-01-2025"/>
    <x v="56"/>
    <s v="Bulk"/>
    <x v="2"/>
    <x v="1"/>
    <s v="281948"/>
    <s v="Phonepe"/>
    <x v="156"/>
    <x v="156"/>
    <x v="7"/>
    <n v="1"/>
    <n v="155.61000000000001"/>
    <n v="15.56"/>
    <n v="140.05000000000001"/>
    <n v="7"/>
    <n v="0"/>
    <n v="15"/>
    <n v="162.05000000000001"/>
    <n v="4"/>
    <x v="5"/>
  </r>
  <r>
    <s v="O0360"/>
    <s v="17-02-2025"/>
    <x v="57"/>
    <s v="Bulk"/>
    <x v="2"/>
    <x v="0"/>
    <s v="440093"/>
    <s v="Gpay"/>
    <x v="157"/>
    <x v="157"/>
    <x v="8"/>
    <n v="6"/>
    <n v="105.52"/>
    <n v="0"/>
    <n v="633.12"/>
    <n v="31.66"/>
    <n v="0"/>
    <n v="20"/>
    <n v="684.78"/>
    <n v="25"/>
    <x v="6"/>
  </r>
  <r>
    <s v="O0361"/>
    <s v="16-01-2025"/>
    <x v="58"/>
    <s v="Bulk"/>
    <x v="1"/>
    <x v="1"/>
    <s v="939319"/>
    <s v="Upi"/>
    <x v="158"/>
    <x v="158"/>
    <x v="0"/>
    <n v="5"/>
    <n v="185.07"/>
    <n v="9.25"/>
    <n v="916.09999999999991"/>
    <n v="45.8"/>
    <n v="20"/>
    <n v="10"/>
    <n v="991.89999999999986"/>
    <n v="29"/>
    <x v="4"/>
  </r>
  <r>
    <s v="O0362"/>
    <s v="03-01-2025"/>
    <x v="59"/>
    <s v="New"/>
    <x v="4"/>
    <x v="2"/>
    <s v="418766"/>
    <s v="Cod"/>
    <x v="159"/>
    <x v="159"/>
    <x v="0"/>
    <n v="3"/>
    <n v="223.55"/>
    <n v="11.18"/>
    <n v="659.47000000000014"/>
    <n v="32.97"/>
    <n v="30"/>
    <n v="10"/>
    <n v="732.44000000000017"/>
    <n v="24.67"/>
    <x v="1"/>
  </r>
  <r>
    <s v="O0363"/>
    <s v="20-01-2025"/>
    <x v="60"/>
    <s v="Bulk"/>
    <x v="1"/>
    <x v="1"/>
    <s v="731040"/>
    <s v="Cod"/>
    <x v="160"/>
    <x v="160"/>
    <x v="2"/>
    <n v="5"/>
    <n v="33.630000000000003"/>
    <n v="5.04"/>
    <n v="163.11000000000001"/>
    <n v="8.16"/>
    <n v="0"/>
    <n v="15"/>
    <n v="186.27"/>
    <n v="29"/>
    <x v="6"/>
  </r>
  <r>
    <s v="O0364"/>
    <s v="24-01-2025"/>
    <x v="61"/>
    <s v="Returning"/>
    <x v="4"/>
    <x v="0"/>
    <m/>
    <s v="Gpay"/>
    <x v="161"/>
    <x v="161"/>
    <x v="5"/>
    <n v="3"/>
    <n v="141.09"/>
    <n v="21.16"/>
    <n v="402.11"/>
    <n v="20.11"/>
    <n v="30"/>
    <n v="0"/>
    <n v="452.22"/>
    <n v="35"/>
    <x v="1"/>
  </r>
  <r>
    <s v="O0365"/>
    <s v="23-02-2025"/>
    <x v="62"/>
    <s v="Bulk"/>
    <x v="2"/>
    <x v="0"/>
    <s v="141869"/>
    <s v="Upi"/>
    <x v="162"/>
    <x v="162"/>
    <x v="7"/>
    <n v="6"/>
    <n v="78.23"/>
    <n v="7.82"/>
    <n v="461.56"/>
    <n v="23.08"/>
    <n v="0"/>
    <n v="20"/>
    <n v="504.64"/>
    <n v="29"/>
    <x v="5"/>
  </r>
  <r>
    <s v="O0366"/>
    <s v="25-02-2025"/>
    <x v="63"/>
    <s v="Bulk"/>
    <x v="0"/>
    <x v="1"/>
    <s v="684054"/>
    <s v="Gpay"/>
    <x v="163"/>
    <x v="163"/>
    <x v="6"/>
    <n v="1"/>
    <n v="6.38"/>
    <n v="0.96"/>
    <n v="5.42"/>
    <n v="0.27"/>
    <n v="0"/>
    <n v="20"/>
    <n v="25.69"/>
    <n v="27"/>
    <x v="3"/>
  </r>
  <r>
    <s v="O0367"/>
    <s v="02-02-2025"/>
    <x v="64"/>
    <s v="Bulk"/>
    <x v="0"/>
    <x v="1"/>
    <s v="987291"/>
    <s v="Gpay"/>
    <x v="164"/>
    <x v="164"/>
    <x v="3"/>
    <n v="2"/>
    <n v="157.69999999999999"/>
    <n v="0"/>
    <n v="315.39999999999998"/>
    <n v="15.77"/>
    <n v="20"/>
    <n v="5"/>
    <n v="356.17"/>
    <n v="8"/>
    <x v="5"/>
  </r>
  <r>
    <s v="O0368"/>
    <s v="24-01-2025"/>
    <x v="65"/>
    <s v="Bulk"/>
    <x v="3"/>
    <x v="0"/>
    <s v="223853"/>
    <s v="Card"/>
    <x v="165"/>
    <x v="165"/>
    <x v="9"/>
    <n v="1"/>
    <n v="103.25"/>
    <n v="15.49"/>
    <n v="87.76"/>
    <n v="4.3899999999999997"/>
    <n v="0"/>
    <n v="15"/>
    <n v="107.15"/>
    <n v="35"/>
    <x v="1"/>
  </r>
  <r>
    <s v="O0369"/>
    <s v="21-02-2025"/>
    <x v="66"/>
    <s v="Bulk"/>
    <x v="2"/>
    <x v="1"/>
    <s v="954336"/>
    <s v="Upi"/>
    <x v="166"/>
    <x v="166"/>
    <x v="0"/>
    <n v="2"/>
    <n v="78.14"/>
    <n v="0"/>
    <n v="156.28"/>
    <n v="7.81"/>
    <n v="10"/>
    <n v="5"/>
    <n v="179.09"/>
    <n v="22"/>
    <x v="1"/>
  </r>
  <r>
    <s v="O0370"/>
    <s v="11-01-2025"/>
    <x v="67"/>
    <s v="New"/>
    <x v="4"/>
    <x v="2"/>
    <s v="222258"/>
    <s v="Netbanking"/>
    <x v="167"/>
    <x v="167"/>
    <x v="4"/>
    <n v="1"/>
    <n v="31.36"/>
    <n v="3.14"/>
    <n v="28.22"/>
    <n v="1.41"/>
    <n v="10"/>
    <n v="10"/>
    <n v="49.63"/>
    <n v="27"/>
    <x v="0"/>
  </r>
  <r>
    <s v="O0371"/>
    <s v="18-02-2025"/>
    <x v="68"/>
    <s v="Bulk"/>
    <x v="2"/>
    <x v="2"/>
    <s v="662621"/>
    <s v="Phonepe"/>
    <x v="168"/>
    <x v="168"/>
    <x v="5"/>
    <n v="5"/>
    <n v="41.47"/>
    <n v="6.22"/>
    <n v="201.13"/>
    <n v="10.06"/>
    <n v="10"/>
    <n v="20"/>
    <n v="241.19"/>
    <n v="30"/>
    <x v="3"/>
  </r>
  <r>
    <s v="O0372"/>
    <s v="08-01-2025"/>
    <x v="69"/>
    <s v="Bulk"/>
    <x v="2"/>
    <x v="3"/>
    <s v="649523"/>
    <s v="Phonepe"/>
    <x v="169"/>
    <x v="169"/>
    <x v="2"/>
    <n v="1"/>
    <n v="198.04"/>
    <n v="0"/>
    <n v="198.04"/>
    <n v="9.9"/>
    <n v="20"/>
    <n v="0"/>
    <n v="227.94"/>
    <n v="24.67"/>
    <x v="2"/>
  </r>
  <r>
    <s v="O0373"/>
    <s v="05-02-2025"/>
    <x v="70"/>
    <s v="Bulk"/>
    <x v="1"/>
    <x v="1"/>
    <s v="247309"/>
    <s v="Upi"/>
    <x v="170"/>
    <x v="170"/>
    <x v="3"/>
    <n v="2"/>
    <n v="53.68"/>
    <n v="0"/>
    <n v="107.36"/>
    <n v="5.37"/>
    <n v="0"/>
    <n v="15"/>
    <n v="127.73"/>
    <n v="32"/>
    <x v="2"/>
  </r>
  <r>
    <s v="O0374"/>
    <s v="07-02-2025"/>
    <x v="71"/>
    <s v="Bulk"/>
    <x v="2"/>
    <x v="1"/>
    <s v="287450"/>
    <s v="Upi"/>
    <x v="171"/>
    <x v="171"/>
    <x v="5"/>
    <n v="3"/>
    <n v="150.33000000000001"/>
    <n v="22.55"/>
    <n v="428.44"/>
    <n v="21.42"/>
    <n v="20"/>
    <n v="10"/>
    <n v="479.86"/>
    <n v="14"/>
    <x v="1"/>
  </r>
  <r>
    <s v="O0375"/>
    <s v="09-02-2025"/>
    <x v="72"/>
    <s v="Returning"/>
    <x v="4"/>
    <x v="1"/>
    <s v="859710"/>
    <s v="Card"/>
    <x v="172"/>
    <x v="172"/>
    <x v="5"/>
    <n v="3"/>
    <n v="75.67"/>
    <n v="3.78"/>
    <n v="223.23"/>
    <n v="11.16"/>
    <n v="20"/>
    <n v="15"/>
    <n v="269.39"/>
    <n v="24.67"/>
    <x v="5"/>
  </r>
  <r>
    <s v="O0376"/>
    <s v="20-01-2025"/>
    <x v="73"/>
    <s v="Bulk"/>
    <x v="2"/>
    <x v="2"/>
    <s v="279838"/>
    <s v="Upi"/>
    <x v="173"/>
    <x v="173"/>
    <x v="5"/>
    <n v="4"/>
    <n v="78.319999999999993"/>
    <n v="3.92"/>
    <n v="309.36"/>
    <n v="15.47"/>
    <n v="10"/>
    <n v="15"/>
    <n v="349.83"/>
    <n v="20"/>
    <x v="6"/>
  </r>
  <r>
    <s v="O0377"/>
    <s v="04-02-2025"/>
    <x v="74"/>
    <s v="Bulk"/>
    <x v="2"/>
    <x v="2"/>
    <s v="913349"/>
    <s v="Cod"/>
    <x v="174"/>
    <x v="174"/>
    <x v="0"/>
    <n v="1"/>
    <n v="120.92"/>
    <n v="12.09"/>
    <n v="108.83"/>
    <n v="5.44"/>
    <n v="0"/>
    <n v="15"/>
    <n v="129.27000000000001"/>
    <n v="24.67"/>
    <x v="3"/>
  </r>
  <r>
    <s v="O0378"/>
    <s v="17-02-2025"/>
    <x v="75"/>
    <s v="Bulk"/>
    <x v="1"/>
    <x v="1"/>
    <s v="468266"/>
    <s v="Gpay"/>
    <x v="175"/>
    <x v="175"/>
    <x v="7"/>
    <n v="3"/>
    <n v="174.1"/>
    <n v="0"/>
    <n v="522.29999999999995"/>
    <n v="26.11"/>
    <n v="10"/>
    <n v="10"/>
    <n v="568.41"/>
    <n v="16"/>
    <x v="6"/>
  </r>
  <r>
    <s v="O0379"/>
    <s v="25-01-2025"/>
    <x v="76"/>
    <s v="Bulk"/>
    <x v="5"/>
    <x v="0"/>
    <s v="884282"/>
    <s v="Netbanking"/>
    <x v="176"/>
    <x v="176"/>
    <x v="5"/>
    <n v="5"/>
    <n v="109.83"/>
    <n v="16.47"/>
    <n v="532.67999999999995"/>
    <n v="26.63"/>
    <n v="20"/>
    <n v="0"/>
    <n v="579.30999999999995"/>
    <n v="26"/>
    <x v="0"/>
  </r>
  <r>
    <s v="O0380"/>
    <s v="04-02-2025"/>
    <x v="77"/>
    <s v="Bulk"/>
    <x v="5"/>
    <x v="1"/>
    <s v="233296"/>
    <s v="Gpay"/>
    <x v="177"/>
    <x v="177"/>
    <x v="4"/>
    <n v="3"/>
    <n v="183.6"/>
    <n v="18.36"/>
    <n v="532.43999999999994"/>
    <n v="26.62"/>
    <n v="20"/>
    <n v="0"/>
    <n v="579.05999999999995"/>
    <n v="23"/>
    <x v="3"/>
  </r>
  <r>
    <s v="O0381"/>
    <s v="25-01-2025"/>
    <x v="78"/>
    <s v="Bulk"/>
    <x v="0"/>
    <x v="0"/>
    <s v="865348"/>
    <s v="Phonepe"/>
    <x v="178"/>
    <x v="178"/>
    <x v="3"/>
    <n v="4"/>
    <n v="156.19999999999999"/>
    <n v="0"/>
    <n v="624.79999999999995"/>
    <n v="31.24"/>
    <n v="0"/>
    <n v="20"/>
    <n v="676.04"/>
    <n v="23"/>
    <x v="0"/>
  </r>
  <r>
    <s v="O0382"/>
    <s v="29-01-2025"/>
    <x v="79"/>
    <s v="Bulk"/>
    <x v="2"/>
    <x v="0"/>
    <m/>
    <s v="Cod"/>
    <x v="179"/>
    <x v="179"/>
    <x v="7"/>
    <n v="4"/>
    <n v="126.65"/>
    <n v="6.33"/>
    <n v="500.27"/>
    <n v="25.01"/>
    <n v="20"/>
    <n v="5"/>
    <n v="550.28000000000009"/>
    <n v="30"/>
    <x v="2"/>
  </r>
  <r>
    <s v="O0383"/>
    <s v="18-01-2025"/>
    <x v="80"/>
    <s v="Returning"/>
    <x v="4"/>
    <x v="0"/>
    <s v="985258"/>
    <s v="Upi"/>
    <x v="180"/>
    <x v="180"/>
    <x v="5"/>
    <n v="1"/>
    <n v="131.49"/>
    <n v="0"/>
    <n v="131.49"/>
    <n v="6.57"/>
    <n v="0"/>
    <n v="0"/>
    <n v="138.06"/>
    <n v="25"/>
    <x v="0"/>
  </r>
  <r>
    <s v="O0384"/>
    <s v="15-02-2025"/>
    <x v="81"/>
    <s v="Bulk"/>
    <x v="2"/>
    <x v="1"/>
    <s v="367986"/>
    <s v="Cod"/>
    <x v="181"/>
    <x v="181"/>
    <x v="1"/>
    <n v="3"/>
    <n v="131.84"/>
    <n v="0"/>
    <n v="395.52"/>
    <n v="19.78"/>
    <n v="30"/>
    <n v="10"/>
    <n v="455.3"/>
    <n v="23"/>
    <x v="0"/>
  </r>
  <r>
    <s v="O0385"/>
    <s v="18-01-2025"/>
    <x v="82"/>
    <s v="Returning"/>
    <x v="4"/>
    <x v="1"/>
    <s v="253077"/>
    <s v="Gpay"/>
    <x v="182"/>
    <x v="182"/>
    <x v="6"/>
    <n v="1"/>
    <n v="93.71"/>
    <n v="9.3699999999999992"/>
    <n v="84.339999999999989"/>
    <n v="4.22"/>
    <n v="30"/>
    <n v="20"/>
    <n v="138.56"/>
    <n v="24.67"/>
    <x v="0"/>
  </r>
  <r>
    <s v="O0386"/>
    <s v="02-01-2025"/>
    <x v="83"/>
    <s v="Bulk"/>
    <x v="2"/>
    <x v="0"/>
    <s v="691202"/>
    <s v="Gpay"/>
    <x v="183"/>
    <x v="183"/>
    <x v="4"/>
    <n v="3"/>
    <n v="120.03"/>
    <n v="0"/>
    <n v="360.09"/>
    <n v="18"/>
    <n v="30"/>
    <n v="5"/>
    <n v="413.09"/>
    <n v="31"/>
    <x v="4"/>
  </r>
  <r>
    <s v="O0387"/>
    <s v="23-02-2025"/>
    <x v="84"/>
    <s v="Bulk"/>
    <x v="1"/>
    <x v="1"/>
    <s v="102257"/>
    <s v="Upi"/>
    <x v="184"/>
    <x v="184"/>
    <x v="0"/>
    <n v="1"/>
    <n v="107.43"/>
    <n v="5.37"/>
    <n v="102.06"/>
    <n v="5.0999999999999996"/>
    <n v="30"/>
    <n v="20"/>
    <n v="157.16"/>
    <n v="19"/>
    <x v="5"/>
  </r>
  <r>
    <s v="O0388"/>
    <s v="04-02-2025"/>
    <x v="85"/>
    <s v="Bulk"/>
    <x v="5"/>
    <x v="2"/>
    <s v="443567"/>
    <s v="Cod"/>
    <x v="185"/>
    <x v="185"/>
    <x v="7"/>
    <n v="2"/>
    <n v="9.8800000000000008"/>
    <n v="0.49"/>
    <n v="19.27"/>
    <n v="0.96"/>
    <n v="0"/>
    <n v="20"/>
    <n v="40.229999999999997"/>
    <n v="38"/>
    <x v="3"/>
  </r>
  <r>
    <s v="O0389"/>
    <s v="16-01-2025"/>
    <x v="86"/>
    <s v="Bulk"/>
    <x v="3"/>
    <x v="2"/>
    <s v="438540"/>
    <s v="Phonepe"/>
    <x v="186"/>
    <x v="186"/>
    <x v="2"/>
    <n v="4"/>
    <n v="100.48"/>
    <n v="10.050000000000001"/>
    <n v="391.87"/>
    <n v="19.59"/>
    <n v="10"/>
    <n v="10"/>
    <n v="431.46"/>
    <n v="22"/>
    <x v="4"/>
  </r>
  <r>
    <s v="O0390"/>
    <s v="10-02-2025"/>
    <x v="87"/>
    <s v="Bulk"/>
    <x v="0"/>
    <x v="0"/>
    <s v="409521"/>
    <s v="Upi"/>
    <x v="187"/>
    <x v="187"/>
    <x v="5"/>
    <n v="3"/>
    <n v="160.37"/>
    <n v="16.04"/>
    <n v="465.07"/>
    <n v="23.25"/>
    <n v="0"/>
    <n v="5"/>
    <n v="493.32"/>
    <n v="23"/>
    <x v="6"/>
  </r>
  <r>
    <s v="O0391"/>
    <s v="05-02-2025"/>
    <x v="88"/>
    <s v="Bulk"/>
    <x v="1"/>
    <x v="1"/>
    <s v="416480"/>
    <s v="Wallet"/>
    <x v="188"/>
    <x v="188"/>
    <x v="2"/>
    <n v="3"/>
    <n v="99.61"/>
    <n v="14.94"/>
    <n v="283.89"/>
    <n v="14.19"/>
    <n v="10"/>
    <n v="20"/>
    <n v="328.08"/>
    <n v="24.67"/>
    <x v="2"/>
  </r>
  <r>
    <s v="O0392"/>
    <s v="02-02-2025"/>
    <x v="89"/>
    <s v="Bulk"/>
    <x v="0"/>
    <x v="1"/>
    <s v="241365"/>
    <s v="Upi"/>
    <x v="189"/>
    <x v="189"/>
    <x v="0"/>
    <n v="2"/>
    <n v="156.19"/>
    <n v="0"/>
    <n v="312.38"/>
    <n v="15.62"/>
    <n v="20"/>
    <n v="20"/>
    <n v="368"/>
    <n v="35"/>
    <x v="5"/>
  </r>
  <r>
    <s v="O0393"/>
    <s v="04-01-2025"/>
    <x v="90"/>
    <s v="Bulk"/>
    <x v="5"/>
    <x v="0"/>
    <s v="341225"/>
    <s v="Cod"/>
    <x v="190"/>
    <x v="190"/>
    <x v="6"/>
    <n v="4"/>
    <n v="15.37"/>
    <n v="0"/>
    <n v="61.48"/>
    <n v="3.07"/>
    <n v="0"/>
    <n v="10"/>
    <n v="74.55"/>
    <n v="24.67"/>
    <x v="0"/>
  </r>
  <r>
    <s v="O0394"/>
    <s v="02-02-2025"/>
    <x v="91"/>
    <s v="Returning"/>
    <x v="4"/>
    <x v="1"/>
    <s v="807173"/>
    <s v="Phonepe"/>
    <x v="191"/>
    <x v="191"/>
    <x v="6"/>
    <n v="3"/>
    <n v="106.28"/>
    <n v="0"/>
    <n v="318.83999999999997"/>
    <n v="15.94"/>
    <n v="10"/>
    <n v="5"/>
    <n v="349.78"/>
    <n v="15"/>
    <x v="5"/>
  </r>
  <r>
    <s v="O0395"/>
    <s v="14-01-2025"/>
    <x v="92"/>
    <s v="Bulk"/>
    <x v="2"/>
    <x v="0"/>
    <s v="756761"/>
    <s v="Netbanking"/>
    <x v="192"/>
    <x v="192"/>
    <x v="9"/>
    <n v="7"/>
    <n v="167.08"/>
    <n v="8.35"/>
    <n v="1161.21"/>
    <n v="58.06"/>
    <n v="10"/>
    <n v="5"/>
    <n v="1234.27"/>
    <n v="31"/>
    <x v="3"/>
  </r>
  <r>
    <s v="O0396"/>
    <s v="21-01-2025"/>
    <x v="93"/>
    <s v="Bulk"/>
    <x v="2"/>
    <x v="2"/>
    <s v="464662"/>
    <s v="Wallet"/>
    <x v="193"/>
    <x v="193"/>
    <x v="0"/>
    <n v="3"/>
    <n v="241.07"/>
    <n v="24.11"/>
    <n v="699.1"/>
    <n v="34.96"/>
    <n v="30"/>
    <n v="15"/>
    <n v="779.06000000000006"/>
    <n v="24.67"/>
    <x v="3"/>
  </r>
  <r>
    <s v="O0397"/>
    <s v="17-02-2025"/>
    <x v="94"/>
    <s v="Bulk"/>
    <x v="3"/>
    <x v="2"/>
    <s v="832763"/>
    <s v="Upi"/>
    <x v="194"/>
    <x v="194"/>
    <x v="7"/>
    <n v="3"/>
    <n v="162.91999999999999"/>
    <n v="16.29"/>
    <n v="472.47"/>
    <n v="23.62"/>
    <n v="30"/>
    <n v="15"/>
    <n v="541.08999999999992"/>
    <n v="32"/>
    <x v="6"/>
  </r>
  <r>
    <s v="O0398"/>
    <s v="20-01-2025"/>
    <x v="95"/>
    <s v="Bulk"/>
    <x v="1"/>
    <x v="2"/>
    <s v="980006"/>
    <s v="Phonepe"/>
    <x v="195"/>
    <x v="195"/>
    <x v="6"/>
    <n v="2"/>
    <n v="131.53"/>
    <n v="0"/>
    <n v="263.06"/>
    <n v="13.15"/>
    <n v="10"/>
    <n v="10"/>
    <n v="296.20999999999998"/>
    <n v="24.67"/>
    <x v="6"/>
  </r>
  <r>
    <s v="O0399"/>
    <s v="25-02-2025"/>
    <x v="96"/>
    <s v="Bulk"/>
    <x v="1"/>
    <x v="1"/>
    <s v="811028"/>
    <s v="Upi"/>
    <x v="196"/>
    <x v="196"/>
    <x v="2"/>
    <n v="3"/>
    <n v="212.94"/>
    <n v="0"/>
    <n v="638.81999999999994"/>
    <n v="31.94"/>
    <n v="10"/>
    <n v="20"/>
    <n v="700.76"/>
    <n v="34"/>
    <x v="3"/>
  </r>
  <r>
    <s v="O0400"/>
    <s v="08-01-2025"/>
    <x v="97"/>
    <s v="Bulk"/>
    <x v="1"/>
    <x v="2"/>
    <s v="284626"/>
    <s v="Phonepe"/>
    <x v="197"/>
    <x v="197"/>
    <x v="3"/>
    <n v="6"/>
    <n v="129.88999999999999"/>
    <n v="19.48"/>
    <n v="759.8599999999999"/>
    <n v="37.99"/>
    <n v="30"/>
    <n v="20"/>
    <n v="847.84999999999991"/>
    <n v="25"/>
    <x v="2"/>
  </r>
  <r>
    <s v="O0401"/>
    <s v="07-01-2025"/>
    <x v="98"/>
    <s v="Bulk"/>
    <x v="2"/>
    <x v="0"/>
    <m/>
    <s v="Netbanking"/>
    <x v="0"/>
    <x v="0"/>
    <x v="8"/>
    <n v="4"/>
    <n v="160.62"/>
    <n v="16.059999999999999"/>
    <n v="626.42000000000007"/>
    <n v="31.32"/>
    <n v="30"/>
    <n v="10"/>
    <n v="697.74000000000012"/>
    <n v="20"/>
    <x v="3"/>
  </r>
  <r>
    <s v="O0402"/>
    <s v="03-01-2025"/>
    <x v="99"/>
    <s v="New"/>
    <x v="4"/>
    <x v="0"/>
    <s v="192769"/>
    <s v="Card"/>
    <x v="1"/>
    <x v="1"/>
    <x v="7"/>
    <n v="2"/>
    <n v="137.87"/>
    <n v="0"/>
    <n v="275.74"/>
    <n v="13.79"/>
    <n v="0"/>
    <n v="15"/>
    <n v="304.52999999999997"/>
    <n v="24.67"/>
    <x v="1"/>
  </r>
  <r>
    <s v="O0403"/>
    <s v="17-01-2025"/>
    <x v="100"/>
    <s v="Returning"/>
    <x v="4"/>
    <x v="2"/>
    <s v="860278"/>
    <s v="Upi"/>
    <x v="198"/>
    <x v="198"/>
    <x v="0"/>
    <n v="4"/>
    <n v="82.8"/>
    <n v="0"/>
    <n v="331.2"/>
    <n v="16.559999999999999"/>
    <n v="30"/>
    <n v="0"/>
    <n v="377.76"/>
    <n v="49"/>
    <x v="1"/>
  </r>
  <r>
    <s v="O0404"/>
    <s v="02-02-2025"/>
    <x v="101"/>
    <s v="New"/>
    <x v="4"/>
    <x v="0"/>
    <s v="623406"/>
    <s v="Upi"/>
    <x v="199"/>
    <x v="199"/>
    <x v="5"/>
    <n v="4"/>
    <n v="226.37"/>
    <n v="11.32"/>
    <n v="894.16"/>
    <n v="44.71"/>
    <n v="10"/>
    <n v="15"/>
    <n v="963.87"/>
    <n v="25"/>
    <x v="5"/>
  </r>
  <r>
    <s v="O0405"/>
    <s v="17-02-2025"/>
    <x v="102"/>
    <s v="Bulk"/>
    <x v="3"/>
    <x v="3"/>
    <s v="269530"/>
    <s v="Upi"/>
    <x v="2"/>
    <x v="2"/>
    <x v="2"/>
    <n v="3"/>
    <n v="208.22"/>
    <n v="20.82"/>
    <n v="603.83999999999992"/>
    <n v="30.19"/>
    <n v="10"/>
    <n v="10"/>
    <n v="654.03"/>
    <n v="24.67"/>
    <x v="6"/>
  </r>
  <r>
    <s v="O0406"/>
    <s v="12-01-2025"/>
    <x v="103"/>
    <s v="Bulk"/>
    <x v="1"/>
    <x v="2"/>
    <s v="526009"/>
    <s v="Upi"/>
    <x v="3"/>
    <x v="3"/>
    <x v="9"/>
    <n v="3"/>
    <n v="166.1"/>
    <n v="0"/>
    <n v="498.3"/>
    <n v="24.91"/>
    <n v="0"/>
    <n v="0"/>
    <n v="523.20999999999992"/>
    <n v="39"/>
    <x v="5"/>
  </r>
  <r>
    <s v="O0407"/>
    <s v="28-02-2025"/>
    <x v="104"/>
    <s v="Bulk"/>
    <x v="5"/>
    <x v="0"/>
    <m/>
    <s v="Netbanking"/>
    <x v="4"/>
    <x v="4"/>
    <x v="3"/>
    <n v="2"/>
    <n v="171.88"/>
    <n v="8.59"/>
    <n v="335.17"/>
    <n v="16.760000000000002"/>
    <n v="10"/>
    <n v="15"/>
    <n v="376.93"/>
    <n v="24.67"/>
    <x v="1"/>
  </r>
  <r>
    <s v="O0408"/>
    <s v="20-02-2025"/>
    <x v="105"/>
    <s v="Bulk"/>
    <x v="2"/>
    <x v="1"/>
    <s v="656718"/>
    <s v="Upi"/>
    <x v="5"/>
    <x v="5"/>
    <x v="0"/>
    <n v="3"/>
    <n v="97.82"/>
    <n v="0"/>
    <n v="293.45999999999998"/>
    <n v="14.67"/>
    <n v="20"/>
    <n v="5"/>
    <n v="333.13"/>
    <n v="36"/>
    <x v="4"/>
  </r>
  <r>
    <s v="O0409"/>
    <s v="22-01-2025"/>
    <x v="106"/>
    <s v="Bulk"/>
    <x v="1"/>
    <x v="1"/>
    <s v="118990"/>
    <s v="Phonepe"/>
    <x v="6"/>
    <x v="6"/>
    <x v="9"/>
    <n v="4"/>
    <n v="105.96"/>
    <n v="15.89"/>
    <n v="407.95"/>
    <n v="20.399999999999999"/>
    <n v="20"/>
    <n v="20"/>
    <n v="468.35"/>
    <n v="29"/>
    <x v="2"/>
  </r>
  <r>
    <s v="O0410"/>
    <s v="24-02-2025"/>
    <x v="107"/>
    <s v="Bulk"/>
    <x v="5"/>
    <x v="2"/>
    <s v="593216"/>
    <s v="Upi"/>
    <x v="7"/>
    <x v="7"/>
    <x v="9"/>
    <n v="3"/>
    <n v="97.01"/>
    <n v="4.8499999999999996"/>
    <n v="286.18"/>
    <n v="14.31"/>
    <n v="0"/>
    <n v="10"/>
    <n v="310.49"/>
    <n v="16"/>
    <x v="6"/>
  </r>
  <r>
    <s v="O0411"/>
    <s v="22-01-2025"/>
    <x v="108"/>
    <s v="Bulk"/>
    <x v="3"/>
    <x v="0"/>
    <s v="184703"/>
    <s v="Card"/>
    <x v="8"/>
    <x v="8"/>
    <x v="8"/>
    <n v="7"/>
    <n v="122.27"/>
    <n v="6.11"/>
    <n v="849.78"/>
    <n v="42.49"/>
    <n v="20"/>
    <n v="20"/>
    <n v="932.27"/>
    <n v="30"/>
    <x v="2"/>
  </r>
  <r>
    <s v="O0412"/>
    <s v="15-02-2025"/>
    <x v="109"/>
    <s v="Returning"/>
    <x v="4"/>
    <x v="0"/>
    <m/>
    <s v="Cod"/>
    <x v="9"/>
    <x v="9"/>
    <x v="5"/>
    <n v="7"/>
    <n v="120.41"/>
    <n v="12.04"/>
    <n v="830.83"/>
    <n v="41.54"/>
    <n v="30"/>
    <n v="15"/>
    <n v="917.37"/>
    <n v="24.67"/>
    <x v="0"/>
  </r>
  <r>
    <s v="O0413"/>
    <s v="30-01-2025"/>
    <x v="110"/>
    <s v="Returning"/>
    <x v="4"/>
    <x v="1"/>
    <s v="953900"/>
    <s v="Gpay"/>
    <x v="10"/>
    <x v="10"/>
    <x v="3"/>
    <n v="4"/>
    <n v="131.08000000000001"/>
    <n v="6.55"/>
    <n v="517.7700000000001"/>
    <n v="25.89"/>
    <n v="0"/>
    <n v="0"/>
    <n v="543.66000000000008"/>
    <n v="46"/>
    <x v="4"/>
  </r>
  <r>
    <s v="O0414"/>
    <s v="07-02-2025"/>
    <x v="111"/>
    <s v="Bulk"/>
    <x v="3"/>
    <x v="2"/>
    <s v="667815"/>
    <s v="Upi"/>
    <x v="11"/>
    <x v="11"/>
    <x v="7"/>
    <n v="1"/>
    <n v="257.33999999999997"/>
    <n v="25.73"/>
    <n v="231.61"/>
    <n v="11.58"/>
    <n v="0"/>
    <n v="15"/>
    <n v="258.19"/>
    <n v="9"/>
    <x v="1"/>
  </r>
  <r>
    <s v="O0415"/>
    <s v="07-02-2025"/>
    <x v="112"/>
    <s v="Bulk"/>
    <x v="5"/>
    <x v="1"/>
    <s v="375011"/>
    <s v="Netbanking"/>
    <x v="12"/>
    <x v="12"/>
    <x v="6"/>
    <n v="3"/>
    <n v="142.27000000000001"/>
    <n v="7.11"/>
    <n v="419.7"/>
    <n v="20.99"/>
    <n v="0"/>
    <n v="0"/>
    <n v="440.69000000000011"/>
    <n v="17"/>
    <x v="1"/>
  </r>
  <r>
    <s v="O0416"/>
    <s v="14-02-2025"/>
    <x v="113"/>
    <s v="Bulk"/>
    <x v="5"/>
    <x v="0"/>
    <s v="950193"/>
    <s v="Wallet"/>
    <x v="13"/>
    <x v="13"/>
    <x v="6"/>
    <n v="3"/>
    <n v="24.11"/>
    <n v="3.62"/>
    <n v="68.709999999999994"/>
    <n v="3.44"/>
    <n v="30"/>
    <n v="5"/>
    <n v="107.15"/>
    <n v="29"/>
    <x v="1"/>
  </r>
  <r>
    <s v="O0417"/>
    <s v="20-02-2025"/>
    <x v="114"/>
    <s v="Returning"/>
    <x v="4"/>
    <x v="0"/>
    <s v="360220"/>
    <s v="Netbanking"/>
    <x v="14"/>
    <x v="14"/>
    <x v="9"/>
    <n v="1"/>
    <n v="129.41999999999999"/>
    <n v="19.41"/>
    <n v="110.01"/>
    <n v="5.5"/>
    <n v="30"/>
    <n v="0"/>
    <n v="145.51"/>
    <n v="30"/>
    <x v="4"/>
  </r>
  <r>
    <s v="O0418"/>
    <s v="23-02-2025"/>
    <x v="115"/>
    <s v="Bulk"/>
    <x v="5"/>
    <x v="0"/>
    <s v="316204"/>
    <s v="Upi"/>
    <x v="15"/>
    <x v="15"/>
    <x v="5"/>
    <n v="4"/>
    <n v="145.55000000000001"/>
    <n v="7.28"/>
    <n v="574.92000000000007"/>
    <n v="28.75"/>
    <n v="20"/>
    <n v="0"/>
    <n v="623.67000000000007"/>
    <n v="25"/>
    <x v="5"/>
  </r>
  <r>
    <s v="O0419"/>
    <s v="08-01-2025"/>
    <x v="116"/>
    <s v="Bulk"/>
    <x v="2"/>
    <x v="1"/>
    <s v="524528"/>
    <s v="Upi"/>
    <x v="16"/>
    <x v="16"/>
    <x v="0"/>
    <n v="3"/>
    <n v="151.72999999999999"/>
    <n v="7.59"/>
    <n v="447.6"/>
    <n v="22.38"/>
    <n v="30"/>
    <n v="0"/>
    <n v="499.98"/>
    <n v="22"/>
    <x v="2"/>
  </r>
  <r>
    <s v="O0420"/>
    <s v="27-01-2025"/>
    <x v="117"/>
    <s v="Bulk"/>
    <x v="5"/>
    <x v="2"/>
    <s v="599797"/>
    <s v="Cod"/>
    <x v="17"/>
    <x v="17"/>
    <x v="4"/>
    <n v="1"/>
    <n v="133.93"/>
    <n v="20.09"/>
    <n v="113.84"/>
    <n v="5.69"/>
    <n v="0"/>
    <n v="5"/>
    <n v="124.53"/>
    <n v="24.67"/>
    <x v="6"/>
  </r>
  <r>
    <s v="O0421"/>
    <s v="27-01-2025"/>
    <x v="118"/>
    <s v="Bulk"/>
    <x v="1"/>
    <x v="2"/>
    <s v="511236"/>
    <s v="Gpay"/>
    <x v="18"/>
    <x v="18"/>
    <x v="5"/>
    <n v="1"/>
    <n v="188.26"/>
    <n v="0"/>
    <n v="188.26"/>
    <n v="9.41"/>
    <n v="10"/>
    <n v="0"/>
    <n v="207.67"/>
    <n v="24.67"/>
    <x v="6"/>
  </r>
  <r>
    <s v="O0422"/>
    <s v="03-02-2025"/>
    <x v="119"/>
    <s v="Bulk"/>
    <x v="5"/>
    <x v="1"/>
    <s v="470858"/>
    <s v="Wallet"/>
    <x v="19"/>
    <x v="19"/>
    <x v="5"/>
    <n v="3"/>
    <n v="173.67"/>
    <n v="8.68"/>
    <n v="512.33000000000004"/>
    <n v="25.62"/>
    <n v="20"/>
    <n v="0"/>
    <n v="557.95000000000005"/>
    <n v="3"/>
    <x v="6"/>
  </r>
  <r>
    <s v="O0423"/>
    <s v="21-01-2025"/>
    <x v="120"/>
    <s v="Bulk"/>
    <x v="1"/>
    <x v="1"/>
    <s v="858108"/>
    <s v="Phonepe"/>
    <x v="20"/>
    <x v="20"/>
    <x v="3"/>
    <n v="3"/>
    <n v="40.6"/>
    <n v="2.0299999999999998"/>
    <n v="119.77"/>
    <n v="5.99"/>
    <n v="20"/>
    <n v="20"/>
    <n v="165.76"/>
    <n v="16"/>
    <x v="3"/>
  </r>
  <r>
    <s v="O0424"/>
    <s v="30-01-2025"/>
    <x v="121"/>
    <s v="Bulk"/>
    <x v="2"/>
    <x v="0"/>
    <s v="168323"/>
    <s v="Card"/>
    <x v="21"/>
    <x v="21"/>
    <x v="0"/>
    <n v="1"/>
    <n v="245.98"/>
    <n v="0"/>
    <n v="245.98"/>
    <n v="12.3"/>
    <n v="20"/>
    <n v="0"/>
    <n v="278.27999999999997"/>
    <n v="24.67"/>
    <x v="4"/>
  </r>
  <r>
    <s v="O0425"/>
    <s v="02-02-2025"/>
    <x v="122"/>
    <s v="Bulk"/>
    <x v="0"/>
    <x v="0"/>
    <s v="155841"/>
    <s v="Upi"/>
    <x v="22"/>
    <x v="22"/>
    <x v="9"/>
    <n v="2"/>
    <n v="74.52"/>
    <n v="3.73"/>
    <n v="145.31"/>
    <n v="7.27"/>
    <n v="30"/>
    <n v="5"/>
    <n v="187.58"/>
    <n v="9"/>
    <x v="5"/>
  </r>
  <r>
    <s v="O0426"/>
    <s v="28-01-2025"/>
    <x v="123"/>
    <s v="Bulk"/>
    <x v="1"/>
    <x v="1"/>
    <s v="103696"/>
    <s v="Netbanking"/>
    <x v="23"/>
    <x v="23"/>
    <x v="6"/>
    <n v="1"/>
    <n v="199.28"/>
    <n v="19.93"/>
    <n v="179.35"/>
    <n v="8.9700000000000006"/>
    <n v="0"/>
    <n v="15"/>
    <n v="203.32"/>
    <n v="27"/>
    <x v="3"/>
  </r>
  <r>
    <s v="O0427"/>
    <s v="16-02-2025"/>
    <x v="124"/>
    <s v="Bulk"/>
    <x v="5"/>
    <x v="1"/>
    <s v="939953"/>
    <s v="Card"/>
    <x v="24"/>
    <x v="24"/>
    <x v="2"/>
    <n v="3"/>
    <n v="17.72"/>
    <n v="0.89"/>
    <n v="52.27"/>
    <n v="2.61"/>
    <n v="30"/>
    <n v="0"/>
    <n v="84.88"/>
    <n v="20"/>
    <x v="5"/>
  </r>
  <r>
    <s v="O0428"/>
    <s v="02-02-2025"/>
    <x v="125"/>
    <s v="Bulk"/>
    <x v="1"/>
    <x v="1"/>
    <s v="867876"/>
    <s v="Netbanking"/>
    <x v="25"/>
    <x v="25"/>
    <x v="2"/>
    <n v="1"/>
    <n v="216.61"/>
    <n v="0"/>
    <n v="216.61"/>
    <n v="10.83"/>
    <n v="30"/>
    <n v="0"/>
    <n v="257.44000000000011"/>
    <n v="29"/>
    <x v="5"/>
  </r>
  <r>
    <s v="O0429"/>
    <s v="05-01-2025"/>
    <x v="126"/>
    <s v="Bulk"/>
    <x v="5"/>
    <x v="0"/>
    <s v="440676"/>
    <s v="Netbanking"/>
    <x v="26"/>
    <x v="26"/>
    <x v="3"/>
    <n v="4"/>
    <n v="95.58"/>
    <n v="9.56"/>
    <n v="372.76"/>
    <n v="18.64"/>
    <n v="10"/>
    <n v="0"/>
    <n v="401.4"/>
    <n v="31"/>
    <x v="5"/>
  </r>
  <r>
    <s v="O0430"/>
    <s v="01-03-2025"/>
    <x v="127"/>
    <s v="Returning"/>
    <x v="4"/>
    <x v="0"/>
    <s v="208946"/>
    <s v="Upi"/>
    <x v="27"/>
    <x v="27"/>
    <x v="8"/>
    <n v="3"/>
    <n v="222.12"/>
    <n v="11.11"/>
    <n v="655.25"/>
    <n v="32.76"/>
    <n v="20"/>
    <n v="5"/>
    <n v="713.01"/>
    <n v="41"/>
    <x v="0"/>
  </r>
  <r>
    <s v="O0431"/>
    <s v="17-02-2025"/>
    <x v="128"/>
    <s v="Bulk"/>
    <x v="0"/>
    <x v="2"/>
    <s v="728889"/>
    <s v="Cod"/>
    <x v="28"/>
    <x v="28"/>
    <x v="9"/>
    <n v="3"/>
    <n v="106.92"/>
    <n v="5.35"/>
    <n v="315.41000000000003"/>
    <n v="15.77"/>
    <n v="10"/>
    <n v="20"/>
    <n v="361.17999999999989"/>
    <n v="13"/>
    <x v="6"/>
  </r>
  <r>
    <s v="O0432"/>
    <s v="19-01-2025"/>
    <x v="129"/>
    <s v="Bulk"/>
    <x v="5"/>
    <x v="2"/>
    <s v="882215"/>
    <s v="Cod"/>
    <x v="29"/>
    <x v="29"/>
    <x v="6"/>
    <n v="2"/>
    <n v="175.3"/>
    <n v="8.77"/>
    <n v="341.83"/>
    <n v="17.09"/>
    <n v="10"/>
    <n v="10"/>
    <n v="378.92"/>
    <n v="10"/>
    <x v="5"/>
  </r>
  <r>
    <s v="O0433"/>
    <s v="04-01-2025"/>
    <x v="130"/>
    <s v="Bulk"/>
    <x v="3"/>
    <x v="2"/>
    <s v="507085"/>
    <s v="Upi"/>
    <x v="30"/>
    <x v="30"/>
    <x v="1"/>
    <n v="3"/>
    <n v="86.96"/>
    <n v="0"/>
    <n v="260.88"/>
    <n v="13.04"/>
    <n v="20"/>
    <n v="15"/>
    <n v="308.92"/>
    <n v="24.67"/>
    <x v="0"/>
  </r>
  <r>
    <s v="O0434"/>
    <s v="04-02-2025"/>
    <x v="131"/>
    <s v="Bulk"/>
    <x v="1"/>
    <x v="0"/>
    <s v="471994"/>
    <s v="Upi"/>
    <x v="31"/>
    <x v="31"/>
    <x v="5"/>
    <n v="1"/>
    <n v="36.25"/>
    <n v="3.62"/>
    <n v="32.630000000000003"/>
    <n v="1.63"/>
    <n v="30"/>
    <n v="0"/>
    <n v="64.260000000000005"/>
    <n v="26"/>
    <x v="3"/>
  </r>
  <r>
    <s v="O0435"/>
    <s v="18-02-2025"/>
    <x v="132"/>
    <s v="New"/>
    <x v="4"/>
    <x v="1"/>
    <s v="247745"/>
    <s v="Phonepe"/>
    <x v="32"/>
    <x v="32"/>
    <x v="9"/>
    <n v="2"/>
    <n v="177.46"/>
    <n v="17.75"/>
    <n v="337.17"/>
    <n v="16.86"/>
    <n v="0"/>
    <n v="5"/>
    <n v="359.03"/>
    <n v="35"/>
    <x v="3"/>
  </r>
  <r>
    <s v="O0436"/>
    <s v="17-01-2025"/>
    <x v="133"/>
    <s v="Bulk"/>
    <x v="0"/>
    <x v="0"/>
    <s v="870326"/>
    <s v="Upi"/>
    <x v="33"/>
    <x v="33"/>
    <x v="5"/>
    <n v="2"/>
    <n v="126.57"/>
    <n v="0"/>
    <n v="253.14"/>
    <n v="12.66"/>
    <n v="20"/>
    <n v="20"/>
    <n v="305.8"/>
    <n v="35"/>
    <x v="1"/>
  </r>
  <r>
    <s v="O0437"/>
    <s v="13-02-2025"/>
    <x v="134"/>
    <s v="Returning"/>
    <x v="4"/>
    <x v="2"/>
    <s v="812509"/>
    <s v="Cod"/>
    <x v="34"/>
    <x v="34"/>
    <x v="0"/>
    <n v="2"/>
    <n v="159.97"/>
    <n v="16"/>
    <n v="303.94"/>
    <n v="15.2"/>
    <n v="0"/>
    <n v="10"/>
    <n v="329.14"/>
    <n v="24.67"/>
    <x v="4"/>
  </r>
  <r>
    <s v="O0438"/>
    <s v="28-01-2025"/>
    <x v="135"/>
    <s v="New"/>
    <x v="4"/>
    <x v="1"/>
    <s v="863529"/>
    <s v="Phonepe"/>
    <x v="35"/>
    <x v="35"/>
    <x v="4"/>
    <n v="7"/>
    <n v="171.47"/>
    <n v="0"/>
    <n v="1200.29"/>
    <n v="60.01"/>
    <n v="0"/>
    <n v="0"/>
    <n v="1260.3"/>
    <n v="18"/>
    <x v="3"/>
  </r>
  <r>
    <s v="O0439"/>
    <s v="30-01-2025"/>
    <x v="136"/>
    <s v="Returning"/>
    <x v="4"/>
    <x v="1"/>
    <s v="924834"/>
    <s v="Phonepe"/>
    <x v="36"/>
    <x v="36"/>
    <x v="0"/>
    <n v="3"/>
    <n v="85.07"/>
    <n v="8.51"/>
    <n v="246.7"/>
    <n v="12.34"/>
    <n v="10"/>
    <n v="15"/>
    <n v="284.04000000000002"/>
    <n v="19"/>
    <x v="4"/>
  </r>
  <r>
    <s v="O0440"/>
    <s v="29-01-2025"/>
    <x v="137"/>
    <s v="Bulk"/>
    <x v="0"/>
    <x v="1"/>
    <s v="253484"/>
    <s v="Netbanking"/>
    <x v="37"/>
    <x v="37"/>
    <x v="2"/>
    <n v="1"/>
    <n v="62.05"/>
    <n v="9.31"/>
    <n v="52.739999999999988"/>
    <n v="2.64"/>
    <n v="0"/>
    <n v="5"/>
    <n v="60.38"/>
    <n v="14"/>
    <x v="2"/>
  </r>
  <r>
    <s v="O0441"/>
    <s v="15-02-2025"/>
    <x v="138"/>
    <s v="Bulk"/>
    <x v="0"/>
    <x v="2"/>
    <s v="768516"/>
    <s v="Phonepe"/>
    <x v="38"/>
    <x v="38"/>
    <x v="7"/>
    <n v="6"/>
    <n v="16.45"/>
    <n v="2.4700000000000002"/>
    <n v="96.22999999999999"/>
    <n v="4.8099999999999996"/>
    <n v="30"/>
    <n v="5"/>
    <n v="136.04"/>
    <n v="18"/>
    <x v="0"/>
  </r>
  <r>
    <s v="O0442"/>
    <s v="22-02-2025"/>
    <x v="139"/>
    <s v="Bulk"/>
    <x v="0"/>
    <x v="3"/>
    <s v="238286"/>
    <s v="Upi"/>
    <x v="39"/>
    <x v="39"/>
    <x v="2"/>
    <n v="4"/>
    <n v="154.78"/>
    <n v="7.74"/>
    <n v="611.38"/>
    <n v="30.57"/>
    <n v="0"/>
    <n v="0"/>
    <n v="641.95000000000005"/>
    <n v="21"/>
    <x v="0"/>
  </r>
  <r>
    <s v="O0443"/>
    <s v="06-01-2025"/>
    <x v="140"/>
    <s v="Bulk"/>
    <x v="0"/>
    <x v="0"/>
    <s v="904807"/>
    <s v="Card"/>
    <x v="40"/>
    <x v="40"/>
    <x v="7"/>
    <n v="1"/>
    <n v="84.15"/>
    <n v="0"/>
    <n v="84.15"/>
    <n v="4.21"/>
    <n v="10"/>
    <n v="15"/>
    <n v="113.36"/>
    <n v="39"/>
    <x v="6"/>
  </r>
  <r>
    <s v="O0444"/>
    <s v="04-02-2025"/>
    <x v="141"/>
    <s v="Returning"/>
    <x v="4"/>
    <x v="2"/>
    <s v="305776"/>
    <s v="Gpay"/>
    <x v="41"/>
    <x v="41"/>
    <x v="1"/>
    <n v="1"/>
    <n v="133.71"/>
    <n v="0"/>
    <n v="133.71"/>
    <n v="6.69"/>
    <n v="0"/>
    <n v="0"/>
    <n v="140.4"/>
    <n v="26"/>
    <x v="3"/>
  </r>
  <r>
    <s v="O0445"/>
    <s v="01-03-2025"/>
    <x v="142"/>
    <s v="Bulk"/>
    <x v="1"/>
    <x v="0"/>
    <s v="441102"/>
    <s v="Wallet"/>
    <x v="42"/>
    <x v="42"/>
    <x v="7"/>
    <n v="1"/>
    <n v="159.03"/>
    <n v="7.95"/>
    <n v="151.08000000000001"/>
    <n v="7.55"/>
    <n v="0"/>
    <n v="15"/>
    <n v="173.63"/>
    <n v="9"/>
    <x v="0"/>
  </r>
  <r>
    <s v="O0446"/>
    <s v="10-02-2025"/>
    <x v="143"/>
    <s v="Bulk"/>
    <x v="3"/>
    <x v="2"/>
    <s v="701891"/>
    <s v="Upi"/>
    <x v="43"/>
    <x v="43"/>
    <x v="3"/>
    <n v="4"/>
    <n v="168.2"/>
    <n v="25.23"/>
    <n v="647.56999999999994"/>
    <n v="32.380000000000003"/>
    <n v="20"/>
    <n v="20"/>
    <n v="719.94999999999993"/>
    <n v="32"/>
    <x v="6"/>
  </r>
  <r>
    <s v="O0447"/>
    <s v="06-02-2025"/>
    <x v="144"/>
    <s v="Bulk"/>
    <x v="0"/>
    <x v="1"/>
    <s v="907015"/>
    <s v="Upi"/>
    <x v="44"/>
    <x v="44"/>
    <x v="5"/>
    <n v="4"/>
    <n v="117.08"/>
    <n v="11.71"/>
    <n v="456.61"/>
    <n v="22.83"/>
    <n v="20"/>
    <n v="5"/>
    <n v="504.44"/>
    <n v="29"/>
    <x v="4"/>
  </r>
  <r>
    <s v="O0448"/>
    <s v="24-01-2025"/>
    <x v="145"/>
    <s v="Bulk"/>
    <x v="1"/>
    <x v="0"/>
    <s v="726256"/>
    <s v="Phonepe"/>
    <x v="45"/>
    <x v="45"/>
    <x v="1"/>
    <n v="2"/>
    <n v="133.22"/>
    <n v="19.98"/>
    <n v="246.46"/>
    <n v="12.32"/>
    <n v="10"/>
    <n v="5"/>
    <n v="273.77999999999997"/>
    <n v="31"/>
    <x v="1"/>
  </r>
  <r>
    <s v="O0449"/>
    <s v="29-01-2025"/>
    <x v="146"/>
    <s v="Bulk"/>
    <x v="2"/>
    <x v="1"/>
    <s v="142291"/>
    <s v="Card"/>
    <x v="46"/>
    <x v="46"/>
    <x v="5"/>
    <n v="3"/>
    <n v="97.91"/>
    <n v="4.9000000000000004"/>
    <n v="288.83"/>
    <n v="14.44"/>
    <n v="30"/>
    <n v="0"/>
    <n v="333.27"/>
    <n v="20"/>
    <x v="2"/>
  </r>
  <r>
    <s v="O0450"/>
    <s v="18-02-2025"/>
    <x v="147"/>
    <s v="Bulk"/>
    <x v="2"/>
    <x v="1"/>
    <s v="729698"/>
    <s v="Upi"/>
    <x v="47"/>
    <x v="47"/>
    <x v="9"/>
    <n v="4"/>
    <n v="188.47"/>
    <n v="28.27"/>
    <n v="725.61"/>
    <n v="36.28"/>
    <n v="0"/>
    <n v="10"/>
    <n v="771.89"/>
    <n v="24"/>
    <x v="3"/>
  </r>
  <r>
    <s v="O0451"/>
    <s v="15-02-2025"/>
    <x v="148"/>
    <s v="Bulk"/>
    <x v="2"/>
    <x v="1"/>
    <s v="396063"/>
    <s v="Gpay"/>
    <x v="48"/>
    <x v="48"/>
    <x v="5"/>
    <n v="4"/>
    <n v="197.48"/>
    <n v="19.75"/>
    <n v="770.17"/>
    <n v="38.51"/>
    <n v="20"/>
    <n v="0"/>
    <n v="828.68"/>
    <n v="8"/>
    <x v="0"/>
  </r>
  <r>
    <s v="O0452"/>
    <s v="22-02-2025"/>
    <x v="149"/>
    <s v="Bulk"/>
    <x v="0"/>
    <x v="1"/>
    <s v="471513"/>
    <s v="Netbanking"/>
    <x v="49"/>
    <x v="49"/>
    <x v="3"/>
    <n v="2"/>
    <n v="137.99"/>
    <n v="20.7"/>
    <n v="255.28"/>
    <n v="12.76"/>
    <n v="10"/>
    <n v="20"/>
    <n v="298.04000000000002"/>
    <n v="24.67"/>
    <x v="0"/>
  </r>
  <r>
    <s v="O0453"/>
    <s v="31-01-2025"/>
    <x v="150"/>
    <s v="New"/>
    <x v="4"/>
    <x v="0"/>
    <s v="694821"/>
    <s v="Upi"/>
    <x v="50"/>
    <x v="50"/>
    <x v="4"/>
    <n v="5"/>
    <n v="141.79"/>
    <n v="0"/>
    <n v="708.94999999999993"/>
    <n v="35.450000000000003"/>
    <n v="10"/>
    <n v="10"/>
    <n v="764.4"/>
    <n v="32"/>
    <x v="1"/>
  </r>
  <r>
    <s v="O0454"/>
    <s v="04-02-2025"/>
    <x v="151"/>
    <s v="Bulk"/>
    <x v="2"/>
    <x v="0"/>
    <s v="755348"/>
    <s v="Cod"/>
    <x v="51"/>
    <x v="51"/>
    <x v="8"/>
    <n v="1"/>
    <n v="150.04"/>
    <n v="22.51"/>
    <n v="127.53"/>
    <n v="6.38"/>
    <n v="20"/>
    <n v="20"/>
    <n v="173.91"/>
    <n v="25"/>
    <x v="3"/>
  </r>
  <r>
    <s v="O0455"/>
    <s v="01-03-2025"/>
    <x v="152"/>
    <s v="New"/>
    <x v="4"/>
    <x v="1"/>
    <s v="461447"/>
    <s v="Upi"/>
    <x v="52"/>
    <x v="52"/>
    <x v="3"/>
    <n v="6"/>
    <n v="122.4"/>
    <n v="18.36"/>
    <n v="716.04000000000008"/>
    <n v="35.799999999999997"/>
    <n v="30"/>
    <n v="0"/>
    <n v="781.84"/>
    <n v="24.67"/>
    <x v="0"/>
  </r>
  <r>
    <s v="O0456"/>
    <s v="02-02-2025"/>
    <x v="153"/>
    <s v="Bulk"/>
    <x v="1"/>
    <x v="2"/>
    <s v="746238"/>
    <s v="Netbanking"/>
    <x v="53"/>
    <x v="53"/>
    <x v="5"/>
    <n v="3"/>
    <n v="88.44"/>
    <n v="0"/>
    <n v="265.32"/>
    <n v="13.27"/>
    <n v="10"/>
    <n v="0"/>
    <n v="288.58999999999997"/>
    <n v="26"/>
    <x v="5"/>
  </r>
  <r>
    <s v="O0457"/>
    <s v="21-02-2025"/>
    <x v="154"/>
    <s v="Bulk"/>
    <x v="3"/>
    <x v="2"/>
    <s v="119477"/>
    <s v="Gpay"/>
    <x v="54"/>
    <x v="54"/>
    <x v="9"/>
    <n v="3"/>
    <n v="52.97"/>
    <n v="5.3"/>
    <n v="153.61000000000001"/>
    <n v="7.68"/>
    <n v="10"/>
    <n v="0"/>
    <n v="171.29"/>
    <n v="14"/>
    <x v="1"/>
  </r>
  <r>
    <s v="O0458"/>
    <s v="21-01-2025"/>
    <x v="155"/>
    <s v="Bulk"/>
    <x v="2"/>
    <x v="2"/>
    <s v="505105"/>
    <s v="Netbanking"/>
    <x v="55"/>
    <x v="55"/>
    <x v="8"/>
    <n v="5"/>
    <n v="157.02000000000001"/>
    <n v="7.85"/>
    <n v="777.25"/>
    <n v="38.86"/>
    <n v="20"/>
    <n v="10"/>
    <n v="846.11"/>
    <n v="29"/>
    <x v="3"/>
  </r>
  <r>
    <s v="O0459"/>
    <s v="01-02-2025"/>
    <x v="156"/>
    <s v="Bulk"/>
    <x v="3"/>
    <x v="0"/>
    <s v="345300"/>
    <s v="Netbanking"/>
    <x v="56"/>
    <x v="56"/>
    <x v="3"/>
    <n v="2"/>
    <n v="124.18"/>
    <n v="12.42"/>
    <n v="235.94"/>
    <n v="11.8"/>
    <n v="0"/>
    <n v="5"/>
    <n v="252.74"/>
    <n v="18"/>
    <x v="0"/>
  </r>
  <r>
    <s v="O0460"/>
    <s v="23-01-2025"/>
    <x v="157"/>
    <s v="Bulk"/>
    <x v="1"/>
    <x v="0"/>
    <s v="335419"/>
    <s v="Cod"/>
    <x v="57"/>
    <x v="57"/>
    <x v="6"/>
    <n v="1"/>
    <n v="38.840000000000003"/>
    <n v="1.94"/>
    <n v="36.900000000000013"/>
    <n v="1.85"/>
    <n v="10"/>
    <n v="0"/>
    <n v="48.750000000000007"/>
    <n v="23"/>
    <x v="4"/>
  </r>
  <r>
    <s v="O0461"/>
    <s v="02-02-2025"/>
    <x v="158"/>
    <s v="Bulk"/>
    <x v="1"/>
    <x v="1"/>
    <s v="709312"/>
    <s v="Phonepe"/>
    <x v="58"/>
    <x v="58"/>
    <x v="0"/>
    <n v="4"/>
    <n v="78.89"/>
    <n v="7.89"/>
    <n v="307.67"/>
    <n v="15.38"/>
    <n v="30"/>
    <n v="15"/>
    <n v="368.05"/>
    <n v="23"/>
    <x v="5"/>
  </r>
  <r>
    <s v="O0462"/>
    <s v="03-01-2025"/>
    <x v="159"/>
    <s v="Bulk"/>
    <x v="5"/>
    <x v="2"/>
    <s v="317813"/>
    <s v="Wallet"/>
    <x v="59"/>
    <x v="59"/>
    <x v="7"/>
    <n v="1"/>
    <n v="17.559999999999999"/>
    <n v="1.76"/>
    <n v="15.8"/>
    <n v="0.79"/>
    <n v="20"/>
    <n v="15"/>
    <n v="51.59"/>
    <n v="24.67"/>
    <x v="1"/>
  </r>
  <r>
    <s v="O0463"/>
    <s v="18-01-2025"/>
    <x v="160"/>
    <s v="Bulk"/>
    <x v="2"/>
    <x v="1"/>
    <s v="932595"/>
    <s v="Upi"/>
    <x v="60"/>
    <x v="60"/>
    <x v="9"/>
    <n v="2"/>
    <n v="110.2"/>
    <n v="11.02"/>
    <n v="209.38"/>
    <n v="10.47"/>
    <n v="20"/>
    <n v="0"/>
    <n v="239.85"/>
    <n v="26"/>
    <x v="0"/>
  </r>
  <r>
    <s v="O0464"/>
    <s v="25-01-2025"/>
    <x v="161"/>
    <s v="New"/>
    <x v="4"/>
    <x v="0"/>
    <s v="619570"/>
    <s v="Netbanking"/>
    <x v="61"/>
    <x v="61"/>
    <x v="3"/>
    <n v="2"/>
    <n v="187.04"/>
    <n v="28.06"/>
    <n v="346.02"/>
    <n v="17.3"/>
    <n v="30"/>
    <n v="5"/>
    <n v="398.32"/>
    <n v="39"/>
    <x v="0"/>
  </r>
  <r>
    <s v="O0465"/>
    <s v="11-02-2025"/>
    <x v="162"/>
    <s v="Bulk"/>
    <x v="0"/>
    <x v="3"/>
    <s v="676201"/>
    <s v="Upi"/>
    <x v="62"/>
    <x v="62"/>
    <x v="0"/>
    <n v="3"/>
    <n v="200.14"/>
    <n v="20.010000000000002"/>
    <n v="580.41"/>
    <n v="29.02"/>
    <n v="0"/>
    <n v="20"/>
    <n v="629.42999999999995"/>
    <n v="15"/>
    <x v="3"/>
  </r>
  <r>
    <s v="O0466"/>
    <s v="31-01-2025"/>
    <x v="163"/>
    <s v="New"/>
    <x v="4"/>
    <x v="2"/>
    <s v="861401"/>
    <s v="Netbanking"/>
    <x v="63"/>
    <x v="63"/>
    <x v="5"/>
    <n v="1"/>
    <n v="144.29"/>
    <n v="7.21"/>
    <n v="137.08000000000001"/>
    <n v="6.85"/>
    <n v="0"/>
    <n v="5"/>
    <n v="148.93"/>
    <n v="24"/>
    <x v="1"/>
  </r>
  <r>
    <s v="O0467"/>
    <s v="23-02-2025"/>
    <x v="164"/>
    <s v="Bulk"/>
    <x v="2"/>
    <x v="1"/>
    <s v="480634"/>
    <s v="Upi"/>
    <x v="64"/>
    <x v="64"/>
    <x v="7"/>
    <n v="2"/>
    <n v="64.55"/>
    <n v="3.23"/>
    <n v="125.87"/>
    <n v="6.29"/>
    <n v="0"/>
    <n v="10"/>
    <n v="142.16"/>
    <n v="18"/>
    <x v="5"/>
  </r>
  <r>
    <s v="O0468"/>
    <s v="27-02-2025"/>
    <x v="165"/>
    <s v="Bulk"/>
    <x v="5"/>
    <x v="0"/>
    <s v="145833"/>
    <s v="Gpay"/>
    <x v="65"/>
    <x v="65"/>
    <x v="6"/>
    <n v="6"/>
    <n v="72.17"/>
    <n v="3.61"/>
    <n v="429.41"/>
    <n v="21.47"/>
    <n v="10"/>
    <n v="10"/>
    <n v="470.88"/>
    <n v="24.67"/>
    <x v="4"/>
  </r>
  <r>
    <s v="O0469"/>
    <s v="03-01-2025"/>
    <x v="166"/>
    <s v="Bulk"/>
    <x v="5"/>
    <x v="2"/>
    <s v="564507"/>
    <s v="Cod"/>
    <x v="66"/>
    <x v="66"/>
    <x v="5"/>
    <n v="3"/>
    <n v="222.34"/>
    <n v="0"/>
    <n v="667.02"/>
    <n v="33.35"/>
    <n v="10"/>
    <n v="5"/>
    <n v="715.37"/>
    <n v="26"/>
    <x v="1"/>
  </r>
  <r>
    <s v="O0470"/>
    <s v="09-02-2025"/>
    <x v="167"/>
    <s v="Bulk"/>
    <x v="5"/>
    <x v="2"/>
    <s v="719164"/>
    <s v="Gpay"/>
    <x v="67"/>
    <x v="67"/>
    <x v="7"/>
    <n v="6"/>
    <n v="149.36000000000001"/>
    <n v="0"/>
    <n v="896.16000000000008"/>
    <n v="44.81"/>
    <n v="0"/>
    <n v="15"/>
    <n v="955.97"/>
    <n v="17"/>
    <x v="5"/>
  </r>
  <r>
    <s v="O0471"/>
    <s v="15-02-2025"/>
    <x v="168"/>
    <s v="New"/>
    <x v="4"/>
    <x v="1"/>
    <s v="588019"/>
    <s v="Gpay"/>
    <x v="68"/>
    <x v="68"/>
    <x v="0"/>
    <n v="3"/>
    <n v="225.94"/>
    <n v="11.3"/>
    <n v="666.52"/>
    <n v="33.33"/>
    <n v="0"/>
    <n v="15"/>
    <n v="714.85"/>
    <n v="18"/>
    <x v="0"/>
  </r>
  <r>
    <s v="O0472"/>
    <s v="24-01-2025"/>
    <x v="169"/>
    <s v="Bulk"/>
    <x v="3"/>
    <x v="2"/>
    <s v="473216"/>
    <s v="Netbanking"/>
    <x v="69"/>
    <x v="69"/>
    <x v="9"/>
    <n v="3"/>
    <n v="67.45"/>
    <n v="10.119999999999999"/>
    <n v="192.23"/>
    <n v="9.61"/>
    <n v="20"/>
    <n v="0"/>
    <n v="221.84"/>
    <n v="33"/>
    <x v="1"/>
  </r>
  <r>
    <s v="O0473"/>
    <s v="19-02-2025"/>
    <x v="170"/>
    <s v="Bulk"/>
    <x v="3"/>
    <x v="2"/>
    <s v="530179"/>
    <s v="Card"/>
    <x v="70"/>
    <x v="70"/>
    <x v="0"/>
    <n v="1"/>
    <n v="171.39"/>
    <n v="25.71"/>
    <n v="145.68"/>
    <n v="7.28"/>
    <n v="30"/>
    <n v="20"/>
    <n v="202.96"/>
    <n v="42"/>
    <x v="2"/>
  </r>
  <r>
    <s v="O0474"/>
    <s v="01-02-2025"/>
    <x v="171"/>
    <s v="Bulk"/>
    <x v="2"/>
    <x v="1"/>
    <s v="461719"/>
    <s v="Card"/>
    <x v="71"/>
    <x v="71"/>
    <x v="1"/>
    <n v="7"/>
    <n v="61.35"/>
    <n v="6.14"/>
    <n v="423.31"/>
    <n v="21.17"/>
    <n v="10"/>
    <n v="10"/>
    <n v="464.48"/>
    <n v="30"/>
    <x v="0"/>
  </r>
  <r>
    <s v="O0475"/>
    <s v="16-02-2025"/>
    <x v="172"/>
    <s v="Bulk"/>
    <x v="3"/>
    <x v="2"/>
    <s v="941708"/>
    <s v="Card"/>
    <x v="72"/>
    <x v="72"/>
    <x v="5"/>
    <n v="3"/>
    <n v="219.86"/>
    <n v="21.99"/>
    <n v="637.59"/>
    <n v="31.88"/>
    <n v="20"/>
    <n v="10"/>
    <n v="699.47"/>
    <n v="32"/>
    <x v="5"/>
  </r>
  <r>
    <s v="O0476"/>
    <s v="22-01-2025"/>
    <x v="173"/>
    <s v="Bulk"/>
    <x v="0"/>
    <x v="1"/>
    <s v="838096"/>
    <s v="Netbanking"/>
    <x v="73"/>
    <x v="73"/>
    <x v="9"/>
    <n v="2"/>
    <n v="117.39"/>
    <n v="0"/>
    <n v="234.78"/>
    <n v="11.74"/>
    <n v="30"/>
    <n v="20"/>
    <n v="296.52"/>
    <n v="24.67"/>
    <x v="2"/>
  </r>
  <r>
    <s v="O0477"/>
    <s v="23-01-2025"/>
    <x v="174"/>
    <s v="Bulk"/>
    <x v="5"/>
    <x v="0"/>
    <s v="375049"/>
    <s v="Upi"/>
    <x v="74"/>
    <x v="74"/>
    <x v="9"/>
    <n v="4"/>
    <n v="124.02"/>
    <n v="6.2"/>
    <n v="489.88"/>
    <n v="24.49"/>
    <n v="0"/>
    <n v="0"/>
    <n v="514.37"/>
    <n v="36"/>
    <x v="4"/>
  </r>
  <r>
    <s v="O0478"/>
    <s v="02-01-2025"/>
    <x v="175"/>
    <s v="Bulk"/>
    <x v="0"/>
    <x v="0"/>
    <s v="471344"/>
    <s v="Netbanking"/>
    <x v="75"/>
    <x v="75"/>
    <x v="2"/>
    <n v="2"/>
    <n v="70.12"/>
    <n v="0"/>
    <n v="140.24"/>
    <n v="7.01"/>
    <n v="0"/>
    <n v="0"/>
    <n v="147.25"/>
    <n v="31"/>
    <x v="4"/>
  </r>
  <r>
    <s v="O0479"/>
    <s v="27-01-2025"/>
    <x v="176"/>
    <s v="Bulk"/>
    <x v="5"/>
    <x v="0"/>
    <s v="359480"/>
    <s v="Wallet"/>
    <x v="76"/>
    <x v="76"/>
    <x v="2"/>
    <n v="6"/>
    <n v="119.18"/>
    <n v="5.96"/>
    <n v="709.12"/>
    <n v="35.46"/>
    <n v="30"/>
    <n v="20"/>
    <n v="794.58"/>
    <n v="27"/>
    <x v="6"/>
  </r>
  <r>
    <s v="O0480"/>
    <s v="11-02-2025"/>
    <x v="177"/>
    <s v="Bulk"/>
    <x v="0"/>
    <x v="1"/>
    <s v="233498"/>
    <s v="Gpay"/>
    <x v="77"/>
    <x v="77"/>
    <x v="1"/>
    <n v="2"/>
    <n v="23.67"/>
    <n v="2.37"/>
    <n v="44.970000000000013"/>
    <n v="2.25"/>
    <n v="10"/>
    <n v="0"/>
    <n v="57.220000000000013"/>
    <n v="20"/>
    <x v="3"/>
  </r>
  <r>
    <s v="O0481"/>
    <s v="02-01-2025"/>
    <x v="178"/>
    <s v="Bulk"/>
    <x v="1"/>
    <x v="1"/>
    <s v="818316"/>
    <s v="Netbanking"/>
    <x v="78"/>
    <x v="78"/>
    <x v="1"/>
    <n v="6"/>
    <n v="202.89"/>
    <n v="30.43"/>
    <n v="1186.9100000000001"/>
    <n v="59.35"/>
    <n v="0"/>
    <n v="5"/>
    <n v="1251.26"/>
    <n v="37"/>
    <x v="4"/>
  </r>
  <r>
    <s v="O0482"/>
    <s v="26-01-2025"/>
    <x v="179"/>
    <s v="Bulk"/>
    <x v="3"/>
    <x v="1"/>
    <m/>
    <s v="Netbanking"/>
    <x v="79"/>
    <x v="79"/>
    <x v="6"/>
    <n v="5"/>
    <n v="141.55000000000001"/>
    <n v="21.23"/>
    <n v="686.52"/>
    <n v="34.33"/>
    <n v="20"/>
    <n v="10"/>
    <n v="750.85"/>
    <n v="24.67"/>
    <x v="5"/>
  </r>
  <r>
    <s v="O0483"/>
    <s v="17-01-2025"/>
    <x v="180"/>
    <s v="Bulk"/>
    <x v="0"/>
    <x v="0"/>
    <s v="333540"/>
    <s v="Netbanking"/>
    <x v="80"/>
    <x v="80"/>
    <x v="3"/>
    <n v="4"/>
    <n v="115.55"/>
    <n v="11.55"/>
    <n v="450.65"/>
    <n v="22.53"/>
    <n v="0"/>
    <n v="5"/>
    <n v="478.17999999999989"/>
    <n v="24.67"/>
    <x v="1"/>
  </r>
  <r>
    <s v="O0484"/>
    <s v="09-02-2025"/>
    <x v="181"/>
    <s v="New"/>
    <x v="4"/>
    <x v="2"/>
    <s v="281561"/>
    <s v="Card"/>
    <x v="81"/>
    <x v="81"/>
    <x v="6"/>
    <n v="2"/>
    <n v="61.61"/>
    <n v="9.24"/>
    <n v="113.98"/>
    <n v="5.7"/>
    <n v="0"/>
    <n v="0"/>
    <n v="119.68"/>
    <n v="6"/>
    <x v="5"/>
  </r>
  <r>
    <s v="O0485"/>
    <s v="02-02-2025"/>
    <x v="182"/>
    <s v="Bulk"/>
    <x v="0"/>
    <x v="2"/>
    <s v="500826"/>
    <s v="Netbanking"/>
    <x v="82"/>
    <x v="82"/>
    <x v="2"/>
    <n v="6"/>
    <n v="218.05"/>
    <n v="32.71"/>
    <n v="1275.5899999999999"/>
    <n v="63.78"/>
    <n v="0"/>
    <n v="0"/>
    <n v="1339.37"/>
    <n v="29"/>
    <x v="5"/>
  </r>
  <r>
    <s v="O0486"/>
    <s v="09-01-2025"/>
    <x v="183"/>
    <s v="Bulk"/>
    <x v="2"/>
    <x v="2"/>
    <s v="462441"/>
    <s v="Cod"/>
    <x v="83"/>
    <x v="83"/>
    <x v="9"/>
    <n v="3"/>
    <n v="175"/>
    <n v="26.25"/>
    <n v="498.75"/>
    <n v="24.94"/>
    <n v="20"/>
    <n v="20"/>
    <n v="563.69000000000005"/>
    <n v="18"/>
    <x v="4"/>
  </r>
  <r>
    <s v="O0487"/>
    <s v="12-02-2025"/>
    <x v="184"/>
    <s v="Bulk"/>
    <x v="0"/>
    <x v="1"/>
    <s v="182409"/>
    <s v="Upi"/>
    <x v="84"/>
    <x v="84"/>
    <x v="5"/>
    <n v="1"/>
    <n v="125.55"/>
    <n v="12.55"/>
    <n v="113"/>
    <n v="5.65"/>
    <n v="30"/>
    <n v="0"/>
    <n v="148.65"/>
    <n v="17"/>
    <x v="2"/>
  </r>
  <r>
    <s v="O0488"/>
    <s v="23-02-2025"/>
    <x v="185"/>
    <s v="Bulk"/>
    <x v="3"/>
    <x v="2"/>
    <s v="108024"/>
    <s v="Upi"/>
    <x v="85"/>
    <x v="85"/>
    <x v="4"/>
    <n v="3"/>
    <n v="37.44"/>
    <n v="1.87"/>
    <n v="110.45"/>
    <n v="5.52"/>
    <n v="30"/>
    <n v="15"/>
    <n v="160.97"/>
    <n v="21"/>
    <x v="5"/>
  </r>
  <r>
    <s v="O0489"/>
    <s v="17-02-2025"/>
    <x v="186"/>
    <s v="Bulk"/>
    <x v="5"/>
    <x v="2"/>
    <s v="243927"/>
    <s v="Wallet"/>
    <x v="86"/>
    <x v="86"/>
    <x v="0"/>
    <n v="4"/>
    <n v="96.67"/>
    <n v="9.67"/>
    <n v="377.01"/>
    <n v="18.850000000000001"/>
    <n v="0"/>
    <n v="20"/>
    <n v="415.86"/>
    <n v="28"/>
    <x v="6"/>
  </r>
  <r>
    <s v="O0490"/>
    <s v="08-02-2025"/>
    <x v="187"/>
    <s v="Bulk"/>
    <x v="2"/>
    <x v="0"/>
    <s v="497674"/>
    <s v="Gpay"/>
    <x v="87"/>
    <x v="87"/>
    <x v="6"/>
    <n v="4"/>
    <n v="94.78"/>
    <n v="4.74"/>
    <n v="374.38"/>
    <n v="18.72"/>
    <n v="30"/>
    <n v="10"/>
    <n v="433.1"/>
    <n v="38"/>
    <x v="0"/>
  </r>
  <r>
    <s v="O0491"/>
    <s v="29-01-2025"/>
    <x v="188"/>
    <s v="Returning"/>
    <x v="4"/>
    <x v="2"/>
    <s v="105668"/>
    <s v="Wallet"/>
    <x v="88"/>
    <x v="88"/>
    <x v="7"/>
    <n v="5"/>
    <n v="146.16"/>
    <n v="0"/>
    <n v="730.8"/>
    <n v="36.54"/>
    <n v="0"/>
    <n v="15"/>
    <n v="782.33999999999992"/>
    <n v="44"/>
    <x v="2"/>
  </r>
  <r>
    <s v="O0492"/>
    <s v="11-02-2025"/>
    <x v="189"/>
    <s v="Bulk"/>
    <x v="0"/>
    <x v="2"/>
    <s v="730421"/>
    <s v="Netbanking"/>
    <x v="89"/>
    <x v="89"/>
    <x v="6"/>
    <n v="1"/>
    <n v="96.21"/>
    <n v="9.6199999999999992"/>
    <n v="86.589999999999989"/>
    <n v="4.33"/>
    <n v="30"/>
    <n v="15"/>
    <n v="135.91999999999999"/>
    <n v="38"/>
    <x v="3"/>
  </r>
  <r>
    <s v="O0493"/>
    <s v="24-02-2025"/>
    <x v="190"/>
    <s v="New"/>
    <x v="4"/>
    <x v="0"/>
    <s v="188835"/>
    <s v="Netbanking"/>
    <x v="90"/>
    <x v="90"/>
    <x v="1"/>
    <n v="3"/>
    <n v="200.57"/>
    <n v="10.029999999999999"/>
    <n v="591.68000000000006"/>
    <n v="29.58"/>
    <n v="0"/>
    <n v="15"/>
    <n v="636.2600000000001"/>
    <n v="24.67"/>
    <x v="6"/>
  </r>
  <r>
    <s v="O0494"/>
    <s v="26-01-2025"/>
    <x v="191"/>
    <s v="New"/>
    <x v="4"/>
    <x v="2"/>
    <s v="824174"/>
    <s v="Gpay"/>
    <x v="91"/>
    <x v="91"/>
    <x v="9"/>
    <n v="1"/>
    <n v="217.57"/>
    <n v="21.76"/>
    <n v="195.81"/>
    <n v="9.7899999999999991"/>
    <n v="20"/>
    <n v="0"/>
    <n v="225.6"/>
    <n v="32"/>
    <x v="5"/>
  </r>
  <r>
    <s v="O0495"/>
    <s v="04-02-2025"/>
    <x v="192"/>
    <s v="Bulk"/>
    <x v="5"/>
    <x v="1"/>
    <s v="468760"/>
    <s v="Gpay"/>
    <x v="92"/>
    <x v="92"/>
    <x v="8"/>
    <n v="2"/>
    <n v="178.74"/>
    <n v="26.81"/>
    <n v="330.67"/>
    <n v="16.53"/>
    <n v="30"/>
    <n v="15"/>
    <n v="392.2"/>
    <n v="14"/>
    <x v="3"/>
  </r>
  <r>
    <s v="O0496"/>
    <s v="19-02-2025"/>
    <x v="193"/>
    <s v="New"/>
    <x v="4"/>
    <x v="0"/>
    <s v="409550"/>
    <s v="Gpay"/>
    <x v="93"/>
    <x v="93"/>
    <x v="0"/>
    <n v="1"/>
    <n v="90.46"/>
    <n v="0"/>
    <n v="90.46"/>
    <n v="4.5199999999999996"/>
    <n v="20"/>
    <n v="20"/>
    <n v="134.97999999999999"/>
    <n v="33"/>
    <x v="2"/>
  </r>
  <r>
    <s v="O0497"/>
    <s v="25-01-2025"/>
    <x v="194"/>
    <s v="Bulk"/>
    <x v="2"/>
    <x v="0"/>
    <s v="752416"/>
    <s v="Gpay"/>
    <x v="94"/>
    <x v="94"/>
    <x v="9"/>
    <n v="4"/>
    <n v="78.34"/>
    <n v="7.83"/>
    <n v="305.52999999999997"/>
    <n v="15.28"/>
    <n v="20"/>
    <n v="20"/>
    <n v="360.81"/>
    <n v="28"/>
    <x v="0"/>
  </r>
  <r>
    <s v="O0498"/>
    <s v="24-01-2025"/>
    <x v="195"/>
    <s v="Bulk"/>
    <x v="3"/>
    <x v="1"/>
    <s v="776585"/>
    <s v="Gpay"/>
    <x v="95"/>
    <x v="95"/>
    <x v="9"/>
    <n v="1"/>
    <n v="70.48"/>
    <n v="10.57"/>
    <n v="59.91"/>
    <n v="3"/>
    <n v="0"/>
    <n v="15"/>
    <n v="77.91"/>
    <n v="24.67"/>
    <x v="1"/>
  </r>
  <r>
    <s v="O0499"/>
    <s v="13-01-2025"/>
    <x v="196"/>
    <s v="New"/>
    <x v="4"/>
    <x v="0"/>
    <s v="900819"/>
    <s v="Cod"/>
    <x v="96"/>
    <x v="96"/>
    <x v="0"/>
    <n v="1"/>
    <n v="151.97"/>
    <n v="0"/>
    <n v="151.97"/>
    <n v="7.6"/>
    <n v="0"/>
    <n v="10"/>
    <n v="169.57"/>
    <n v="24.67"/>
    <x v="6"/>
  </r>
  <r>
    <s v="O0500"/>
    <s v="01-03-2025"/>
    <x v="197"/>
    <s v="Returning"/>
    <x v="4"/>
    <x v="0"/>
    <s v="865791"/>
    <s v="Netbanking"/>
    <x v="97"/>
    <x v="97"/>
    <x v="4"/>
    <n v="3"/>
    <n v="127.54"/>
    <n v="19.13"/>
    <n v="363.49"/>
    <n v="18.170000000000002"/>
    <n v="0"/>
    <n v="15"/>
    <n v="396.66"/>
    <n v="24.67"/>
    <x v="0"/>
  </r>
  <r>
    <s v="O0501"/>
    <s v="27-02-2025"/>
    <x v="198"/>
    <s v="New"/>
    <x v="4"/>
    <x v="1"/>
    <s v="524032"/>
    <s v="Card"/>
    <x v="98"/>
    <x v="98"/>
    <x v="1"/>
    <n v="4"/>
    <n v="193.95"/>
    <n v="19.39"/>
    <n v="756.41"/>
    <n v="37.82"/>
    <n v="10"/>
    <n v="15"/>
    <n v="819.23"/>
    <n v="32"/>
    <x v="4"/>
  </r>
  <r>
    <s v="O0502"/>
    <s v="07-01-2025"/>
    <x v="199"/>
    <s v="New"/>
    <x v="4"/>
    <x v="1"/>
    <m/>
    <s v="Upi"/>
    <x v="99"/>
    <x v="99"/>
    <x v="3"/>
    <n v="3"/>
    <n v="158.27000000000001"/>
    <n v="15.83"/>
    <n v="458.98000000000008"/>
    <n v="22.95"/>
    <n v="10"/>
    <n v="0"/>
    <n v="491.93000000000012"/>
    <n v="22"/>
    <x v="3"/>
  </r>
  <r>
    <s v="O0503"/>
    <s v="26-02-2025"/>
    <x v="200"/>
    <s v="Bulk"/>
    <x v="0"/>
    <x v="1"/>
    <s v="526070"/>
    <s v="Card"/>
    <x v="100"/>
    <x v="100"/>
    <x v="9"/>
    <n v="3"/>
    <n v="299.12"/>
    <n v="44.87"/>
    <n v="852.49"/>
    <n v="42.62"/>
    <n v="0"/>
    <n v="0"/>
    <n v="895.11"/>
    <n v="39"/>
    <x v="2"/>
  </r>
  <r>
    <s v="O0504"/>
    <s v="05-02-2025"/>
    <x v="201"/>
    <s v="Bulk"/>
    <x v="1"/>
    <x v="2"/>
    <s v="106968"/>
    <s v="Gpay"/>
    <x v="101"/>
    <x v="101"/>
    <x v="7"/>
    <n v="3"/>
    <n v="130.49"/>
    <n v="19.57"/>
    <n v="371.9"/>
    <n v="18.600000000000001"/>
    <n v="20"/>
    <n v="15"/>
    <n v="425.50000000000011"/>
    <n v="26"/>
    <x v="2"/>
  </r>
  <r>
    <s v="O0505"/>
    <s v="14-02-2025"/>
    <x v="202"/>
    <s v="Bulk"/>
    <x v="2"/>
    <x v="2"/>
    <s v="613942"/>
    <s v="Wallet"/>
    <x v="102"/>
    <x v="102"/>
    <x v="2"/>
    <n v="1"/>
    <n v="56.06"/>
    <n v="0"/>
    <n v="56.06"/>
    <n v="2.8"/>
    <n v="0"/>
    <n v="15"/>
    <n v="73.86"/>
    <n v="14"/>
    <x v="1"/>
  </r>
  <r>
    <s v="O0506"/>
    <s v="20-01-2025"/>
    <x v="203"/>
    <s v="Bulk"/>
    <x v="2"/>
    <x v="1"/>
    <s v="747652"/>
    <s v="Cod"/>
    <x v="103"/>
    <x v="103"/>
    <x v="5"/>
    <n v="4"/>
    <n v="215.69"/>
    <n v="0"/>
    <n v="862.76"/>
    <n v="43.14"/>
    <n v="30"/>
    <n v="10"/>
    <n v="945.9"/>
    <n v="20"/>
    <x v="6"/>
  </r>
  <r>
    <s v="O0507"/>
    <s v="01-01-2025"/>
    <x v="204"/>
    <s v="Bulk"/>
    <x v="1"/>
    <x v="1"/>
    <s v="694557"/>
    <s v="Upi"/>
    <x v="104"/>
    <x v="104"/>
    <x v="0"/>
    <n v="3"/>
    <n v="224.68"/>
    <n v="0"/>
    <n v="674.04"/>
    <n v="33.700000000000003"/>
    <n v="20"/>
    <n v="5"/>
    <n v="732.74"/>
    <n v="4"/>
    <x v="2"/>
  </r>
  <r>
    <s v="O0508"/>
    <s v="08-01-2025"/>
    <x v="205"/>
    <s v="Bulk"/>
    <x v="3"/>
    <x v="0"/>
    <s v="930371"/>
    <s v="Upi"/>
    <x v="105"/>
    <x v="105"/>
    <x v="7"/>
    <n v="4"/>
    <n v="77.430000000000007"/>
    <n v="7.74"/>
    <n v="301.98"/>
    <n v="15.1"/>
    <n v="30"/>
    <n v="0"/>
    <n v="347.08"/>
    <n v="12"/>
    <x v="2"/>
  </r>
  <r>
    <s v="O0509"/>
    <s v="15-02-2025"/>
    <x v="206"/>
    <s v="New"/>
    <x v="4"/>
    <x v="2"/>
    <s v="407086"/>
    <s v="Upi"/>
    <x v="106"/>
    <x v="106"/>
    <x v="5"/>
    <n v="2"/>
    <n v="99.75"/>
    <n v="9.98"/>
    <n v="189.52"/>
    <n v="9.48"/>
    <n v="20"/>
    <n v="20"/>
    <n v="239"/>
    <n v="11"/>
    <x v="0"/>
  </r>
  <r>
    <s v="O0510"/>
    <s v="16-01-2025"/>
    <x v="207"/>
    <s v="Bulk"/>
    <x v="0"/>
    <x v="0"/>
    <s v="894760"/>
    <s v="Gpay"/>
    <x v="107"/>
    <x v="107"/>
    <x v="9"/>
    <n v="1"/>
    <n v="146.91999999999999"/>
    <n v="22.04"/>
    <n v="124.88"/>
    <n v="6.24"/>
    <n v="30"/>
    <n v="0"/>
    <n v="161.12"/>
    <n v="40"/>
    <x v="4"/>
  </r>
  <r>
    <s v="O0511"/>
    <s v="14-01-2025"/>
    <x v="208"/>
    <s v="Bulk"/>
    <x v="3"/>
    <x v="2"/>
    <s v="858761"/>
    <s v="Upi"/>
    <x v="108"/>
    <x v="108"/>
    <x v="6"/>
    <n v="1"/>
    <n v="7.2"/>
    <n v="0.36"/>
    <n v="6.84"/>
    <n v="0.34"/>
    <n v="10"/>
    <n v="15"/>
    <n v="32.18"/>
    <n v="16"/>
    <x v="3"/>
  </r>
  <r>
    <s v="O0512"/>
    <s v="12-01-2025"/>
    <x v="209"/>
    <s v="Bulk"/>
    <x v="3"/>
    <x v="1"/>
    <s v="333612"/>
    <s v="Cod"/>
    <x v="109"/>
    <x v="109"/>
    <x v="0"/>
    <n v="6"/>
    <n v="120.03"/>
    <n v="12"/>
    <n v="708.18000000000006"/>
    <n v="35.409999999999997"/>
    <n v="0"/>
    <n v="10"/>
    <n v="753.59"/>
    <n v="12"/>
    <x v="5"/>
  </r>
  <r>
    <s v="O0513"/>
    <s v="20-02-2025"/>
    <x v="210"/>
    <s v="Bulk"/>
    <x v="1"/>
    <x v="0"/>
    <s v="170463"/>
    <s v="Upi"/>
    <x v="110"/>
    <x v="110"/>
    <x v="9"/>
    <n v="3"/>
    <n v="175.46"/>
    <n v="26.32"/>
    <n v="500.06"/>
    <n v="25"/>
    <n v="0"/>
    <n v="5"/>
    <n v="530.05999999999995"/>
    <n v="27"/>
    <x v="4"/>
  </r>
  <r>
    <s v="O0514"/>
    <s v="23-01-2025"/>
    <x v="211"/>
    <s v="Bulk"/>
    <x v="1"/>
    <x v="2"/>
    <m/>
    <s v="Phonepe"/>
    <x v="111"/>
    <x v="111"/>
    <x v="8"/>
    <n v="1"/>
    <n v="113.89"/>
    <n v="11.39"/>
    <n v="102.5"/>
    <n v="5.12"/>
    <n v="10"/>
    <n v="5"/>
    <n v="122.62"/>
    <n v="32"/>
    <x v="4"/>
  </r>
  <r>
    <s v="O0515"/>
    <s v="15-01-2025"/>
    <x v="212"/>
    <s v="Bulk"/>
    <x v="1"/>
    <x v="1"/>
    <s v="755129"/>
    <s v="Gpay"/>
    <x v="112"/>
    <x v="112"/>
    <x v="8"/>
    <n v="1"/>
    <n v="159.07"/>
    <n v="23.86"/>
    <n v="135.21"/>
    <n v="6.76"/>
    <n v="10"/>
    <n v="15"/>
    <n v="166.97"/>
    <n v="24.67"/>
    <x v="2"/>
  </r>
  <r>
    <s v="O0516"/>
    <s v="28-01-2025"/>
    <x v="213"/>
    <s v="Returning"/>
    <x v="4"/>
    <x v="0"/>
    <s v="747418"/>
    <s v="Gpay"/>
    <x v="113"/>
    <x v="113"/>
    <x v="9"/>
    <n v="2"/>
    <n v="130.61000000000001"/>
    <n v="6.53"/>
    <n v="254.69"/>
    <n v="12.73"/>
    <n v="0"/>
    <n v="0"/>
    <n v="267.42"/>
    <n v="35"/>
    <x v="3"/>
  </r>
  <r>
    <s v="O0517"/>
    <s v="03-02-2025"/>
    <x v="214"/>
    <s v="Bulk"/>
    <x v="2"/>
    <x v="0"/>
    <s v="766015"/>
    <s v="Upi"/>
    <x v="114"/>
    <x v="114"/>
    <x v="6"/>
    <n v="3"/>
    <n v="277.25"/>
    <n v="0"/>
    <n v="831.75"/>
    <n v="41.59"/>
    <n v="30"/>
    <n v="10"/>
    <n v="913.34"/>
    <n v="24.67"/>
    <x v="6"/>
  </r>
  <r>
    <s v="O0518"/>
    <s v="02-01-2025"/>
    <x v="215"/>
    <s v="Bulk"/>
    <x v="1"/>
    <x v="2"/>
    <s v="336187"/>
    <s v="Phonepe"/>
    <x v="115"/>
    <x v="115"/>
    <x v="7"/>
    <n v="1"/>
    <n v="158.12"/>
    <n v="15.81"/>
    <n v="142.31"/>
    <n v="7.12"/>
    <n v="0"/>
    <n v="5"/>
    <n v="154.43"/>
    <n v="28"/>
    <x v="4"/>
  </r>
  <r>
    <s v="O0519"/>
    <s v="01-02-2025"/>
    <x v="216"/>
    <s v="Bulk"/>
    <x v="5"/>
    <x v="1"/>
    <s v="912395"/>
    <s v="Cod"/>
    <x v="116"/>
    <x v="116"/>
    <x v="4"/>
    <n v="5"/>
    <n v="169.25"/>
    <n v="16.93"/>
    <n v="829.32"/>
    <n v="41.47"/>
    <n v="0"/>
    <n v="15"/>
    <n v="885.79000000000008"/>
    <n v="28"/>
    <x v="0"/>
  </r>
  <r>
    <s v="O0520"/>
    <s v="23-01-2025"/>
    <x v="217"/>
    <s v="Bulk"/>
    <x v="1"/>
    <x v="3"/>
    <s v="373820"/>
    <s v="Upi"/>
    <x v="117"/>
    <x v="117"/>
    <x v="9"/>
    <n v="3"/>
    <n v="185.79"/>
    <n v="0"/>
    <n v="557.37"/>
    <n v="27.87"/>
    <n v="30"/>
    <n v="20"/>
    <n v="635.24"/>
    <n v="18"/>
    <x v="4"/>
  </r>
  <r>
    <s v="O0521"/>
    <s v="22-01-2025"/>
    <x v="218"/>
    <s v="Returning"/>
    <x v="4"/>
    <x v="0"/>
    <s v="406093"/>
    <s v="Phonepe"/>
    <x v="118"/>
    <x v="118"/>
    <x v="9"/>
    <n v="3"/>
    <n v="102.14"/>
    <n v="5.1100000000000003"/>
    <n v="301.31"/>
    <n v="15.07"/>
    <n v="20"/>
    <n v="5"/>
    <n v="341.38"/>
    <n v="21"/>
    <x v="2"/>
  </r>
  <r>
    <s v="O0522"/>
    <s v="20-02-2025"/>
    <x v="219"/>
    <s v="Bulk"/>
    <x v="3"/>
    <x v="1"/>
    <s v="616479"/>
    <s v="Upi"/>
    <x v="119"/>
    <x v="119"/>
    <x v="1"/>
    <n v="2"/>
    <n v="194.25"/>
    <n v="0"/>
    <n v="388.5"/>
    <n v="19.43"/>
    <n v="30"/>
    <n v="15"/>
    <n v="452.93"/>
    <n v="20"/>
    <x v="4"/>
  </r>
  <r>
    <s v="O0523"/>
    <s v="25-01-2025"/>
    <x v="220"/>
    <s v="Bulk"/>
    <x v="1"/>
    <x v="2"/>
    <s v="851731"/>
    <s v="Phonepe"/>
    <x v="120"/>
    <x v="120"/>
    <x v="2"/>
    <n v="2"/>
    <n v="176.44"/>
    <n v="8.82"/>
    <n v="344.06"/>
    <n v="17.2"/>
    <n v="10"/>
    <n v="0"/>
    <n v="371.26"/>
    <n v="31"/>
    <x v="0"/>
  </r>
  <r>
    <s v="O0524"/>
    <s v="27-02-2025"/>
    <x v="221"/>
    <s v="Bulk"/>
    <x v="0"/>
    <x v="1"/>
    <s v="892908"/>
    <s v="Cod"/>
    <x v="121"/>
    <x v="121"/>
    <x v="4"/>
    <n v="3"/>
    <n v="83.6"/>
    <n v="4.18"/>
    <n v="246.62"/>
    <n v="12.33"/>
    <n v="10"/>
    <n v="0"/>
    <n v="268.95"/>
    <n v="27"/>
    <x v="4"/>
  </r>
  <r>
    <s v="O0525"/>
    <s v="22-01-2025"/>
    <x v="222"/>
    <s v="New"/>
    <x v="4"/>
    <x v="2"/>
    <s v="703986"/>
    <s v="Gpay"/>
    <x v="122"/>
    <x v="122"/>
    <x v="5"/>
    <n v="2"/>
    <n v="200.77"/>
    <n v="10.039999999999999"/>
    <n v="391.5"/>
    <n v="19.579999999999998"/>
    <n v="10"/>
    <n v="10"/>
    <n v="431.08"/>
    <n v="6"/>
    <x v="2"/>
  </r>
  <r>
    <s v="O0526"/>
    <s v="27-02-2025"/>
    <x v="223"/>
    <s v="Bulk"/>
    <x v="3"/>
    <x v="1"/>
    <s v="573146"/>
    <s v="Wallet"/>
    <x v="123"/>
    <x v="123"/>
    <x v="1"/>
    <n v="4"/>
    <n v="129.06"/>
    <n v="19.36"/>
    <n v="496.88"/>
    <n v="24.84"/>
    <n v="20"/>
    <n v="20"/>
    <n v="561.72"/>
    <n v="24.67"/>
    <x v="4"/>
  </r>
  <r>
    <s v="O0527"/>
    <s v="27-02-2025"/>
    <x v="224"/>
    <s v="Bulk"/>
    <x v="2"/>
    <x v="2"/>
    <s v="450067"/>
    <s v="Upi"/>
    <x v="124"/>
    <x v="124"/>
    <x v="7"/>
    <n v="2"/>
    <n v="66.89"/>
    <n v="0"/>
    <n v="133.78"/>
    <n v="6.69"/>
    <n v="20"/>
    <n v="5"/>
    <n v="165.47"/>
    <n v="39"/>
    <x v="4"/>
  </r>
  <r>
    <s v="O0528"/>
    <s v="22-01-2025"/>
    <x v="225"/>
    <s v="Bulk"/>
    <x v="1"/>
    <x v="2"/>
    <s v="901115"/>
    <s v="Gpay"/>
    <x v="125"/>
    <x v="125"/>
    <x v="5"/>
    <n v="2"/>
    <n v="96.28"/>
    <n v="4.8099999999999996"/>
    <n v="187.75"/>
    <n v="9.39"/>
    <n v="10"/>
    <n v="15"/>
    <n v="222.14"/>
    <n v="22"/>
    <x v="2"/>
  </r>
  <r>
    <s v="O0529"/>
    <s v="18-02-2025"/>
    <x v="226"/>
    <s v="Bulk"/>
    <x v="5"/>
    <x v="0"/>
    <s v="440686"/>
    <s v="Cod"/>
    <x v="126"/>
    <x v="126"/>
    <x v="6"/>
    <n v="7"/>
    <n v="74.209999999999994"/>
    <n v="7.42"/>
    <n v="512.04999999999995"/>
    <n v="25.6"/>
    <n v="10"/>
    <n v="0"/>
    <n v="547.65"/>
    <n v="27"/>
    <x v="3"/>
  </r>
  <r>
    <s v="O0530"/>
    <s v="21-02-2025"/>
    <x v="227"/>
    <s v="Bulk"/>
    <x v="2"/>
    <x v="0"/>
    <s v="263244"/>
    <s v="Upi"/>
    <x v="127"/>
    <x v="127"/>
    <x v="1"/>
    <n v="3"/>
    <n v="85.26"/>
    <n v="8.5299999999999994"/>
    <n v="247.25"/>
    <n v="12.36"/>
    <n v="10"/>
    <n v="20"/>
    <n v="289.61"/>
    <n v="38"/>
    <x v="1"/>
  </r>
  <r>
    <s v="O0531"/>
    <s v="11-02-2025"/>
    <x v="228"/>
    <s v="Bulk"/>
    <x v="2"/>
    <x v="2"/>
    <s v="906608"/>
    <s v="Upi"/>
    <x v="128"/>
    <x v="128"/>
    <x v="6"/>
    <n v="3"/>
    <n v="200.3"/>
    <n v="30.05"/>
    <n v="570.85000000000014"/>
    <n v="28.54"/>
    <n v="30"/>
    <n v="15"/>
    <n v="644.3900000000001"/>
    <n v="24.67"/>
    <x v="3"/>
  </r>
  <r>
    <s v="O0532"/>
    <s v="06-01-2025"/>
    <x v="229"/>
    <s v="Bulk"/>
    <x v="0"/>
    <x v="2"/>
    <s v="748456"/>
    <s v="Gpay"/>
    <x v="129"/>
    <x v="129"/>
    <x v="1"/>
    <n v="1"/>
    <n v="71.94"/>
    <n v="3.6"/>
    <n v="68.34"/>
    <n v="3.42"/>
    <n v="10"/>
    <n v="10"/>
    <n v="91.76"/>
    <n v="40"/>
    <x v="6"/>
  </r>
  <r>
    <s v="O0533"/>
    <s v="15-01-2025"/>
    <x v="230"/>
    <s v="Bulk"/>
    <x v="1"/>
    <x v="2"/>
    <s v="347572"/>
    <s v="Upi"/>
    <x v="130"/>
    <x v="130"/>
    <x v="0"/>
    <n v="1"/>
    <n v="23.41"/>
    <n v="3.51"/>
    <n v="19.899999999999999"/>
    <n v="0.99"/>
    <n v="20"/>
    <n v="5"/>
    <n v="45.89"/>
    <n v="26"/>
    <x v="2"/>
  </r>
  <r>
    <s v="O0534"/>
    <s v="23-02-2025"/>
    <x v="231"/>
    <s v="Bulk"/>
    <x v="5"/>
    <x v="1"/>
    <s v="712084"/>
    <s v="Upi"/>
    <x v="131"/>
    <x v="131"/>
    <x v="0"/>
    <n v="3"/>
    <n v="167.05"/>
    <n v="0"/>
    <n v="501.15"/>
    <n v="25.06"/>
    <n v="20"/>
    <n v="5"/>
    <n v="551.21"/>
    <n v="28"/>
    <x v="5"/>
  </r>
  <r>
    <s v="O0535"/>
    <s v="12-02-2025"/>
    <x v="232"/>
    <s v="Bulk"/>
    <x v="3"/>
    <x v="0"/>
    <s v="554151"/>
    <s v="Netbanking"/>
    <x v="132"/>
    <x v="132"/>
    <x v="6"/>
    <n v="1"/>
    <n v="143.88"/>
    <n v="7.19"/>
    <n v="136.69"/>
    <n v="6.83"/>
    <n v="20"/>
    <n v="5"/>
    <n v="168.52"/>
    <n v="41"/>
    <x v="2"/>
  </r>
  <r>
    <s v="O0536"/>
    <s v="01-03-2025"/>
    <x v="233"/>
    <s v="Bulk"/>
    <x v="2"/>
    <x v="1"/>
    <s v="395866"/>
    <s v="Upi"/>
    <x v="133"/>
    <x v="133"/>
    <x v="0"/>
    <n v="1"/>
    <n v="44.68"/>
    <n v="4.47"/>
    <n v="40.21"/>
    <n v="2.0099999999999998"/>
    <n v="0"/>
    <n v="5"/>
    <n v="47.22"/>
    <n v="24.67"/>
    <x v="0"/>
  </r>
  <r>
    <s v="O0537"/>
    <s v="06-02-2025"/>
    <x v="234"/>
    <s v="Bulk"/>
    <x v="2"/>
    <x v="2"/>
    <s v="389360"/>
    <s v="Netbanking"/>
    <x v="134"/>
    <x v="134"/>
    <x v="3"/>
    <n v="3"/>
    <n v="176.55"/>
    <n v="26.48"/>
    <n v="503.17000000000007"/>
    <n v="25.16"/>
    <n v="10"/>
    <n v="0"/>
    <n v="538.33000000000004"/>
    <n v="33"/>
    <x v="4"/>
  </r>
  <r>
    <s v="O0538"/>
    <s v="02-02-2025"/>
    <x v="235"/>
    <s v="Bulk"/>
    <x v="1"/>
    <x v="2"/>
    <s v="524671"/>
    <s v="Cod"/>
    <x v="135"/>
    <x v="135"/>
    <x v="5"/>
    <n v="1"/>
    <n v="134.43"/>
    <n v="0"/>
    <n v="134.43"/>
    <n v="6.72"/>
    <n v="0"/>
    <n v="0"/>
    <n v="141.15"/>
    <n v="30"/>
    <x v="5"/>
  </r>
  <r>
    <s v="O0539"/>
    <s v="08-01-2025"/>
    <x v="236"/>
    <s v="Bulk"/>
    <x v="3"/>
    <x v="1"/>
    <s v="726926"/>
    <s v="Netbanking"/>
    <x v="136"/>
    <x v="136"/>
    <x v="3"/>
    <n v="5"/>
    <n v="213.07"/>
    <n v="21.31"/>
    <n v="1044.04"/>
    <n v="52.2"/>
    <n v="0"/>
    <n v="15"/>
    <n v="1111.24"/>
    <n v="3"/>
    <x v="2"/>
  </r>
  <r>
    <s v="O0540"/>
    <s v="22-02-2025"/>
    <x v="237"/>
    <s v="Bulk"/>
    <x v="1"/>
    <x v="0"/>
    <s v="137019"/>
    <s v="Gpay"/>
    <x v="137"/>
    <x v="137"/>
    <x v="6"/>
    <n v="5"/>
    <n v="163.63"/>
    <n v="8.18"/>
    <n v="809.97"/>
    <n v="40.5"/>
    <n v="20"/>
    <n v="0"/>
    <n v="870.47"/>
    <n v="13"/>
    <x v="0"/>
  </r>
  <r>
    <s v="O0541"/>
    <s v="01-03-2025"/>
    <x v="238"/>
    <s v="Bulk"/>
    <x v="2"/>
    <x v="0"/>
    <s v="258598"/>
    <s v="Gpay"/>
    <x v="138"/>
    <x v="138"/>
    <x v="8"/>
    <n v="1"/>
    <n v="14.1"/>
    <n v="0.71"/>
    <n v="13.39"/>
    <n v="0.67"/>
    <n v="0"/>
    <n v="5"/>
    <n v="19.059999999999999"/>
    <n v="24.67"/>
    <x v="0"/>
  </r>
  <r>
    <s v="O0542"/>
    <s v="13-02-2025"/>
    <x v="239"/>
    <s v="Bulk"/>
    <x v="3"/>
    <x v="0"/>
    <s v="929827"/>
    <s v="Upi"/>
    <x v="139"/>
    <x v="139"/>
    <x v="6"/>
    <n v="2"/>
    <n v="170.89"/>
    <n v="17.09"/>
    <n v="324.69"/>
    <n v="16.23"/>
    <n v="0"/>
    <n v="0"/>
    <n v="340.92"/>
    <n v="12"/>
    <x v="4"/>
  </r>
  <r>
    <s v="O0543"/>
    <s v="13-02-2025"/>
    <x v="240"/>
    <s v="Bulk"/>
    <x v="5"/>
    <x v="2"/>
    <s v="915495"/>
    <s v="Cod"/>
    <x v="140"/>
    <x v="140"/>
    <x v="1"/>
    <n v="3"/>
    <n v="118.33"/>
    <n v="11.83"/>
    <n v="343.16"/>
    <n v="17.16"/>
    <n v="20"/>
    <n v="10"/>
    <n v="390.32000000000011"/>
    <n v="32"/>
    <x v="4"/>
  </r>
  <r>
    <s v="O0544"/>
    <s v="05-01-2025"/>
    <x v="241"/>
    <s v="Bulk"/>
    <x v="0"/>
    <x v="0"/>
    <s v="526673"/>
    <s v="Phonepe"/>
    <x v="141"/>
    <x v="141"/>
    <x v="5"/>
    <n v="4"/>
    <n v="140.97999999999999"/>
    <n v="0"/>
    <n v="563.91999999999996"/>
    <n v="28.2"/>
    <n v="10"/>
    <n v="10"/>
    <n v="612.12"/>
    <n v="9"/>
    <x v="5"/>
  </r>
  <r>
    <s v="O0545"/>
    <s v="08-02-2025"/>
    <x v="242"/>
    <s v="Bulk"/>
    <x v="5"/>
    <x v="2"/>
    <s v="452156"/>
    <s v="Phonepe"/>
    <x v="142"/>
    <x v="142"/>
    <x v="0"/>
    <n v="2"/>
    <n v="205.23"/>
    <n v="30.78"/>
    <n v="379.67999999999989"/>
    <n v="18.98"/>
    <n v="10"/>
    <n v="5"/>
    <n v="413.66"/>
    <n v="21"/>
    <x v="0"/>
  </r>
  <r>
    <s v="O0546"/>
    <s v="04-01-2025"/>
    <x v="243"/>
    <s v="Bulk"/>
    <x v="2"/>
    <x v="2"/>
    <s v="967591"/>
    <s v="Upi"/>
    <x v="143"/>
    <x v="143"/>
    <x v="9"/>
    <n v="4"/>
    <n v="233.8"/>
    <n v="23.38"/>
    <n v="911.82"/>
    <n v="45.59"/>
    <n v="10"/>
    <n v="20"/>
    <n v="987.41000000000008"/>
    <n v="17"/>
    <x v="0"/>
  </r>
  <r>
    <s v="O0547"/>
    <s v="06-01-2025"/>
    <x v="244"/>
    <s v="Bulk"/>
    <x v="5"/>
    <x v="0"/>
    <s v="543842"/>
    <s v="Upi"/>
    <x v="144"/>
    <x v="144"/>
    <x v="7"/>
    <n v="3"/>
    <n v="27.87"/>
    <n v="1.39"/>
    <n v="82.22"/>
    <n v="4.1100000000000003"/>
    <n v="30"/>
    <n v="5"/>
    <n v="121.33"/>
    <n v="31"/>
    <x v="6"/>
  </r>
  <r>
    <s v="O0548"/>
    <s v="14-02-2025"/>
    <x v="245"/>
    <s v="Bulk"/>
    <x v="3"/>
    <x v="1"/>
    <s v="998035"/>
    <s v="Netbanking"/>
    <x v="145"/>
    <x v="145"/>
    <x v="2"/>
    <n v="5"/>
    <n v="114.16"/>
    <n v="0"/>
    <n v="570.79999999999995"/>
    <n v="28.54"/>
    <n v="30"/>
    <n v="20"/>
    <n v="649.33999999999992"/>
    <n v="24.67"/>
    <x v="1"/>
  </r>
  <r>
    <s v="O0549"/>
    <s v="01-02-2025"/>
    <x v="246"/>
    <s v="Bulk"/>
    <x v="1"/>
    <x v="3"/>
    <s v="293839"/>
    <s v="Upi"/>
    <x v="146"/>
    <x v="146"/>
    <x v="8"/>
    <n v="1"/>
    <n v="108.55"/>
    <n v="16.28"/>
    <n v="92.27"/>
    <n v="4.6100000000000003"/>
    <n v="30"/>
    <n v="20"/>
    <n v="146.88"/>
    <n v="24"/>
    <x v="0"/>
  </r>
  <r>
    <s v="O0550"/>
    <s v="21-02-2025"/>
    <x v="247"/>
    <s v="New"/>
    <x v="4"/>
    <x v="1"/>
    <s v="799746"/>
    <s v="Netbanking"/>
    <x v="147"/>
    <x v="147"/>
    <x v="3"/>
    <n v="1"/>
    <n v="186.8"/>
    <n v="18.68"/>
    <n v="168.12"/>
    <n v="8.41"/>
    <n v="30"/>
    <n v="15"/>
    <n v="221.53"/>
    <n v="28"/>
    <x v="1"/>
  </r>
  <r>
    <s v="O0551"/>
    <s v="30-01-2025"/>
    <x v="248"/>
    <s v="Bulk"/>
    <x v="2"/>
    <x v="0"/>
    <s v="196393"/>
    <s v="Netbanking"/>
    <x v="148"/>
    <x v="148"/>
    <x v="7"/>
    <n v="5"/>
    <n v="112.31"/>
    <n v="16.850000000000001"/>
    <n v="544.69999999999993"/>
    <n v="27.23"/>
    <n v="20"/>
    <n v="10"/>
    <n v="601.92999999999995"/>
    <n v="31"/>
    <x v="4"/>
  </r>
  <r>
    <s v="O0552"/>
    <s v="16-02-2025"/>
    <x v="249"/>
    <s v="Bulk"/>
    <x v="3"/>
    <x v="2"/>
    <s v="622313"/>
    <s v="Upi"/>
    <x v="149"/>
    <x v="149"/>
    <x v="9"/>
    <n v="1"/>
    <n v="109.85"/>
    <n v="10.98"/>
    <n v="98.86999999999999"/>
    <n v="4.9400000000000004"/>
    <n v="0"/>
    <n v="15"/>
    <n v="118.81"/>
    <n v="21"/>
    <x v="5"/>
  </r>
  <r>
    <s v="O0553"/>
    <s v="04-02-2025"/>
    <x v="250"/>
    <s v="Bulk"/>
    <x v="5"/>
    <x v="1"/>
    <s v="839538"/>
    <s v="Upi"/>
    <x v="150"/>
    <x v="150"/>
    <x v="0"/>
    <n v="6"/>
    <n v="134.02000000000001"/>
    <n v="13.4"/>
    <n v="790.72000000000014"/>
    <n v="39.54"/>
    <n v="0"/>
    <n v="20"/>
    <n v="850.2600000000001"/>
    <n v="14"/>
    <x v="3"/>
  </r>
  <r>
    <s v="O0554"/>
    <s v="24-02-2025"/>
    <x v="251"/>
    <s v="New"/>
    <x v="4"/>
    <x v="0"/>
    <s v="301604"/>
    <s v="Upi"/>
    <x v="151"/>
    <x v="151"/>
    <x v="7"/>
    <n v="2"/>
    <n v="177.5"/>
    <n v="0"/>
    <n v="355"/>
    <n v="17.75"/>
    <n v="30"/>
    <n v="20"/>
    <n v="422.75"/>
    <n v="40"/>
    <x v="6"/>
  </r>
  <r>
    <s v="O0555"/>
    <s v="09-02-2025"/>
    <x v="252"/>
    <s v="Bulk"/>
    <x v="5"/>
    <x v="2"/>
    <s v="704056"/>
    <s v="Netbanking"/>
    <x v="152"/>
    <x v="152"/>
    <x v="3"/>
    <n v="5"/>
    <n v="187.11"/>
    <n v="18.71"/>
    <n v="916.84"/>
    <n v="45.84"/>
    <n v="20"/>
    <n v="10"/>
    <n v="992.68000000000006"/>
    <n v="30"/>
    <x v="5"/>
  </r>
  <r>
    <s v="O0556"/>
    <s v="21-02-2025"/>
    <x v="253"/>
    <s v="Bulk"/>
    <x v="3"/>
    <x v="1"/>
    <s v="425329"/>
    <s v="Upi"/>
    <x v="153"/>
    <x v="153"/>
    <x v="9"/>
    <n v="4"/>
    <n v="120.35"/>
    <n v="6.02"/>
    <n v="475.38"/>
    <n v="23.77"/>
    <n v="10"/>
    <n v="10"/>
    <n v="519.15"/>
    <n v="36"/>
    <x v="1"/>
  </r>
  <r>
    <s v="O0557"/>
    <s v="16-01-2025"/>
    <x v="254"/>
    <s v="Bulk"/>
    <x v="5"/>
    <x v="1"/>
    <s v="591006"/>
    <s v="Phonepe"/>
    <x v="154"/>
    <x v="154"/>
    <x v="9"/>
    <n v="5"/>
    <n v="88.84"/>
    <n v="13.33"/>
    <n v="430.87000000000012"/>
    <n v="21.54"/>
    <n v="0"/>
    <n v="0"/>
    <n v="452.41000000000008"/>
    <n v="26"/>
    <x v="4"/>
  </r>
  <r>
    <s v="O0558"/>
    <s v="13-01-2025"/>
    <x v="255"/>
    <s v="New"/>
    <x v="4"/>
    <x v="2"/>
    <s v="362091"/>
    <s v="Upi"/>
    <x v="155"/>
    <x v="155"/>
    <x v="8"/>
    <n v="6"/>
    <n v="141.30000000000001"/>
    <n v="7.07"/>
    <n v="840.73"/>
    <n v="42.04"/>
    <n v="10"/>
    <n v="15"/>
    <n v="907.77"/>
    <n v="12"/>
    <x v="6"/>
  </r>
  <r>
    <s v="O0559"/>
    <s v="19-02-2025"/>
    <x v="256"/>
    <s v="Bulk"/>
    <x v="2"/>
    <x v="1"/>
    <s v="997116"/>
    <s v="Upi"/>
    <x v="156"/>
    <x v="156"/>
    <x v="6"/>
    <n v="3"/>
    <n v="125.58"/>
    <n v="12.56"/>
    <n v="364.18"/>
    <n v="18.21"/>
    <n v="20"/>
    <n v="20"/>
    <n v="422.39"/>
    <n v="19"/>
    <x v="2"/>
  </r>
  <r>
    <s v="O0560"/>
    <s v="01-03-2025"/>
    <x v="257"/>
    <s v="Bulk"/>
    <x v="3"/>
    <x v="0"/>
    <s v="236285"/>
    <s v="Gpay"/>
    <x v="157"/>
    <x v="157"/>
    <x v="2"/>
    <n v="2"/>
    <n v="43.92"/>
    <n v="6.59"/>
    <n v="81.25"/>
    <n v="4.0599999999999996"/>
    <n v="30"/>
    <n v="0"/>
    <n v="115.31"/>
    <n v="15"/>
    <x v="0"/>
  </r>
  <r>
    <s v="O0561"/>
    <s v="11-02-2025"/>
    <x v="258"/>
    <s v="Bulk"/>
    <x v="2"/>
    <x v="1"/>
    <s v="808387"/>
    <s v="Wallet"/>
    <x v="158"/>
    <x v="158"/>
    <x v="2"/>
    <n v="9"/>
    <n v="132.87"/>
    <n v="13.29"/>
    <n v="1182.54"/>
    <n v="59.13"/>
    <n v="0"/>
    <n v="0"/>
    <n v="1241.67"/>
    <n v="34"/>
    <x v="3"/>
  </r>
  <r>
    <s v="O0562"/>
    <s v="30-01-2025"/>
    <x v="259"/>
    <s v="Bulk"/>
    <x v="3"/>
    <x v="0"/>
    <s v="908871"/>
    <s v="Upi"/>
    <x v="159"/>
    <x v="159"/>
    <x v="2"/>
    <n v="3"/>
    <n v="101.98"/>
    <n v="15.3"/>
    <n v="290.64"/>
    <n v="14.53"/>
    <n v="10"/>
    <n v="10"/>
    <n v="325.17"/>
    <n v="24.67"/>
    <x v="4"/>
  </r>
  <r>
    <s v="O0563"/>
    <s v="19-01-2025"/>
    <x v="260"/>
    <s v="Bulk"/>
    <x v="3"/>
    <x v="1"/>
    <s v="776479"/>
    <s v="Upi"/>
    <x v="160"/>
    <x v="160"/>
    <x v="2"/>
    <n v="6"/>
    <n v="165.36"/>
    <n v="8.27"/>
    <n v="983.8900000000001"/>
    <n v="49.19"/>
    <n v="0"/>
    <n v="15"/>
    <n v="1048.08"/>
    <n v="16"/>
    <x v="5"/>
  </r>
  <r>
    <s v="O0564"/>
    <s v="17-01-2025"/>
    <x v="261"/>
    <s v="Bulk"/>
    <x v="5"/>
    <x v="0"/>
    <s v="515466"/>
    <s v="Cod"/>
    <x v="161"/>
    <x v="161"/>
    <x v="0"/>
    <n v="2"/>
    <n v="36.71"/>
    <n v="1.84"/>
    <n v="71.58"/>
    <n v="3.58"/>
    <n v="20"/>
    <n v="20"/>
    <n v="115.16"/>
    <n v="31"/>
    <x v="1"/>
  </r>
  <r>
    <s v="O0565"/>
    <s v="25-02-2025"/>
    <x v="262"/>
    <s v="Bulk"/>
    <x v="0"/>
    <x v="1"/>
    <s v="205686"/>
    <s v="Upi"/>
    <x v="162"/>
    <x v="162"/>
    <x v="3"/>
    <n v="3"/>
    <n v="99.53"/>
    <n v="0"/>
    <n v="298.58999999999997"/>
    <n v="14.93"/>
    <n v="0"/>
    <n v="20"/>
    <n v="333.52"/>
    <n v="14"/>
    <x v="3"/>
  </r>
  <r>
    <s v="O0566"/>
    <s v="19-01-2025"/>
    <x v="263"/>
    <s v="Bulk"/>
    <x v="2"/>
    <x v="1"/>
    <s v="798148"/>
    <s v="Wallet"/>
    <x v="163"/>
    <x v="163"/>
    <x v="5"/>
    <n v="5"/>
    <n v="173.72"/>
    <n v="26.06"/>
    <n v="842.54000000000008"/>
    <n v="42.13"/>
    <n v="0"/>
    <n v="5"/>
    <n v="889.67000000000007"/>
    <n v="18"/>
    <x v="5"/>
  </r>
  <r>
    <s v="O0567"/>
    <s v="28-01-2025"/>
    <x v="264"/>
    <s v="Bulk"/>
    <x v="3"/>
    <x v="2"/>
    <s v="240148"/>
    <s v="Upi"/>
    <x v="164"/>
    <x v="164"/>
    <x v="2"/>
    <n v="3"/>
    <n v="169.22"/>
    <n v="8.4600000000000009"/>
    <n v="499.2"/>
    <n v="24.96"/>
    <n v="30"/>
    <n v="5"/>
    <n v="559.16"/>
    <n v="30"/>
    <x v="3"/>
  </r>
  <r>
    <s v="O0568"/>
    <s v="27-02-2025"/>
    <x v="265"/>
    <s v="Bulk"/>
    <x v="2"/>
    <x v="2"/>
    <s v="490452"/>
    <s v="Netbanking"/>
    <x v="165"/>
    <x v="165"/>
    <x v="9"/>
    <n v="3"/>
    <n v="109.05"/>
    <n v="10.91"/>
    <n v="316.24"/>
    <n v="15.81"/>
    <n v="20"/>
    <n v="15"/>
    <n v="367.05"/>
    <n v="20"/>
    <x v="4"/>
  </r>
  <r>
    <s v="O0569"/>
    <s v="24-02-2025"/>
    <x v="266"/>
    <s v="Bulk"/>
    <x v="5"/>
    <x v="1"/>
    <s v="585651"/>
    <s v="Upi"/>
    <x v="166"/>
    <x v="166"/>
    <x v="9"/>
    <n v="2"/>
    <n v="75.209999999999994"/>
    <n v="11.28"/>
    <n v="139.13999999999999"/>
    <n v="6.96"/>
    <n v="20"/>
    <n v="0"/>
    <n v="166.1"/>
    <n v="18"/>
    <x v="6"/>
  </r>
  <r>
    <s v="O0570"/>
    <s v="26-01-2025"/>
    <x v="267"/>
    <s v="Bulk"/>
    <x v="2"/>
    <x v="0"/>
    <s v="857634"/>
    <s v="Upi"/>
    <x v="167"/>
    <x v="167"/>
    <x v="6"/>
    <n v="1"/>
    <n v="113.3"/>
    <n v="16.989999999999998"/>
    <n v="96.31"/>
    <n v="4.82"/>
    <n v="0"/>
    <n v="15"/>
    <n v="116.13"/>
    <n v="17"/>
    <x v="5"/>
  </r>
  <r>
    <s v="O0571"/>
    <s v="06-02-2025"/>
    <x v="268"/>
    <s v="Bulk"/>
    <x v="3"/>
    <x v="1"/>
    <s v="273115"/>
    <s v="Wallet"/>
    <x v="168"/>
    <x v="168"/>
    <x v="4"/>
    <n v="2"/>
    <n v="90.96"/>
    <n v="4.55"/>
    <n v="177.37"/>
    <n v="8.8699999999999992"/>
    <n v="10"/>
    <n v="15"/>
    <n v="211.24"/>
    <n v="14"/>
    <x v="4"/>
  </r>
  <r>
    <s v="O0572"/>
    <s v="26-01-2025"/>
    <x v="269"/>
    <s v="Bulk"/>
    <x v="3"/>
    <x v="2"/>
    <s v="813340"/>
    <s v="Netbanking"/>
    <x v="169"/>
    <x v="169"/>
    <x v="4"/>
    <n v="1"/>
    <n v="93.08"/>
    <n v="9.31"/>
    <n v="83.77"/>
    <n v="4.1900000000000004"/>
    <n v="0"/>
    <n v="5"/>
    <n v="92.96"/>
    <n v="24.67"/>
    <x v="5"/>
  </r>
  <r>
    <s v="O0573"/>
    <s v="22-02-2025"/>
    <x v="270"/>
    <s v="Bulk"/>
    <x v="3"/>
    <x v="1"/>
    <s v="897124"/>
    <s v="Netbanking"/>
    <x v="170"/>
    <x v="170"/>
    <x v="3"/>
    <n v="5"/>
    <n v="171.06"/>
    <n v="8.5500000000000007"/>
    <n v="846.75"/>
    <n v="42.34"/>
    <n v="30"/>
    <n v="0"/>
    <n v="919.09"/>
    <n v="40"/>
    <x v="0"/>
  </r>
  <r>
    <s v="O0574"/>
    <s v="23-01-2025"/>
    <x v="271"/>
    <s v="Bulk"/>
    <x v="2"/>
    <x v="1"/>
    <s v="971535"/>
    <s v="Phonepe"/>
    <x v="171"/>
    <x v="171"/>
    <x v="1"/>
    <n v="6"/>
    <n v="113.05"/>
    <n v="11.3"/>
    <n v="667"/>
    <n v="33.35"/>
    <n v="30"/>
    <n v="20"/>
    <n v="750.35"/>
    <n v="28"/>
    <x v="4"/>
  </r>
  <r>
    <s v="O0575"/>
    <s v="09-01-2025"/>
    <x v="272"/>
    <s v="Bulk"/>
    <x v="2"/>
    <x v="1"/>
    <s v="578454"/>
    <s v="Netbanking"/>
    <x v="172"/>
    <x v="172"/>
    <x v="6"/>
    <n v="1"/>
    <n v="126.99"/>
    <n v="0"/>
    <n v="126.99"/>
    <n v="6.35"/>
    <n v="10"/>
    <n v="15"/>
    <n v="158.34"/>
    <n v="23"/>
    <x v="4"/>
  </r>
  <r>
    <s v="O0576"/>
    <s v="12-01-2025"/>
    <x v="273"/>
    <s v="Bulk"/>
    <x v="0"/>
    <x v="2"/>
    <s v="870824"/>
    <s v="Upi"/>
    <x v="173"/>
    <x v="173"/>
    <x v="8"/>
    <n v="2"/>
    <n v="131.35"/>
    <n v="0"/>
    <n v="262.7"/>
    <n v="13.13"/>
    <n v="0"/>
    <n v="5"/>
    <n v="280.83"/>
    <n v="23"/>
    <x v="5"/>
  </r>
  <r>
    <s v="O0577"/>
    <s v="22-02-2025"/>
    <x v="274"/>
    <s v="Returning"/>
    <x v="4"/>
    <x v="2"/>
    <s v="416363"/>
    <s v="Wallet"/>
    <x v="174"/>
    <x v="174"/>
    <x v="2"/>
    <n v="1"/>
    <n v="87.6"/>
    <n v="13.14"/>
    <n v="74.459999999999994"/>
    <n v="3.72"/>
    <n v="30"/>
    <n v="0"/>
    <n v="108.18"/>
    <n v="14"/>
    <x v="0"/>
  </r>
  <r>
    <s v="O0578"/>
    <s v="01-01-2025"/>
    <x v="275"/>
    <s v="Bulk"/>
    <x v="3"/>
    <x v="1"/>
    <s v="269934"/>
    <s v="Upi"/>
    <x v="175"/>
    <x v="175"/>
    <x v="2"/>
    <n v="3"/>
    <n v="142.12"/>
    <n v="0"/>
    <n v="426.36"/>
    <n v="21.32"/>
    <n v="10"/>
    <n v="15"/>
    <n v="472.68"/>
    <n v="24.67"/>
    <x v="2"/>
  </r>
  <r>
    <s v="O0579"/>
    <s v="27-02-2025"/>
    <x v="276"/>
    <s v="Bulk"/>
    <x v="2"/>
    <x v="1"/>
    <s v="201407"/>
    <s v="Wallet"/>
    <x v="176"/>
    <x v="176"/>
    <x v="0"/>
    <n v="5"/>
    <n v="128.21"/>
    <n v="0"/>
    <n v="641.05000000000007"/>
    <n v="32.049999999999997"/>
    <n v="10"/>
    <n v="0"/>
    <n v="683.1"/>
    <n v="24.67"/>
    <x v="4"/>
  </r>
  <r>
    <s v="O0580"/>
    <s v="27-02-2025"/>
    <x v="277"/>
    <s v="Bulk"/>
    <x v="2"/>
    <x v="3"/>
    <s v="311144"/>
    <s v="Upi"/>
    <x v="177"/>
    <x v="177"/>
    <x v="0"/>
    <n v="2"/>
    <n v="170.71"/>
    <n v="8.5399999999999991"/>
    <n v="332.88"/>
    <n v="16.64"/>
    <n v="30"/>
    <n v="20"/>
    <n v="399.52"/>
    <n v="0"/>
    <x v="4"/>
  </r>
  <r>
    <s v="O0581"/>
    <s v="01-01-2025"/>
    <x v="278"/>
    <s v="Bulk"/>
    <x v="5"/>
    <x v="0"/>
    <s v="630875"/>
    <s v="Wallet"/>
    <x v="178"/>
    <x v="178"/>
    <x v="8"/>
    <n v="6"/>
    <n v="79.489999999999995"/>
    <n v="3.97"/>
    <n v="472.96999999999991"/>
    <n v="23.65"/>
    <n v="20"/>
    <n v="10"/>
    <n v="526.61999999999989"/>
    <n v="10"/>
    <x v="2"/>
  </r>
  <r>
    <s v="O0582"/>
    <s v="16-02-2025"/>
    <x v="279"/>
    <s v="Bulk"/>
    <x v="5"/>
    <x v="0"/>
    <s v="657242"/>
    <s v="Gpay"/>
    <x v="179"/>
    <x v="179"/>
    <x v="9"/>
    <n v="4"/>
    <n v="98.01"/>
    <n v="14.7"/>
    <n v="377.34"/>
    <n v="18.87"/>
    <n v="0"/>
    <n v="20"/>
    <n v="416.21"/>
    <n v="28"/>
    <x v="5"/>
  </r>
  <r>
    <s v="O0583"/>
    <s v="03-02-2025"/>
    <x v="280"/>
    <s v="Bulk"/>
    <x v="3"/>
    <x v="2"/>
    <s v="223728"/>
    <s v="Gpay"/>
    <x v="180"/>
    <x v="180"/>
    <x v="6"/>
    <n v="1"/>
    <n v="90.51"/>
    <n v="13.58"/>
    <n v="76.930000000000007"/>
    <n v="3.85"/>
    <n v="30"/>
    <n v="10"/>
    <n v="120.78"/>
    <n v="28"/>
    <x v="6"/>
  </r>
  <r>
    <s v="O0584"/>
    <s v="01-02-2025"/>
    <x v="281"/>
    <s v="Bulk"/>
    <x v="5"/>
    <x v="2"/>
    <s v="907221"/>
    <s v="Upi"/>
    <x v="181"/>
    <x v="181"/>
    <x v="0"/>
    <n v="3"/>
    <n v="200.68"/>
    <n v="10.029999999999999"/>
    <n v="592.01"/>
    <n v="29.6"/>
    <n v="20"/>
    <n v="10"/>
    <n v="651.61"/>
    <n v="21"/>
    <x v="0"/>
  </r>
  <r>
    <s v="O0585"/>
    <s v="23-02-2025"/>
    <x v="282"/>
    <s v="Bulk"/>
    <x v="5"/>
    <x v="1"/>
    <s v="733676"/>
    <s v="Card"/>
    <x v="182"/>
    <x v="182"/>
    <x v="6"/>
    <n v="8"/>
    <n v="137.74"/>
    <n v="0"/>
    <n v="1101.92"/>
    <n v="55.1"/>
    <n v="20"/>
    <n v="15"/>
    <n v="1192.02"/>
    <n v="9"/>
    <x v="5"/>
  </r>
  <r>
    <s v="O0586"/>
    <s v="17-02-2025"/>
    <x v="283"/>
    <s v="Bulk"/>
    <x v="0"/>
    <x v="2"/>
    <s v="154722"/>
    <s v="Gpay"/>
    <x v="183"/>
    <x v="183"/>
    <x v="0"/>
    <n v="1"/>
    <n v="144.13"/>
    <n v="21.62"/>
    <n v="122.51"/>
    <n v="6.13"/>
    <n v="0"/>
    <n v="5"/>
    <n v="133.63999999999999"/>
    <n v="22"/>
    <x v="6"/>
  </r>
  <r>
    <s v="O0587"/>
    <s v="25-01-2025"/>
    <x v="284"/>
    <s v="Bulk"/>
    <x v="2"/>
    <x v="2"/>
    <m/>
    <s v="Cod"/>
    <x v="184"/>
    <x v="184"/>
    <x v="6"/>
    <n v="3"/>
    <n v="83.53"/>
    <n v="0"/>
    <n v="250.59"/>
    <n v="12.53"/>
    <n v="30"/>
    <n v="15"/>
    <n v="308.12"/>
    <n v="24.67"/>
    <x v="0"/>
  </r>
  <r>
    <s v="O0588"/>
    <s v="09-02-2025"/>
    <x v="285"/>
    <s v="Bulk"/>
    <x v="1"/>
    <x v="2"/>
    <s v="958823"/>
    <s v="Cod"/>
    <x v="185"/>
    <x v="185"/>
    <x v="1"/>
    <n v="1"/>
    <n v="132.81"/>
    <n v="6.64"/>
    <n v="126.17"/>
    <n v="6.31"/>
    <n v="10"/>
    <n v="5"/>
    <n v="147.47999999999999"/>
    <n v="33"/>
    <x v="5"/>
  </r>
  <r>
    <s v="O0589"/>
    <s v="14-02-2025"/>
    <x v="286"/>
    <s v="Bulk"/>
    <x v="0"/>
    <x v="1"/>
    <s v="972834"/>
    <s v="Upi"/>
    <x v="186"/>
    <x v="186"/>
    <x v="9"/>
    <n v="1"/>
    <n v="175.94"/>
    <n v="17.59"/>
    <n v="158.35"/>
    <n v="7.92"/>
    <n v="0"/>
    <n v="5"/>
    <n v="171.27"/>
    <n v="37"/>
    <x v="1"/>
  </r>
  <r>
    <s v="O0590"/>
    <s v="22-02-2025"/>
    <x v="287"/>
    <s v="Bulk"/>
    <x v="2"/>
    <x v="2"/>
    <s v="744894"/>
    <s v="Upi"/>
    <x v="187"/>
    <x v="187"/>
    <x v="3"/>
    <n v="1"/>
    <n v="101.71"/>
    <n v="5.09"/>
    <n v="96.61999999999999"/>
    <n v="4.83"/>
    <n v="10"/>
    <n v="20"/>
    <n v="131.44999999999999"/>
    <n v="32"/>
    <x v="0"/>
  </r>
  <r>
    <s v="O0591"/>
    <s v="01-01-2025"/>
    <x v="288"/>
    <s v="Bulk"/>
    <x v="0"/>
    <x v="2"/>
    <s v="915869"/>
    <s v="Cod"/>
    <x v="188"/>
    <x v="188"/>
    <x v="7"/>
    <n v="1"/>
    <n v="170.13"/>
    <n v="17.010000000000002"/>
    <n v="153.12"/>
    <n v="7.66"/>
    <n v="30"/>
    <n v="20"/>
    <n v="210.78"/>
    <n v="13"/>
    <x v="2"/>
  </r>
  <r>
    <s v="O0592"/>
    <s v="16-01-2025"/>
    <x v="289"/>
    <s v="Bulk"/>
    <x v="3"/>
    <x v="0"/>
    <s v="373813"/>
    <s v="Netbanking"/>
    <x v="189"/>
    <x v="189"/>
    <x v="9"/>
    <n v="4"/>
    <n v="268.76"/>
    <n v="26.88"/>
    <n v="1048.1600000000001"/>
    <n v="52.41"/>
    <n v="20"/>
    <n v="15"/>
    <n v="1135.57"/>
    <n v="47"/>
    <x v="4"/>
  </r>
  <r>
    <s v="O0593"/>
    <s v="08-02-2025"/>
    <x v="290"/>
    <s v="Bulk"/>
    <x v="0"/>
    <x v="1"/>
    <s v="624624"/>
    <s v="Upi"/>
    <x v="190"/>
    <x v="190"/>
    <x v="4"/>
    <n v="4"/>
    <n v="201.95"/>
    <n v="20.2"/>
    <n v="787.59999999999991"/>
    <n v="39.380000000000003"/>
    <n v="0"/>
    <n v="20"/>
    <n v="846.9799999999999"/>
    <n v="23"/>
    <x v="0"/>
  </r>
  <r>
    <s v="O0594"/>
    <s v="05-01-2025"/>
    <x v="291"/>
    <s v="Bulk"/>
    <x v="3"/>
    <x v="2"/>
    <s v="116279"/>
    <s v="Cod"/>
    <x v="191"/>
    <x v="191"/>
    <x v="7"/>
    <n v="1"/>
    <n v="111.49"/>
    <n v="0"/>
    <n v="111.49"/>
    <n v="5.57"/>
    <n v="10"/>
    <n v="20"/>
    <n v="147.06"/>
    <n v="13"/>
    <x v="5"/>
  </r>
  <r>
    <s v="O0595"/>
    <s v="22-01-2025"/>
    <x v="292"/>
    <s v="Returning"/>
    <x v="4"/>
    <x v="1"/>
    <s v="985050"/>
    <s v="Cod"/>
    <x v="192"/>
    <x v="192"/>
    <x v="3"/>
    <n v="4"/>
    <n v="118.36"/>
    <n v="0"/>
    <n v="473.44"/>
    <n v="23.67"/>
    <n v="0"/>
    <n v="20"/>
    <n v="517.11"/>
    <n v="26"/>
    <x v="2"/>
  </r>
  <r>
    <s v="O0596"/>
    <s v="29-01-2025"/>
    <x v="293"/>
    <s v="Bulk"/>
    <x v="1"/>
    <x v="0"/>
    <s v="337723"/>
    <s v="Cod"/>
    <x v="193"/>
    <x v="193"/>
    <x v="9"/>
    <n v="4"/>
    <n v="137.53"/>
    <n v="6.88"/>
    <n v="543.24"/>
    <n v="27.16"/>
    <n v="10"/>
    <n v="5"/>
    <n v="585.4"/>
    <n v="23"/>
    <x v="2"/>
  </r>
  <r>
    <s v="O0597"/>
    <s v="24-02-2025"/>
    <x v="294"/>
    <s v="Bulk"/>
    <x v="5"/>
    <x v="0"/>
    <s v="297478"/>
    <s v="Card"/>
    <x v="194"/>
    <x v="194"/>
    <x v="8"/>
    <n v="1"/>
    <n v="147.46"/>
    <n v="7.37"/>
    <n v="140.09"/>
    <n v="7"/>
    <n v="10"/>
    <n v="5"/>
    <n v="162.09"/>
    <n v="25"/>
    <x v="6"/>
  </r>
  <r>
    <s v="O0598"/>
    <s v="03-01-2025"/>
    <x v="295"/>
    <s v="Bulk"/>
    <x v="5"/>
    <x v="0"/>
    <s v="789245"/>
    <s v="Upi"/>
    <x v="195"/>
    <x v="195"/>
    <x v="7"/>
    <n v="6"/>
    <n v="109.6"/>
    <n v="5.48"/>
    <n v="652.11999999999989"/>
    <n v="32.61"/>
    <n v="0"/>
    <n v="20"/>
    <n v="704.7299999999999"/>
    <n v="31"/>
    <x v="1"/>
  </r>
  <r>
    <s v="O0599"/>
    <s v="12-01-2025"/>
    <x v="296"/>
    <s v="Bulk"/>
    <x v="2"/>
    <x v="2"/>
    <s v="455239"/>
    <s v="Phonepe"/>
    <x v="196"/>
    <x v="196"/>
    <x v="9"/>
    <n v="7"/>
    <n v="103.07"/>
    <n v="15.46"/>
    <n v="706.03"/>
    <n v="35.299999999999997"/>
    <n v="30"/>
    <n v="15"/>
    <n v="786.32999999999993"/>
    <n v="19"/>
    <x v="5"/>
  </r>
  <r>
    <s v="O0600"/>
    <s v="26-01-2025"/>
    <x v="297"/>
    <s v="Bulk"/>
    <x v="3"/>
    <x v="3"/>
    <s v="479593"/>
    <s v="Netbanking"/>
    <x v="197"/>
    <x v="197"/>
    <x v="5"/>
    <n v="1"/>
    <n v="162.08000000000001"/>
    <n v="0"/>
    <n v="162.08000000000001"/>
    <n v="8.1"/>
    <n v="10"/>
    <n v="0"/>
    <n v="180.18"/>
    <n v="13"/>
    <x v="5"/>
  </r>
  <r>
    <s v="O0601"/>
    <s v="16-01-2025"/>
    <x v="0"/>
    <s v="Bulk"/>
    <x v="1"/>
    <x v="0"/>
    <s v="917459"/>
    <s v="Upi"/>
    <x v="0"/>
    <x v="0"/>
    <x v="3"/>
    <n v="2"/>
    <n v="138.87"/>
    <n v="13.89"/>
    <n v="263.85000000000002"/>
    <n v="13.19"/>
    <n v="20"/>
    <n v="5"/>
    <n v="302.04000000000002"/>
    <n v="25"/>
    <x v="4"/>
  </r>
  <r>
    <s v="O0602"/>
    <s v="20-02-2025"/>
    <x v="1"/>
    <s v="Bulk"/>
    <x v="1"/>
    <x v="0"/>
    <s v="846760"/>
    <s v="Phonepe"/>
    <x v="1"/>
    <x v="1"/>
    <x v="9"/>
    <n v="1"/>
    <n v="158.94999999999999"/>
    <n v="0"/>
    <n v="158.94999999999999"/>
    <n v="7.95"/>
    <n v="30"/>
    <n v="10"/>
    <n v="206.9"/>
    <n v="24.67"/>
    <x v="4"/>
  </r>
  <r>
    <s v="O0603"/>
    <s v="06-02-2025"/>
    <x v="298"/>
    <s v="New"/>
    <x v="4"/>
    <x v="1"/>
    <s v="189037"/>
    <s v="Gpay"/>
    <x v="198"/>
    <x v="198"/>
    <x v="7"/>
    <n v="4"/>
    <n v="94.3"/>
    <n v="0"/>
    <n v="377.2"/>
    <n v="18.86"/>
    <n v="30"/>
    <n v="20"/>
    <n v="446.06"/>
    <n v="4"/>
    <x v="4"/>
  </r>
  <r>
    <s v="O0604"/>
    <s v="22-01-2025"/>
    <x v="299"/>
    <s v="Bulk"/>
    <x v="1"/>
    <x v="2"/>
    <s v="259882"/>
    <s v="Wallet"/>
    <x v="199"/>
    <x v="199"/>
    <x v="3"/>
    <n v="3"/>
    <n v="149.13"/>
    <n v="14.91"/>
    <n v="432.48"/>
    <n v="21.62"/>
    <n v="20"/>
    <n v="5"/>
    <n v="479.1"/>
    <n v="20"/>
    <x v="2"/>
  </r>
  <r>
    <s v="O0605"/>
    <s v="26-02-2025"/>
    <x v="2"/>
    <s v="Bulk"/>
    <x v="0"/>
    <x v="1"/>
    <m/>
    <s v="Wallet"/>
    <x v="2"/>
    <x v="2"/>
    <x v="2"/>
    <n v="5"/>
    <n v="234.74"/>
    <n v="23.47"/>
    <n v="1150.23"/>
    <n v="57.51"/>
    <n v="20"/>
    <n v="20"/>
    <n v="1247.74"/>
    <n v="33"/>
    <x v="2"/>
  </r>
  <r>
    <s v="O0606"/>
    <s v="29-01-2025"/>
    <x v="3"/>
    <s v="Bulk"/>
    <x v="1"/>
    <x v="0"/>
    <s v="780428"/>
    <s v="Gpay"/>
    <x v="3"/>
    <x v="3"/>
    <x v="6"/>
    <n v="4"/>
    <n v="52.9"/>
    <n v="5.29"/>
    <n v="206.31"/>
    <n v="10.32"/>
    <n v="30"/>
    <n v="20"/>
    <n v="266.63"/>
    <n v="10"/>
    <x v="2"/>
  </r>
  <r>
    <s v="O0607"/>
    <s v="14-01-2025"/>
    <x v="4"/>
    <s v="New"/>
    <x v="4"/>
    <x v="2"/>
    <s v="470608"/>
    <s v="Wallet"/>
    <x v="4"/>
    <x v="4"/>
    <x v="0"/>
    <n v="1"/>
    <n v="125.88"/>
    <n v="0"/>
    <n v="125.88"/>
    <n v="6.29"/>
    <n v="10"/>
    <n v="0"/>
    <n v="142.16999999999999"/>
    <n v="24.67"/>
    <x v="3"/>
  </r>
  <r>
    <s v="O0608"/>
    <s v="28-01-2025"/>
    <x v="5"/>
    <s v="Bulk"/>
    <x v="1"/>
    <x v="2"/>
    <s v="848692"/>
    <s v="Netbanking"/>
    <x v="5"/>
    <x v="5"/>
    <x v="1"/>
    <n v="5"/>
    <n v="77.84"/>
    <n v="11.68"/>
    <n v="377.52"/>
    <n v="18.88"/>
    <n v="20"/>
    <n v="10"/>
    <n v="426.4"/>
    <n v="12"/>
    <x v="3"/>
  </r>
  <r>
    <s v="O0609"/>
    <s v="05-01-2025"/>
    <x v="6"/>
    <s v="Bulk"/>
    <x v="1"/>
    <x v="2"/>
    <s v="371365"/>
    <s v="Gpay"/>
    <x v="6"/>
    <x v="6"/>
    <x v="5"/>
    <n v="3"/>
    <n v="135.13"/>
    <n v="6.76"/>
    <n v="398.63"/>
    <n v="19.93"/>
    <n v="20"/>
    <n v="5"/>
    <n v="443.56"/>
    <n v="37"/>
    <x v="5"/>
  </r>
  <r>
    <s v="O0610"/>
    <s v="16-02-2025"/>
    <x v="7"/>
    <s v="Bulk"/>
    <x v="0"/>
    <x v="1"/>
    <s v="701206"/>
    <s v="Phonepe"/>
    <x v="7"/>
    <x v="7"/>
    <x v="0"/>
    <n v="6"/>
    <n v="49.66"/>
    <n v="7.45"/>
    <n v="290.51"/>
    <n v="14.53"/>
    <n v="10"/>
    <n v="5"/>
    <n v="320.04000000000002"/>
    <n v="36"/>
    <x v="5"/>
  </r>
  <r>
    <s v="O0611"/>
    <s v="18-02-2025"/>
    <x v="8"/>
    <s v="Bulk"/>
    <x v="3"/>
    <x v="2"/>
    <s v="326572"/>
    <s v="Upi"/>
    <x v="8"/>
    <x v="8"/>
    <x v="5"/>
    <n v="3"/>
    <n v="272.01"/>
    <n v="13.6"/>
    <n v="802.43"/>
    <n v="40.119999999999997"/>
    <n v="0"/>
    <n v="15"/>
    <n v="857.55"/>
    <n v="15"/>
    <x v="3"/>
  </r>
  <r>
    <s v="O0612"/>
    <s v="30-01-2025"/>
    <x v="9"/>
    <s v="Bulk"/>
    <x v="1"/>
    <x v="0"/>
    <m/>
    <s v="Upi"/>
    <x v="9"/>
    <x v="9"/>
    <x v="0"/>
    <n v="1"/>
    <n v="172.56"/>
    <n v="25.88"/>
    <n v="146.68"/>
    <n v="7.33"/>
    <n v="0"/>
    <n v="20"/>
    <n v="174.01"/>
    <n v="24.67"/>
    <x v="4"/>
  </r>
  <r>
    <s v="O0613"/>
    <s v="15-02-2025"/>
    <x v="10"/>
    <s v="Bulk"/>
    <x v="1"/>
    <x v="0"/>
    <s v="452103"/>
    <s v="Card"/>
    <x v="10"/>
    <x v="10"/>
    <x v="2"/>
    <n v="5"/>
    <n v="80.150000000000006"/>
    <n v="0"/>
    <n v="400.75"/>
    <n v="20.04"/>
    <n v="20"/>
    <n v="0"/>
    <n v="440.79"/>
    <n v="33"/>
    <x v="0"/>
  </r>
  <r>
    <s v="O0614"/>
    <s v="21-02-2025"/>
    <x v="11"/>
    <s v="Bulk"/>
    <x v="1"/>
    <x v="1"/>
    <s v="899687"/>
    <s v="Cod"/>
    <x v="11"/>
    <x v="11"/>
    <x v="1"/>
    <n v="4"/>
    <n v="92.73"/>
    <n v="9.27"/>
    <n v="361.65"/>
    <n v="18.079999999999998"/>
    <n v="10"/>
    <n v="10"/>
    <n v="399.73"/>
    <n v="25"/>
    <x v="1"/>
  </r>
  <r>
    <s v="O0615"/>
    <s v="05-01-2025"/>
    <x v="12"/>
    <s v="Bulk"/>
    <x v="5"/>
    <x v="1"/>
    <s v="485946"/>
    <s v="Gpay"/>
    <x v="12"/>
    <x v="12"/>
    <x v="2"/>
    <n v="3"/>
    <n v="115.48"/>
    <n v="11.55"/>
    <n v="334.89"/>
    <n v="16.739999999999998"/>
    <n v="0"/>
    <n v="20"/>
    <n v="371.63"/>
    <n v="32"/>
    <x v="5"/>
  </r>
  <r>
    <s v="O0616"/>
    <s v="12-01-2025"/>
    <x v="13"/>
    <s v="Bulk"/>
    <x v="3"/>
    <x v="2"/>
    <s v="892130"/>
    <s v="Phonepe"/>
    <x v="13"/>
    <x v="13"/>
    <x v="6"/>
    <n v="1"/>
    <n v="137.9"/>
    <n v="20.68"/>
    <n v="117.22"/>
    <n v="5.86"/>
    <n v="0"/>
    <n v="10"/>
    <n v="133.08000000000001"/>
    <n v="33"/>
    <x v="5"/>
  </r>
  <r>
    <s v="O0617"/>
    <s v="16-01-2025"/>
    <x v="14"/>
    <s v="Bulk"/>
    <x v="2"/>
    <x v="2"/>
    <s v="961465"/>
    <s v="Upi"/>
    <x v="14"/>
    <x v="14"/>
    <x v="5"/>
    <n v="2"/>
    <n v="108.79"/>
    <n v="0"/>
    <n v="217.58"/>
    <n v="10.88"/>
    <n v="10"/>
    <n v="5"/>
    <n v="243.46"/>
    <n v="8"/>
    <x v="4"/>
  </r>
  <r>
    <s v="O0618"/>
    <s v="26-01-2025"/>
    <x v="15"/>
    <s v="New"/>
    <x v="4"/>
    <x v="2"/>
    <s v="368449"/>
    <s v="Netbanking"/>
    <x v="15"/>
    <x v="15"/>
    <x v="2"/>
    <n v="1"/>
    <n v="171.23"/>
    <n v="8.56"/>
    <n v="162.66999999999999"/>
    <n v="8.1300000000000008"/>
    <n v="30"/>
    <n v="10"/>
    <n v="210.8"/>
    <n v="15"/>
    <x v="5"/>
  </r>
  <r>
    <s v="O0619"/>
    <s v="26-01-2025"/>
    <x v="16"/>
    <s v="Bulk"/>
    <x v="0"/>
    <x v="2"/>
    <s v="746275"/>
    <s v="Upi"/>
    <x v="16"/>
    <x v="16"/>
    <x v="0"/>
    <n v="6"/>
    <n v="96.98"/>
    <n v="4.8499999999999996"/>
    <n v="577.03"/>
    <n v="28.85"/>
    <n v="0"/>
    <n v="15"/>
    <n v="620.88"/>
    <n v="34"/>
    <x v="5"/>
  </r>
  <r>
    <s v="O0620"/>
    <s v="17-02-2025"/>
    <x v="17"/>
    <s v="Bulk"/>
    <x v="1"/>
    <x v="1"/>
    <s v="251426"/>
    <s v="Upi"/>
    <x v="17"/>
    <x v="17"/>
    <x v="8"/>
    <n v="5"/>
    <n v="53.62"/>
    <n v="0"/>
    <n v="268.10000000000002"/>
    <n v="13.4"/>
    <n v="30"/>
    <n v="15"/>
    <n v="326.49999999999989"/>
    <n v="41"/>
    <x v="6"/>
  </r>
  <r>
    <s v="O0621"/>
    <s v="21-01-2025"/>
    <x v="18"/>
    <s v="Bulk"/>
    <x v="0"/>
    <x v="1"/>
    <s v="177525"/>
    <s v="Wallet"/>
    <x v="18"/>
    <x v="18"/>
    <x v="9"/>
    <n v="2"/>
    <n v="69.83"/>
    <n v="0"/>
    <n v="139.66"/>
    <n v="6.98"/>
    <n v="30"/>
    <n v="5"/>
    <n v="181.64"/>
    <n v="6"/>
    <x v="3"/>
  </r>
  <r>
    <s v="O0622"/>
    <s v="08-02-2025"/>
    <x v="19"/>
    <s v="Bulk"/>
    <x v="1"/>
    <x v="2"/>
    <s v="544709"/>
    <s v="Gpay"/>
    <x v="19"/>
    <x v="19"/>
    <x v="1"/>
    <n v="2"/>
    <n v="41.87"/>
    <n v="2.09"/>
    <n v="81.649999999999991"/>
    <n v="4.08"/>
    <n v="0"/>
    <n v="0"/>
    <n v="85.72999999999999"/>
    <n v="24.67"/>
    <x v="0"/>
  </r>
  <r>
    <s v="O0623"/>
    <s v="05-02-2025"/>
    <x v="20"/>
    <s v="Bulk"/>
    <x v="5"/>
    <x v="1"/>
    <s v="524724"/>
    <s v="Wallet"/>
    <x v="20"/>
    <x v="20"/>
    <x v="8"/>
    <n v="3"/>
    <n v="127.76"/>
    <n v="19.16"/>
    <n v="364.12"/>
    <n v="18.21"/>
    <n v="30"/>
    <n v="5"/>
    <n v="417.33"/>
    <n v="11"/>
    <x v="2"/>
  </r>
  <r>
    <s v="O0624"/>
    <s v="02-02-2025"/>
    <x v="21"/>
    <s v="New"/>
    <x v="4"/>
    <x v="0"/>
    <s v="397584"/>
    <s v="Card"/>
    <x v="21"/>
    <x v="21"/>
    <x v="2"/>
    <n v="6"/>
    <n v="11.67"/>
    <n v="0"/>
    <n v="70.02"/>
    <n v="3.5"/>
    <n v="10"/>
    <n v="0"/>
    <n v="83.52"/>
    <n v="38"/>
    <x v="5"/>
  </r>
  <r>
    <s v="O0625"/>
    <s v="30-01-2025"/>
    <x v="22"/>
    <s v="New"/>
    <x v="4"/>
    <x v="1"/>
    <s v="306486"/>
    <s v="Upi"/>
    <x v="22"/>
    <x v="22"/>
    <x v="7"/>
    <n v="3"/>
    <n v="104.61"/>
    <n v="10.46"/>
    <n v="303.37"/>
    <n v="15.17"/>
    <n v="0"/>
    <n v="5"/>
    <n v="323.54000000000002"/>
    <n v="27"/>
    <x v="4"/>
  </r>
  <r>
    <s v="O0626"/>
    <s v="06-02-2025"/>
    <x v="23"/>
    <s v="Bulk"/>
    <x v="2"/>
    <x v="1"/>
    <s v="677880"/>
    <s v="Gpay"/>
    <x v="23"/>
    <x v="23"/>
    <x v="1"/>
    <n v="5"/>
    <n v="75.52"/>
    <n v="0"/>
    <n v="377.6"/>
    <n v="18.88"/>
    <n v="10"/>
    <n v="0"/>
    <n v="406.48"/>
    <n v="41"/>
    <x v="4"/>
  </r>
  <r>
    <s v="O0627"/>
    <s v="23-01-2025"/>
    <x v="24"/>
    <s v="Returning"/>
    <x v="4"/>
    <x v="0"/>
    <s v="343767"/>
    <s v="Gpay"/>
    <x v="24"/>
    <x v="24"/>
    <x v="9"/>
    <n v="4"/>
    <n v="77.069999999999993"/>
    <n v="0"/>
    <n v="308.27999999999997"/>
    <n v="15.41"/>
    <n v="30"/>
    <n v="20"/>
    <n v="373.69"/>
    <n v="13"/>
    <x v="4"/>
  </r>
  <r>
    <s v="O0628"/>
    <s v="27-02-2025"/>
    <x v="25"/>
    <s v="Bulk"/>
    <x v="1"/>
    <x v="2"/>
    <s v="510184"/>
    <s v="Gpay"/>
    <x v="25"/>
    <x v="25"/>
    <x v="7"/>
    <n v="7"/>
    <n v="130.47"/>
    <n v="13.05"/>
    <n v="900.24"/>
    <n v="45.01"/>
    <n v="10"/>
    <n v="15"/>
    <n v="970.25"/>
    <n v="16"/>
    <x v="4"/>
  </r>
  <r>
    <s v="O0629"/>
    <s v="10-01-2025"/>
    <x v="26"/>
    <s v="Bulk"/>
    <x v="5"/>
    <x v="2"/>
    <s v="380539"/>
    <s v="Card"/>
    <x v="26"/>
    <x v="26"/>
    <x v="7"/>
    <n v="3"/>
    <n v="135.97"/>
    <n v="20.399999999999999"/>
    <n v="387.51"/>
    <n v="19.38"/>
    <n v="0"/>
    <n v="5"/>
    <n v="411.89"/>
    <n v="25"/>
    <x v="1"/>
  </r>
  <r>
    <s v="O0630"/>
    <s v="23-02-2025"/>
    <x v="27"/>
    <s v="Bulk"/>
    <x v="0"/>
    <x v="0"/>
    <s v="543258"/>
    <s v="Phonepe"/>
    <x v="27"/>
    <x v="27"/>
    <x v="1"/>
    <n v="2"/>
    <n v="146.09"/>
    <n v="21.91"/>
    <n v="270.27"/>
    <n v="13.51"/>
    <n v="20"/>
    <n v="20"/>
    <n v="323.77999999999997"/>
    <n v="21"/>
    <x v="5"/>
  </r>
  <r>
    <s v="O0631"/>
    <s v="05-01-2025"/>
    <x v="28"/>
    <s v="Returning"/>
    <x v="4"/>
    <x v="0"/>
    <s v="342934"/>
    <s v="Cod"/>
    <x v="28"/>
    <x v="28"/>
    <x v="5"/>
    <n v="3"/>
    <n v="215.43"/>
    <n v="10.77"/>
    <n v="635.52"/>
    <n v="31.78"/>
    <n v="0"/>
    <n v="0"/>
    <n v="667.3"/>
    <n v="5"/>
    <x v="5"/>
  </r>
  <r>
    <s v="O0632"/>
    <s v="05-02-2025"/>
    <x v="29"/>
    <s v="Returning"/>
    <x v="4"/>
    <x v="2"/>
    <s v="962318"/>
    <s v="Phonepe"/>
    <x v="29"/>
    <x v="29"/>
    <x v="7"/>
    <n v="1"/>
    <n v="29.71"/>
    <n v="1.49"/>
    <n v="28.22"/>
    <n v="1.41"/>
    <n v="30"/>
    <n v="0"/>
    <n v="59.63"/>
    <n v="26"/>
    <x v="2"/>
  </r>
  <r>
    <s v="O0633"/>
    <s v="03-02-2025"/>
    <x v="30"/>
    <s v="New"/>
    <x v="4"/>
    <x v="1"/>
    <s v="434517"/>
    <s v="Wallet"/>
    <x v="30"/>
    <x v="30"/>
    <x v="7"/>
    <n v="1"/>
    <n v="133.28"/>
    <n v="19.989999999999998"/>
    <n v="113.29"/>
    <n v="5.66"/>
    <n v="30"/>
    <n v="10"/>
    <n v="158.94999999999999"/>
    <n v="24.67"/>
    <x v="6"/>
  </r>
  <r>
    <s v="O0634"/>
    <s v="21-02-2025"/>
    <x v="31"/>
    <s v="Bulk"/>
    <x v="1"/>
    <x v="0"/>
    <s v="147111"/>
    <s v="Wallet"/>
    <x v="31"/>
    <x v="31"/>
    <x v="2"/>
    <n v="3"/>
    <n v="146.59"/>
    <n v="21.99"/>
    <n v="417.78"/>
    <n v="20.89"/>
    <n v="10"/>
    <n v="20"/>
    <n v="468.67"/>
    <n v="3"/>
    <x v="1"/>
  </r>
  <r>
    <s v="O0635"/>
    <s v="31-01-2025"/>
    <x v="32"/>
    <s v="Bulk"/>
    <x v="3"/>
    <x v="2"/>
    <s v="702960"/>
    <s v="Cod"/>
    <x v="32"/>
    <x v="32"/>
    <x v="9"/>
    <n v="2"/>
    <n v="48.94"/>
    <n v="0"/>
    <n v="97.88"/>
    <n v="4.8899999999999997"/>
    <n v="30"/>
    <n v="15"/>
    <n v="147.77000000000001"/>
    <n v="26"/>
    <x v="1"/>
  </r>
  <r>
    <s v="O0636"/>
    <s v="10-01-2025"/>
    <x v="33"/>
    <s v="Returning"/>
    <x v="4"/>
    <x v="2"/>
    <s v="341084"/>
    <s v="Upi"/>
    <x v="33"/>
    <x v="33"/>
    <x v="8"/>
    <n v="4"/>
    <n v="105.65"/>
    <n v="10.57"/>
    <n v="412.03"/>
    <n v="20.6"/>
    <n v="10"/>
    <n v="15"/>
    <n v="457.63000000000011"/>
    <n v="19"/>
    <x v="1"/>
  </r>
  <r>
    <s v="O0637"/>
    <s v="27-02-2025"/>
    <x v="34"/>
    <s v="Bulk"/>
    <x v="2"/>
    <x v="2"/>
    <s v="699792"/>
    <s v="Gpay"/>
    <x v="34"/>
    <x v="34"/>
    <x v="8"/>
    <n v="1"/>
    <n v="209.66"/>
    <n v="0"/>
    <n v="209.66"/>
    <n v="10.48"/>
    <n v="30"/>
    <n v="5"/>
    <n v="255.14"/>
    <n v="24.67"/>
    <x v="4"/>
  </r>
  <r>
    <s v="O0638"/>
    <s v="19-01-2025"/>
    <x v="35"/>
    <s v="Bulk"/>
    <x v="2"/>
    <x v="2"/>
    <s v="768629"/>
    <s v="Phonepe"/>
    <x v="35"/>
    <x v="35"/>
    <x v="0"/>
    <n v="3"/>
    <n v="67.8"/>
    <n v="6.78"/>
    <n v="196.62"/>
    <n v="9.83"/>
    <n v="10"/>
    <n v="0"/>
    <n v="216.45"/>
    <n v="18"/>
    <x v="5"/>
  </r>
  <r>
    <s v="O0639"/>
    <s v="27-02-2025"/>
    <x v="36"/>
    <s v="Bulk"/>
    <x v="5"/>
    <x v="1"/>
    <s v="170021"/>
    <s v="Upi"/>
    <x v="36"/>
    <x v="36"/>
    <x v="6"/>
    <n v="2"/>
    <n v="74.47"/>
    <n v="0"/>
    <n v="148.94"/>
    <n v="7.45"/>
    <n v="20"/>
    <n v="5"/>
    <n v="181.39"/>
    <n v="23"/>
    <x v="4"/>
  </r>
  <r>
    <s v="O0640"/>
    <s v="01-02-2025"/>
    <x v="37"/>
    <s v="Bulk"/>
    <x v="2"/>
    <x v="1"/>
    <s v="437283"/>
    <s v="Cod"/>
    <x v="37"/>
    <x v="37"/>
    <x v="5"/>
    <n v="3"/>
    <n v="147.21"/>
    <n v="0"/>
    <n v="441.63"/>
    <n v="22.08"/>
    <n v="0"/>
    <n v="10"/>
    <n v="473.71"/>
    <n v="15"/>
    <x v="0"/>
  </r>
  <r>
    <s v="O0641"/>
    <s v="01-01-2025"/>
    <x v="38"/>
    <s v="Bulk"/>
    <x v="1"/>
    <x v="0"/>
    <s v="500782"/>
    <s v="Upi"/>
    <x v="38"/>
    <x v="38"/>
    <x v="9"/>
    <n v="6"/>
    <n v="149.94999999999999"/>
    <n v="0"/>
    <n v="899.69999999999993"/>
    <n v="44.98"/>
    <n v="30"/>
    <n v="20"/>
    <n v="994.68"/>
    <n v="17"/>
    <x v="2"/>
  </r>
  <r>
    <s v="O0642"/>
    <s v="25-02-2025"/>
    <x v="39"/>
    <s v="Bulk"/>
    <x v="0"/>
    <x v="2"/>
    <s v="713712"/>
    <s v="Upi"/>
    <x v="39"/>
    <x v="39"/>
    <x v="0"/>
    <n v="1"/>
    <n v="156.61000000000001"/>
    <n v="0"/>
    <n v="156.61000000000001"/>
    <n v="7.83"/>
    <n v="30"/>
    <n v="10"/>
    <n v="204.44"/>
    <n v="26"/>
    <x v="3"/>
  </r>
  <r>
    <s v="O0643"/>
    <s v="05-01-2025"/>
    <x v="40"/>
    <s v="Bulk"/>
    <x v="3"/>
    <x v="2"/>
    <s v="409143"/>
    <s v="Cod"/>
    <x v="40"/>
    <x v="40"/>
    <x v="7"/>
    <n v="1"/>
    <n v="160.54"/>
    <n v="24.08"/>
    <n v="136.46"/>
    <n v="6.82"/>
    <n v="20"/>
    <n v="0"/>
    <n v="163.28"/>
    <n v="36"/>
    <x v="5"/>
  </r>
  <r>
    <s v="O0644"/>
    <s v="14-02-2025"/>
    <x v="41"/>
    <s v="Bulk"/>
    <x v="5"/>
    <x v="2"/>
    <s v="543441"/>
    <s v="Netbanking"/>
    <x v="41"/>
    <x v="41"/>
    <x v="7"/>
    <n v="2"/>
    <n v="26.32"/>
    <n v="1.32"/>
    <n v="51.32"/>
    <n v="2.57"/>
    <n v="30"/>
    <n v="20"/>
    <n v="103.89"/>
    <n v="24.67"/>
    <x v="1"/>
  </r>
  <r>
    <s v="O0645"/>
    <s v="04-01-2025"/>
    <x v="42"/>
    <s v="Bulk"/>
    <x v="1"/>
    <x v="2"/>
    <s v="816741"/>
    <s v="Wallet"/>
    <x v="42"/>
    <x v="42"/>
    <x v="3"/>
    <n v="5"/>
    <n v="102.69"/>
    <n v="15.4"/>
    <n v="498.05000000000013"/>
    <n v="24.9"/>
    <n v="20"/>
    <n v="5"/>
    <n v="547.95000000000005"/>
    <n v="17"/>
    <x v="0"/>
  </r>
  <r>
    <s v="O0646"/>
    <s v="16-01-2025"/>
    <x v="43"/>
    <s v="Bulk"/>
    <x v="5"/>
    <x v="1"/>
    <s v="854471"/>
    <s v="Upi"/>
    <x v="43"/>
    <x v="43"/>
    <x v="0"/>
    <n v="5"/>
    <n v="197.2"/>
    <n v="0"/>
    <n v="986"/>
    <n v="49.3"/>
    <n v="10"/>
    <n v="0"/>
    <n v="1045.3"/>
    <n v="17"/>
    <x v="4"/>
  </r>
  <r>
    <s v="O0647"/>
    <s v="24-01-2025"/>
    <x v="44"/>
    <s v="Bulk"/>
    <x v="0"/>
    <x v="2"/>
    <s v="244771"/>
    <s v="Upi"/>
    <x v="44"/>
    <x v="44"/>
    <x v="3"/>
    <n v="1"/>
    <n v="139.05000000000001"/>
    <n v="6.95"/>
    <n v="132.1"/>
    <n v="6.61"/>
    <n v="10"/>
    <n v="15"/>
    <n v="163.71"/>
    <n v="21"/>
    <x v="1"/>
  </r>
  <r>
    <s v="O0648"/>
    <s v="16-01-2025"/>
    <x v="45"/>
    <s v="New"/>
    <x v="4"/>
    <x v="0"/>
    <s v="390951"/>
    <s v="Phonepe"/>
    <x v="45"/>
    <x v="45"/>
    <x v="9"/>
    <n v="1"/>
    <n v="102.46"/>
    <n v="10.25"/>
    <n v="92.21"/>
    <n v="4.6100000000000003"/>
    <n v="20"/>
    <n v="10"/>
    <n v="126.82"/>
    <n v="19"/>
    <x v="4"/>
  </r>
  <r>
    <s v="O0649"/>
    <s v="24-02-2025"/>
    <x v="46"/>
    <s v="Bulk"/>
    <x v="2"/>
    <x v="0"/>
    <s v="365702"/>
    <s v="Gpay"/>
    <x v="46"/>
    <x v="46"/>
    <x v="2"/>
    <n v="3"/>
    <n v="225.3"/>
    <n v="22.53"/>
    <n v="653.37000000000012"/>
    <n v="32.67"/>
    <n v="10"/>
    <n v="10"/>
    <n v="706.04000000000008"/>
    <n v="25"/>
    <x v="6"/>
  </r>
  <r>
    <s v="O0650"/>
    <s v="02-01-2025"/>
    <x v="47"/>
    <s v="New"/>
    <x v="4"/>
    <x v="1"/>
    <s v="158219"/>
    <s v="Netbanking"/>
    <x v="47"/>
    <x v="47"/>
    <x v="2"/>
    <n v="3"/>
    <n v="104.64"/>
    <n v="5.23"/>
    <n v="308.69"/>
    <n v="15.43"/>
    <n v="0"/>
    <n v="10"/>
    <n v="334.12"/>
    <n v="24.67"/>
    <x v="4"/>
  </r>
  <r>
    <s v="O0651"/>
    <s v="18-02-2025"/>
    <x v="48"/>
    <s v="Bulk"/>
    <x v="1"/>
    <x v="1"/>
    <s v="652165"/>
    <s v="Card"/>
    <x v="48"/>
    <x v="48"/>
    <x v="6"/>
    <n v="3"/>
    <n v="161.56"/>
    <n v="8.08"/>
    <n v="476.6"/>
    <n v="23.83"/>
    <n v="30"/>
    <n v="15"/>
    <n v="545.43000000000006"/>
    <n v="19"/>
    <x v="3"/>
  </r>
  <r>
    <s v="O0652"/>
    <s v="28-01-2025"/>
    <x v="49"/>
    <s v="New"/>
    <x v="4"/>
    <x v="0"/>
    <s v="247878"/>
    <s v="Cod"/>
    <x v="49"/>
    <x v="49"/>
    <x v="6"/>
    <n v="2"/>
    <n v="239.39"/>
    <n v="0"/>
    <n v="478.78"/>
    <n v="23.94"/>
    <n v="0"/>
    <n v="20"/>
    <n v="522.72"/>
    <n v="28"/>
    <x v="3"/>
  </r>
  <r>
    <s v="O0653"/>
    <s v="01-02-2025"/>
    <x v="50"/>
    <s v="Bulk"/>
    <x v="0"/>
    <x v="1"/>
    <s v="927679"/>
    <s v="Phonepe"/>
    <x v="50"/>
    <x v="50"/>
    <x v="0"/>
    <n v="4"/>
    <n v="153.18"/>
    <n v="22.98"/>
    <n v="589.74"/>
    <n v="29.49"/>
    <n v="0"/>
    <n v="5"/>
    <n v="624.23"/>
    <n v="27"/>
    <x v="0"/>
  </r>
  <r>
    <s v="O0654"/>
    <s v="27-01-2025"/>
    <x v="51"/>
    <s v="Bulk"/>
    <x v="5"/>
    <x v="1"/>
    <s v="870655"/>
    <s v="Phonepe"/>
    <x v="51"/>
    <x v="51"/>
    <x v="5"/>
    <n v="2"/>
    <n v="25.94"/>
    <n v="0"/>
    <n v="51.88"/>
    <n v="2.59"/>
    <n v="20"/>
    <n v="15"/>
    <n v="89.47"/>
    <n v="20"/>
    <x v="6"/>
  </r>
  <r>
    <s v="O0655"/>
    <s v="20-01-2025"/>
    <x v="52"/>
    <s v="Bulk"/>
    <x v="5"/>
    <x v="0"/>
    <s v="211426"/>
    <s v="Card"/>
    <x v="52"/>
    <x v="52"/>
    <x v="6"/>
    <n v="3"/>
    <n v="103.17"/>
    <n v="0"/>
    <n v="309.51"/>
    <n v="15.48"/>
    <n v="10"/>
    <n v="15"/>
    <n v="349.99"/>
    <n v="22"/>
    <x v="6"/>
  </r>
  <r>
    <s v="O0656"/>
    <s v="24-01-2025"/>
    <x v="53"/>
    <s v="Bulk"/>
    <x v="3"/>
    <x v="1"/>
    <s v="834595"/>
    <s v="Netbanking"/>
    <x v="53"/>
    <x v="53"/>
    <x v="5"/>
    <n v="2"/>
    <n v="152.29"/>
    <n v="22.84"/>
    <n v="281.74"/>
    <n v="14.09"/>
    <n v="10"/>
    <n v="10"/>
    <n v="315.83"/>
    <n v="33"/>
    <x v="1"/>
  </r>
  <r>
    <s v="O0657"/>
    <s v="12-01-2025"/>
    <x v="54"/>
    <s v="Bulk"/>
    <x v="1"/>
    <x v="0"/>
    <s v="936309"/>
    <s v="Phonepe"/>
    <x v="54"/>
    <x v="54"/>
    <x v="6"/>
    <n v="1"/>
    <n v="75.66"/>
    <n v="3.78"/>
    <n v="71.88"/>
    <n v="3.59"/>
    <n v="20"/>
    <n v="20"/>
    <n v="115.47"/>
    <n v="24.67"/>
    <x v="5"/>
  </r>
  <r>
    <s v="O0658"/>
    <s v="19-02-2025"/>
    <x v="55"/>
    <s v="Bulk"/>
    <x v="2"/>
    <x v="0"/>
    <s v="382579"/>
    <s v="Cod"/>
    <x v="55"/>
    <x v="55"/>
    <x v="0"/>
    <n v="2"/>
    <n v="197.19"/>
    <n v="19.72"/>
    <n v="374.66"/>
    <n v="18.73"/>
    <n v="20"/>
    <n v="10"/>
    <n v="423.39"/>
    <n v="24.67"/>
    <x v="2"/>
  </r>
  <r>
    <s v="O0659"/>
    <s v="04-02-2025"/>
    <x v="56"/>
    <s v="Bulk"/>
    <x v="2"/>
    <x v="0"/>
    <s v="425137"/>
    <s v="Card"/>
    <x v="56"/>
    <x v="56"/>
    <x v="3"/>
    <n v="5"/>
    <n v="31.9"/>
    <n v="1.59"/>
    <n v="157.91"/>
    <n v="7.9"/>
    <n v="10"/>
    <n v="15"/>
    <n v="190.81"/>
    <n v="23"/>
    <x v="3"/>
  </r>
  <r>
    <s v="O0660"/>
    <s v="01-03-2025"/>
    <x v="57"/>
    <s v="Bulk"/>
    <x v="0"/>
    <x v="1"/>
    <s v="834276"/>
    <s v="Cod"/>
    <x v="57"/>
    <x v="57"/>
    <x v="1"/>
    <n v="1"/>
    <n v="146.61000000000001"/>
    <n v="21.99"/>
    <n v="124.62"/>
    <n v="6.23"/>
    <n v="10"/>
    <n v="15"/>
    <n v="155.85"/>
    <n v="13"/>
    <x v="0"/>
  </r>
  <r>
    <s v="O0661"/>
    <s v="02-02-2025"/>
    <x v="58"/>
    <s v="Bulk"/>
    <x v="2"/>
    <x v="2"/>
    <s v="856079"/>
    <s v="Card"/>
    <x v="58"/>
    <x v="58"/>
    <x v="7"/>
    <n v="3"/>
    <n v="7.81"/>
    <n v="0"/>
    <n v="23.43"/>
    <n v="1.17"/>
    <n v="0"/>
    <n v="10"/>
    <n v="34.6"/>
    <n v="20"/>
    <x v="5"/>
  </r>
  <r>
    <s v="O0662"/>
    <s v="02-02-2025"/>
    <x v="59"/>
    <s v="Bulk"/>
    <x v="5"/>
    <x v="1"/>
    <s v="715416"/>
    <s v="Upi"/>
    <x v="59"/>
    <x v="59"/>
    <x v="9"/>
    <n v="3"/>
    <n v="203.43"/>
    <n v="30.51"/>
    <n v="579.78"/>
    <n v="28.99"/>
    <n v="20"/>
    <n v="10"/>
    <n v="638.77"/>
    <n v="22"/>
    <x v="5"/>
  </r>
  <r>
    <s v="O0663"/>
    <s v="20-02-2025"/>
    <x v="60"/>
    <s v="Bulk"/>
    <x v="0"/>
    <x v="0"/>
    <s v="831234"/>
    <s v="Gpay"/>
    <x v="60"/>
    <x v="60"/>
    <x v="9"/>
    <n v="1"/>
    <n v="196.96"/>
    <n v="0"/>
    <n v="196.96"/>
    <n v="9.85"/>
    <n v="0"/>
    <n v="10"/>
    <n v="216.81"/>
    <n v="13"/>
    <x v="4"/>
  </r>
  <r>
    <s v="O0664"/>
    <s v="12-02-2025"/>
    <x v="61"/>
    <s v="Bulk"/>
    <x v="3"/>
    <x v="2"/>
    <s v="448844"/>
    <s v="Netbanking"/>
    <x v="61"/>
    <x v="61"/>
    <x v="6"/>
    <n v="3"/>
    <n v="158.16999999999999"/>
    <n v="7.91"/>
    <n v="466.6"/>
    <n v="23.33"/>
    <n v="0"/>
    <n v="5"/>
    <n v="494.92999999999989"/>
    <n v="19"/>
    <x v="2"/>
  </r>
  <r>
    <s v="O0665"/>
    <s v="06-02-2025"/>
    <x v="62"/>
    <s v="Bulk"/>
    <x v="5"/>
    <x v="0"/>
    <s v="465898"/>
    <s v="Gpay"/>
    <x v="62"/>
    <x v="62"/>
    <x v="8"/>
    <n v="1"/>
    <n v="66.3"/>
    <n v="3.31"/>
    <n v="62.989999999999988"/>
    <n v="3.15"/>
    <n v="30"/>
    <n v="5"/>
    <n v="101.14"/>
    <n v="19"/>
    <x v="4"/>
  </r>
  <r>
    <s v="O0666"/>
    <s v="12-01-2025"/>
    <x v="63"/>
    <s v="New"/>
    <x v="4"/>
    <x v="0"/>
    <s v="477844"/>
    <s v="Wallet"/>
    <x v="63"/>
    <x v="63"/>
    <x v="7"/>
    <n v="2"/>
    <n v="110.5"/>
    <n v="11.05"/>
    <n v="209.95"/>
    <n v="10.5"/>
    <n v="0"/>
    <n v="0"/>
    <n v="220.45"/>
    <n v="24"/>
    <x v="5"/>
  </r>
  <r>
    <s v="O0667"/>
    <s v="03-01-2025"/>
    <x v="64"/>
    <s v="Bulk"/>
    <x v="1"/>
    <x v="1"/>
    <s v="327203"/>
    <s v="Cod"/>
    <x v="64"/>
    <x v="64"/>
    <x v="7"/>
    <n v="1"/>
    <n v="182.71"/>
    <n v="9.14"/>
    <n v="173.57"/>
    <n v="8.68"/>
    <n v="30"/>
    <n v="0"/>
    <n v="212.25"/>
    <n v="25"/>
    <x v="1"/>
  </r>
  <r>
    <s v="O0668"/>
    <s v="01-01-2025"/>
    <x v="65"/>
    <s v="Bulk"/>
    <x v="5"/>
    <x v="1"/>
    <s v="760046"/>
    <s v="Upi"/>
    <x v="65"/>
    <x v="65"/>
    <x v="3"/>
    <n v="1"/>
    <n v="122.48"/>
    <n v="6.12"/>
    <n v="116.36"/>
    <n v="5.82"/>
    <n v="30"/>
    <n v="10"/>
    <n v="162.18"/>
    <n v="29"/>
    <x v="2"/>
  </r>
  <r>
    <s v="O0669"/>
    <s v="02-02-2025"/>
    <x v="66"/>
    <s v="Bulk"/>
    <x v="3"/>
    <x v="1"/>
    <s v="866843"/>
    <s v="Netbanking"/>
    <x v="66"/>
    <x v="66"/>
    <x v="0"/>
    <n v="3"/>
    <n v="103.94"/>
    <n v="5.2"/>
    <n v="306.62"/>
    <n v="15.33"/>
    <n v="20"/>
    <n v="0"/>
    <n v="341.95"/>
    <n v="10"/>
    <x v="5"/>
  </r>
  <r>
    <s v="O0670"/>
    <s v="09-02-2025"/>
    <x v="67"/>
    <s v="Bulk"/>
    <x v="2"/>
    <x v="2"/>
    <s v="539358"/>
    <s v="Netbanking"/>
    <x v="67"/>
    <x v="67"/>
    <x v="6"/>
    <n v="3"/>
    <n v="192.61"/>
    <n v="28.89"/>
    <n v="548.94000000000005"/>
    <n v="27.45"/>
    <n v="0"/>
    <n v="10"/>
    <n v="586.3900000000001"/>
    <n v="22"/>
    <x v="5"/>
  </r>
  <r>
    <s v="O0671"/>
    <s v="10-01-2025"/>
    <x v="68"/>
    <s v="New"/>
    <x v="4"/>
    <x v="0"/>
    <s v="456427"/>
    <s v="Card"/>
    <x v="68"/>
    <x v="68"/>
    <x v="0"/>
    <n v="1"/>
    <n v="77.27"/>
    <n v="3.86"/>
    <n v="73.41"/>
    <n v="3.67"/>
    <n v="0"/>
    <n v="5"/>
    <n v="82.08"/>
    <n v="5"/>
    <x v="1"/>
  </r>
  <r>
    <s v="O0672"/>
    <s v="12-02-2025"/>
    <x v="69"/>
    <s v="Bulk"/>
    <x v="3"/>
    <x v="2"/>
    <s v="215657"/>
    <s v="Cod"/>
    <x v="69"/>
    <x v="69"/>
    <x v="5"/>
    <n v="1"/>
    <n v="59.54"/>
    <n v="5.95"/>
    <n v="53.59"/>
    <n v="2.68"/>
    <n v="30"/>
    <n v="10"/>
    <n v="96.27"/>
    <n v="24.67"/>
    <x v="2"/>
  </r>
  <r>
    <s v="O0673"/>
    <s v="13-02-2025"/>
    <x v="70"/>
    <s v="Bulk"/>
    <x v="2"/>
    <x v="2"/>
    <s v="841570"/>
    <s v="Wallet"/>
    <x v="70"/>
    <x v="70"/>
    <x v="5"/>
    <n v="1"/>
    <n v="170.49"/>
    <n v="8.52"/>
    <n v="161.97"/>
    <n v="8.1"/>
    <n v="20"/>
    <n v="10"/>
    <n v="200.07"/>
    <n v="28"/>
    <x v="4"/>
  </r>
  <r>
    <s v="O0674"/>
    <s v="29-01-2025"/>
    <x v="71"/>
    <s v="Bulk"/>
    <x v="5"/>
    <x v="2"/>
    <s v="899180"/>
    <s v="Netbanking"/>
    <x v="71"/>
    <x v="71"/>
    <x v="2"/>
    <n v="6"/>
    <n v="110.64"/>
    <n v="5.53"/>
    <n v="658.31000000000006"/>
    <n v="32.92"/>
    <n v="0"/>
    <n v="5"/>
    <n v="696.23"/>
    <n v="24.67"/>
    <x v="2"/>
  </r>
  <r>
    <s v="O0675"/>
    <s v="13-01-2025"/>
    <x v="72"/>
    <s v="Returning"/>
    <x v="4"/>
    <x v="2"/>
    <s v="180152"/>
    <s v="Phonepe"/>
    <x v="72"/>
    <x v="72"/>
    <x v="5"/>
    <n v="5"/>
    <n v="138.79"/>
    <n v="0"/>
    <n v="693.94999999999993"/>
    <n v="34.700000000000003"/>
    <n v="30"/>
    <n v="0"/>
    <n v="758.65"/>
    <n v="25"/>
    <x v="6"/>
  </r>
  <r>
    <s v="O0676"/>
    <s v="12-01-2025"/>
    <x v="73"/>
    <s v="Bulk"/>
    <x v="5"/>
    <x v="1"/>
    <s v="141743"/>
    <s v="Upi"/>
    <x v="73"/>
    <x v="73"/>
    <x v="0"/>
    <n v="4"/>
    <n v="71.62"/>
    <n v="10.74"/>
    <n v="275.74"/>
    <n v="13.79"/>
    <n v="20"/>
    <n v="5"/>
    <n v="314.52999999999997"/>
    <n v="11"/>
    <x v="5"/>
  </r>
  <r>
    <s v="O0677"/>
    <s v="31-01-2025"/>
    <x v="74"/>
    <s v="Bulk"/>
    <x v="1"/>
    <x v="0"/>
    <s v="426284"/>
    <s v="Upi"/>
    <x v="74"/>
    <x v="74"/>
    <x v="9"/>
    <n v="3"/>
    <n v="96.73"/>
    <n v="0"/>
    <n v="290.19"/>
    <n v="14.51"/>
    <n v="30"/>
    <n v="5"/>
    <n v="339.7"/>
    <n v="40"/>
    <x v="1"/>
  </r>
  <r>
    <s v="O0678"/>
    <s v="15-02-2025"/>
    <x v="75"/>
    <s v="Bulk"/>
    <x v="3"/>
    <x v="2"/>
    <s v="821827"/>
    <s v="Gpay"/>
    <x v="75"/>
    <x v="75"/>
    <x v="5"/>
    <n v="1"/>
    <n v="42.37"/>
    <n v="0"/>
    <n v="42.37"/>
    <n v="2.12"/>
    <n v="30"/>
    <n v="20"/>
    <n v="94.49"/>
    <n v="12"/>
    <x v="0"/>
  </r>
  <r>
    <s v="O0679"/>
    <s v="02-01-2025"/>
    <x v="76"/>
    <s v="Bulk"/>
    <x v="1"/>
    <x v="2"/>
    <s v="688216"/>
    <s v="Card"/>
    <x v="76"/>
    <x v="76"/>
    <x v="6"/>
    <n v="4"/>
    <n v="140.43"/>
    <n v="0"/>
    <n v="561.72"/>
    <n v="28.09"/>
    <n v="10"/>
    <n v="5"/>
    <n v="604.81000000000006"/>
    <n v="24.67"/>
    <x v="4"/>
  </r>
  <r>
    <s v="O0680"/>
    <s v="20-02-2025"/>
    <x v="77"/>
    <s v="Bulk"/>
    <x v="1"/>
    <x v="0"/>
    <s v="778525"/>
    <s v="Upi"/>
    <x v="77"/>
    <x v="77"/>
    <x v="5"/>
    <n v="3"/>
    <n v="52.28"/>
    <n v="0"/>
    <n v="156.84"/>
    <n v="7.84"/>
    <n v="30"/>
    <n v="15"/>
    <n v="209.68"/>
    <n v="13"/>
    <x v="4"/>
  </r>
  <r>
    <s v="O0681"/>
    <s v="19-02-2025"/>
    <x v="78"/>
    <s v="Bulk"/>
    <x v="0"/>
    <x v="0"/>
    <s v="684668"/>
    <s v="Upi"/>
    <x v="78"/>
    <x v="78"/>
    <x v="2"/>
    <n v="2"/>
    <n v="69.88"/>
    <n v="3.49"/>
    <n v="136.27000000000001"/>
    <n v="6.81"/>
    <n v="20"/>
    <n v="10"/>
    <n v="173.08"/>
    <n v="24.67"/>
    <x v="2"/>
  </r>
  <r>
    <s v="O0682"/>
    <s v="04-02-2025"/>
    <x v="79"/>
    <s v="Bulk"/>
    <x v="1"/>
    <x v="2"/>
    <s v="600201"/>
    <s v="Upi"/>
    <x v="79"/>
    <x v="79"/>
    <x v="5"/>
    <n v="3"/>
    <n v="134.75"/>
    <n v="6.74"/>
    <n v="397.51"/>
    <n v="19.88"/>
    <n v="30"/>
    <n v="20"/>
    <n v="467.39"/>
    <n v="24.67"/>
    <x v="3"/>
  </r>
  <r>
    <s v="O0683"/>
    <s v="23-01-2025"/>
    <x v="80"/>
    <s v="Bulk"/>
    <x v="2"/>
    <x v="3"/>
    <s v="110068"/>
    <s v="Upi"/>
    <x v="80"/>
    <x v="80"/>
    <x v="5"/>
    <n v="1"/>
    <n v="156.31"/>
    <n v="15.63"/>
    <n v="140.68"/>
    <n v="7.03"/>
    <n v="20"/>
    <n v="15"/>
    <n v="182.71"/>
    <n v="36"/>
    <x v="4"/>
  </r>
  <r>
    <s v="O0684"/>
    <s v="17-01-2025"/>
    <x v="81"/>
    <s v="Bulk"/>
    <x v="3"/>
    <x v="2"/>
    <s v="886719"/>
    <s v="Card"/>
    <x v="81"/>
    <x v="81"/>
    <x v="6"/>
    <n v="2"/>
    <n v="162.74"/>
    <n v="8.14"/>
    <n v="317.33999999999997"/>
    <n v="15.87"/>
    <n v="30"/>
    <n v="5"/>
    <n v="368.21"/>
    <n v="24.67"/>
    <x v="1"/>
  </r>
  <r>
    <s v="O0685"/>
    <s v="26-01-2025"/>
    <x v="82"/>
    <s v="New"/>
    <x v="4"/>
    <x v="0"/>
    <s v="468655"/>
    <s v="Card"/>
    <x v="82"/>
    <x v="82"/>
    <x v="0"/>
    <n v="1"/>
    <n v="226"/>
    <n v="33.9"/>
    <n v="192.1"/>
    <n v="9.61"/>
    <n v="30"/>
    <n v="10"/>
    <n v="241.71"/>
    <n v="40"/>
    <x v="5"/>
  </r>
  <r>
    <s v="O0686"/>
    <s v="08-01-2025"/>
    <x v="83"/>
    <s v="Bulk"/>
    <x v="1"/>
    <x v="0"/>
    <s v="878580"/>
    <s v="Gpay"/>
    <x v="83"/>
    <x v="83"/>
    <x v="2"/>
    <n v="5"/>
    <n v="175.68"/>
    <n v="17.57"/>
    <n v="860.83"/>
    <n v="43.04"/>
    <n v="0"/>
    <n v="0"/>
    <n v="903.87"/>
    <n v="24.67"/>
    <x v="2"/>
  </r>
  <r>
    <s v="O0687"/>
    <s v="29-01-2025"/>
    <x v="84"/>
    <s v="Bulk"/>
    <x v="0"/>
    <x v="2"/>
    <m/>
    <s v="Netbanking"/>
    <x v="84"/>
    <x v="84"/>
    <x v="2"/>
    <n v="4"/>
    <n v="62.86"/>
    <n v="6.29"/>
    <n v="245.15"/>
    <n v="12.26"/>
    <n v="20"/>
    <n v="15"/>
    <n v="292.41000000000003"/>
    <n v="18"/>
    <x v="2"/>
  </r>
  <r>
    <s v="O0688"/>
    <s v="26-01-2025"/>
    <x v="85"/>
    <s v="Bulk"/>
    <x v="2"/>
    <x v="1"/>
    <s v="840122"/>
    <s v="Upi"/>
    <x v="85"/>
    <x v="85"/>
    <x v="9"/>
    <n v="3"/>
    <n v="198.55"/>
    <n v="19.86"/>
    <n v="575.79000000000008"/>
    <n v="28.79"/>
    <n v="20"/>
    <n v="20"/>
    <n v="644.58000000000004"/>
    <n v="20"/>
    <x v="5"/>
  </r>
  <r>
    <s v="O0689"/>
    <s v="10-01-2025"/>
    <x v="86"/>
    <s v="Bulk"/>
    <x v="0"/>
    <x v="0"/>
    <s v="245281"/>
    <s v="Wallet"/>
    <x v="86"/>
    <x v="86"/>
    <x v="0"/>
    <n v="4"/>
    <n v="220.03"/>
    <n v="33"/>
    <n v="847.12"/>
    <n v="42.36"/>
    <n v="20"/>
    <n v="5"/>
    <n v="914.48"/>
    <n v="40"/>
    <x v="1"/>
  </r>
  <r>
    <s v="O0690"/>
    <s v="26-01-2025"/>
    <x v="87"/>
    <s v="Returning"/>
    <x v="4"/>
    <x v="0"/>
    <s v="464315"/>
    <s v="Netbanking"/>
    <x v="87"/>
    <x v="87"/>
    <x v="6"/>
    <n v="1"/>
    <n v="229.66"/>
    <n v="11.48"/>
    <n v="218.18"/>
    <n v="10.91"/>
    <n v="20"/>
    <n v="15"/>
    <n v="264.08999999999997"/>
    <n v="24.67"/>
    <x v="5"/>
  </r>
  <r>
    <s v="O0691"/>
    <s v="03-02-2025"/>
    <x v="88"/>
    <s v="Bulk"/>
    <x v="2"/>
    <x v="0"/>
    <s v="133783"/>
    <s v="Phonepe"/>
    <x v="88"/>
    <x v="88"/>
    <x v="5"/>
    <n v="1"/>
    <n v="163.29"/>
    <n v="24.49"/>
    <n v="138.80000000000001"/>
    <n v="6.94"/>
    <n v="0"/>
    <n v="15"/>
    <n v="160.74"/>
    <n v="23"/>
    <x v="6"/>
  </r>
  <r>
    <s v="O0692"/>
    <s v="20-02-2025"/>
    <x v="89"/>
    <s v="Bulk"/>
    <x v="2"/>
    <x v="0"/>
    <m/>
    <s v="Gpay"/>
    <x v="89"/>
    <x v="89"/>
    <x v="3"/>
    <n v="3"/>
    <n v="71.510000000000005"/>
    <n v="7.15"/>
    <n v="207.38"/>
    <n v="10.37"/>
    <n v="0"/>
    <n v="15"/>
    <n v="232.75"/>
    <n v="32"/>
    <x v="4"/>
  </r>
  <r>
    <s v="O0693"/>
    <s v="10-02-2025"/>
    <x v="90"/>
    <s v="Bulk"/>
    <x v="2"/>
    <x v="2"/>
    <s v="154745"/>
    <s v="Card"/>
    <x v="90"/>
    <x v="90"/>
    <x v="6"/>
    <n v="1"/>
    <n v="156.55000000000001"/>
    <n v="23.48"/>
    <n v="133.07"/>
    <n v="6.65"/>
    <n v="20"/>
    <n v="15"/>
    <n v="174.72"/>
    <n v="16"/>
    <x v="6"/>
  </r>
  <r>
    <s v="O0694"/>
    <s v="07-01-2025"/>
    <x v="91"/>
    <s v="Bulk"/>
    <x v="3"/>
    <x v="3"/>
    <s v="121067"/>
    <s v="Netbanking"/>
    <x v="91"/>
    <x v="91"/>
    <x v="7"/>
    <n v="5"/>
    <n v="24.34"/>
    <n v="0"/>
    <n v="121.7"/>
    <n v="6.09"/>
    <n v="20"/>
    <n v="5"/>
    <n v="152.79"/>
    <n v="41"/>
    <x v="3"/>
  </r>
  <r>
    <s v="O0695"/>
    <s v="04-01-2025"/>
    <x v="92"/>
    <s v="Bulk"/>
    <x v="0"/>
    <x v="1"/>
    <s v="312603"/>
    <s v="Upi"/>
    <x v="92"/>
    <x v="92"/>
    <x v="9"/>
    <n v="3"/>
    <n v="101.78"/>
    <n v="0"/>
    <n v="305.33999999999997"/>
    <n v="15.27"/>
    <n v="20"/>
    <n v="20"/>
    <n v="360.61"/>
    <n v="14"/>
    <x v="0"/>
  </r>
  <r>
    <s v="O0696"/>
    <s v="27-02-2025"/>
    <x v="93"/>
    <s v="Bulk"/>
    <x v="5"/>
    <x v="2"/>
    <m/>
    <s v="Card"/>
    <x v="93"/>
    <x v="93"/>
    <x v="9"/>
    <n v="6"/>
    <n v="116.46"/>
    <n v="5.82"/>
    <n v="692.93999999999994"/>
    <n v="34.65"/>
    <n v="10"/>
    <n v="5"/>
    <n v="742.58999999999992"/>
    <n v="42"/>
    <x v="4"/>
  </r>
  <r>
    <s v="O0697"/>
    <s v="22-02-2025"/>
    <x v="94"/>
    <s v="Bulk"/>
    <x v="2"/>
    <x v="0"/>
    <s v="656371"/>
    <s v="Card"/>
    <x v="94"/>
    <x v="94"/>
    <x v="7"/>
    <n v="3"/>
    <n v="124.63"/>
    <n v="18.690000000000001"/>
    <n v="355.2"/>
    <n v="17.760000000000002"/>
    <n v="30"/>
    <n v="15"/>
    <n v="417.96"/>
    <n v="28"/>
    <x v="0"/>
  </r>
  <r>
    <s v="O0698"/>
    <s v="19-02-2025"/>
    <x v="95"/>
    <s v="Bulk"/>
    <x v="1"/>
    <x v="1"/>
    <s v="242157"/>
    <s v="Phonepe"/>
    <x v="95"/>
    <x v="95"/>
    <x v="7"/>
    <n v="5"/>
    <n v="120.75"/>
    <n v="0"/>
    <n v="603.75"/>
    <n v="30.19"/>
    <n v="0"/>
    <n v="20"/>
    <n v="653.94000000000005"/>
    <n v="53"/>
    <x v="2"/>
  </r>
  <r>
    <s v="O0699"/>
    <s v="14-02-2025"/>
    <x v="96"/>
    <s v="Bulk"/>
    <x v="2"/>
    <x v="1"/>
    <s v="236645"/>
    <s v="Netbanking"/>
    <x v="96"/>
    <x v="96"/>
    <x v="5"/>
    <n v="3"/>
    <n v="138.66999999999999"/>
    <n v="6.93"/>
    <n v="409.08"/>
    <n v="20.45"/>
    <n v="0"/>
    <n v="15"/>
    <n v="444.53"/>
    <n v="24.67"/>
    <x v="1"/>
  </r>
  <r>
    <s v="O0700"/>
    <s v="11-01-2025"/>
    <x v="97"/>
    <s v="Bulk"/>
    <x v="3"/>
    <x v="2"/>
    <s v="651852"/>
    <s v="Phonepe"/>
    <x v="97"/>
    <x v="97"/>
    <x v="1"/>
    <n v="1"/>
    <n v="182.2"/>
    <n v="9.11"/>
    <n v="173.09"/>
    <n v="8.65"/>
    <n v="10"/>
    <n v="10"/>
    <n v="201.74"/>
    <n v="9"/>
    <x v="0"/>
  </r>
  <r>
    <s v="O0701"/>
    <s v="29-01-2025"/>
    <x v="98"/>
    <s v="Bulk"/>
    <x v="5"/>
    <x v="2"/>
    <s v="682111"/>
    <s v="Gpay"/>
    <x v="98"/>
    <x v="98"/>
    <x v="7"/>
    <n v="4"/>
    <n v="142.06"/>
    <n v="21.31"/>
    <n v="546.93000000000006"/>
    <n v="27.35"/>
    <n v="30"/>
    <n v="5"/>
    <n v="609.28000000000009"/>
    <n v="26"/>
    <x v="2"/>
  </r>
  <r>
    <s v="O0702"/>
    <s v="25-02-2025"/>
    <x v="99"/>
    <s v="Bulk"/>
    <x v="1"/>
    <x v="1"/>
    <s v="700724"/>
    <s v="Netbanking"/>
    <x v="99"/>
    <x v="99"/>
    <x v="5"/>
    <n v="2"/>
    <n v="128.63"/>
    <n v="12.86"/>
    <n v="244.4"/>
    <n v="12.22"/>
    <n v="20"/>
    <n v="5"/>
    <n v="281.62"/>
    <n v="24.67"/>
    <x v="3"/>
  </r>
  <r>
    <s v="O0703"/>
    <s v="05-02-2025"/>
    <x v="100"/>
    <s v="Bulk"/>
    <x v="1"/>
    <x v="0"/>
    <s v="172684"/>
    <s v="Gpay"/>
    <x v="100"/>
    <x v="100"/>
    <x v="7"/>
    <n v="5"/>
    <n v="224.09"/>
    <n v="0"/>
    <n v="1120.45"/>
    <n v="56.02"/>
    <n v="20"/>
    <n v="0"/>
    <n v="1196.47"/>
    <n v="15"/>
    <x v="2"/>
  </r>
  <r>
    <s v="O0704"/>
    <s v="25-01-2025"/>
    <x v="101"/>
    <s v="Bulk"/>
    <x v="2"/>
    <x v="2"/>
    <s v="893070"/>
    <s v="Netbanking"/>
    <x v="101"/>
    <x v="101"/>
    <x v="0"/>
    <n v="5"/>
    <n v="132.13999999999999"/>
    <n v="13.21"/>
    <n v="647.4899999999999"/>
    <n v="32.369999999999997"/>
    <n v="0"/>
    <n v="10"/>
    <n v="689.8599999999999"/>
    <n v="24.67"/>
    <x v="0"/>
  </r>
  <r>
    <s v="O0705"/>
    <s v="21-01-2025"/>
    <x v="102"/>
    <s v="Bulk"/>
    <x v="5"/>
    <x v="1"/>
    <s v="837651"/>
    <s v="Upi"/>
    <x v="102"/>
    <x v="102"/>
    <x v="6"/>
    <n v="2"/>
    <n v="0.72"/>
    <n v="7.0000000000000007E-2"/>
    <n v="1.37"/>
    <n v="7.0000000000000007E-2"/>
    <n v="0"/>
    <n v="0"/>
    <n v="1.44"/>
    <n v="24"/>
    <x v="3"/>
  </r>
  <r>
    <s v="O0706"/>
    <s v="26-02-2025"/>
    <x v="103"/>
    <s v="Bulk"/>
    <x v="0"/>
    <x v="0"/>
    <s v="472818"/>
    <s v="Card"/>
    <x v="103"/>
    <x v="103"/>
    <x v="1"/>
    <n v="1"/>
    <n v="175.35"/>
    <n v="26.3"/>
    <n v="149.05000000000001"/>
    <n v="7.45"/>
    <n v="30"/>
    <n v="20"/>
    <n v="206.5"/>
    <n v="15"/>
    <x v="2"/>
  </r>
  <r>
    <s v="O0707"/>
    <s v="05-02-2025"/>
    <x v="104"/>
    <s v="Bulk"/>
    <x v="3"/>
    <x v="1"/>
    <s v="513461"/>
    <s v="Upi"/>
    <x v="104"/>
    <x v="104"/>
    <x v="9"/>
    <n v="5"/>
    <n v="199.93"/>
    <n v="29.99"/>
    <n v="969.66000000000008"/>
    <n v="48.48"/>
    <n v="20"/>
    <n v="0"/>
    <n v="1038.1400000000001"/>
    <n v="27"/>
    <x v="2"/>
  </r>
  <r>
    <s v="O0708"/>
    <s v="10-01-2025"/>
    <x v="105"/>
    <s v="Bulk"/>
    <x v="3"/>
    <x v="2"/>
    <s v="697578"/>
    <s v="Netbanking"/>
    <x v="105"/>
    <x v="105"/>
    <x v="3"/>
    <n v="1"/>
    <n v="39.25"/>
    <n v="5.89"/>
    <n v="33.36"/>
    <n v="1.67"/>
    <n v="20"/>
    <n v="0"/>
    <n v="55.03"/>
    <n v="18"/>
    <x v="1"/>
  </r>
  <r>
    <s v="O0709"/>
    <s v="06-02-2025"/>
    <x v="106"/>
    <s v="Bulk"/>
    <x v="1"/>
    <x v="2"/>
    <s v="991490"/>
    <s v="Phonepe"/>
    <x v="106"/>
    <x v="106"/>
    <x v="2"/>
    <n v="2"/>
    <n v="72.260000000000005"/>
    <n v="3.61"/>
    <n v="140.91"/>
    <n v="7.05"/>
    <n v="30"/>
    <n v="0"/>
    <n v="177.96"/>
    <n v="23"/>
    <x v="4"/>
  </r>
  <r>
    <s v="O0710"/>
    <s v="09-01-2025"/>
    <x v="107"/>
    <s v="Bulk"/>
    <x v="5"/>
    <x v="0"/>
    <s v="597488"/>
    <s v="Upi"/>
    <x v="107"/>
    <x v="107"/>
    <x v="2"/>
    <n v="2"/>
    <n v="178.64"/>
    <n v="26.8"/>
    <n v="330.48"/>
    <n v="16.52"/>
    <n v="20"/>
    <n v="5"/>
    <n v="371.99999999999989"/>
    <n v="12"/>
    <x v="4"/>
  </r>
  <r>
    <s v="O0711"/>
    <s v="24-01-2025"/>
    <x v="108"/>
    <s v="Bulk"/>
    <x v="1"/>
    <x v="0"/>
    <s v="331452"/>
    <s v="Upi"/>
    <x v="108"/>
    <x v="108"/>
    <x v="2"/>
    <n v="1"/>
    <n v="188.83"/>
    <n v="0"/>
    <n v="188.83"/>
    <n v="9.44"/>
    <n v="10"/>
    <n v="10"/>
    <n v="218.27"/>
    <n v="24"/>
    <x v="1"/>
  </r>
  <r>
    <s v="O0712"/>
    <s v="04-02-2025"/>
    <x v="109"/>
    <s v="Bulk"/>
    <x v="0"/>
    <x v="0"/>
    <s v="369515"/>
    <s v="Netbanking"/>
    <x v="109"/>
    <x v="109"/>
    <x v="9"/>
    <n v="1"/>
    <n v="205.11"/>
    <n v="30.77"/>
    <n v="174.34"/>
    <n v="8.7200000000000006"/>
    <n v="20"/>
    <n v="20"/>
    <n v="223.06"/>
    <n v="27"/>
    <x v="3"/>
  </r>
  <r>
    <s v="O0713"/>
    <s v="18-02-2025"/>
    <x v="110"/>
    <s v="Bulk"/>
    <x v="2"/>
    <x v="0"/>
    <s v="343459"/>
    <s v="Upi"/>
    <x v="110"/>
    <x v="110"/>
    <x v="2"/>
    <n v="1"/>
    <n v="25.34"/>
    <n v="2.5299999999999998"/>
    <n v="22.81"/>
    <n v="1.1399999999999999"/>
    <n v="30"/>
    <n v="10"/>
    <n v="63.95"/>
    <n v="29"/>
    <x v="3"/>
  </r>
  <r>
    <s v="O0714"/>
    <s v="04-02-2025"/>
    <x v="111"/>
    <s v="New"/>
    <x v="4"/>
    <x v="0"/>
    <s v="577294"/>
    <s v="Phonepe"/>
    <x v="111"/>
    <x v="111"/>
    <x v="2"/>
    <n v="3"/>
    <n v="109.72"/>
    <n v="5.49"/>
    <n v="323.67"/>
    <n v="16.18"/>
    <n v="10"/>
    <n v="10"/>
    <n v="359.85"/>
    <n v="17"/>
    <x v="3"/>
  </r>
  <r>
    <s v="O0715"/>
    <s v="17-02-2025"/>
    <x v="112"/>
    <s v="Bulk"/>
    <x v="2"/>
    <x v="2"/>
    <s v="972391"/>
    <s v="Upi"/>
    <x v="112"/>
    <x v="112"/>
    <x v="2"/>
    <n v="5"/>
    <n v="182.72"/>
    <n v="9.14"/>
    <n v="904.46"/>
    <n v="45.22"/>
    <n v="10"/>
    <n v="5"/>
    <n v="964.68000000000006"/>
    <n v="28"/>
    <x v="6"/>
  </r>
  <r>
    <s v="O0716"/>
    <s v="05-02-2025"/>
    <x v="113"/>
    <s v="Bulk"/>
    <x v="0"/>
    <x v="2"/>
    <s v="294999"/>
    <s v="Upi"/>
    <x v="113"/>
    <x v="113"/>
    <x v="7"/>
    <n v="2"/>
    <n v="61.06"/>
    <n v="0"/>
    <n v="122.12"/>
    <n v="6.11"/>
    <n v="10"/>
    <n v="10"/>
    <n v="148.22999999999999"/>
    <n v="34"/>
    <x v="2"/>
  </r>
  <r>
    <s v="O0717"/>
    <s v="18-01-2025"/>
    <x v="114"/>
    <s v="Bulk"/>
    <x v="0"/>
    <x v="2"/>
    <s v="438585"/>
    <s v="Gpay"/>
    <x v="114"/>
    <x v="114"/>
    <x v="0"/>
    <n v="1"/>
    <n v="190.83"/>
    <n v="19.079999999999998"/>
    <n v="171.75"/>
    <n v="8.59"/>
    <n v="30"/>
    <n v="15"/>
    <n v="225.34"/>
    <n v="47"/>
    <x v="0"/>
  </r>
  <r>
    <s v="O0718"/>
    <s v="18-02-2025"/>
    <x v="115"/>
    <s v="Bulk"/>
    <x v="3"/>
    <x v="1"/>
    <s v="592461"/>
    <s v="Cod"/>
    <x v="115"/>
    <x v="115"/>
    <x v="4"/>
    <n v="3"/>
    <n v="109.22"/>
    <n v="10.92"/>
    <n v="316.74"/>
    <n v="15.84"/>
    <n v="10"/>
    <n v="10"/>
    <n v="352.57999999999993"/>
    <n v="44"/>
    <x v="3"/>
  </r>
  <r>
    <s v="O0719"/>
    <s v="08-02-2025"/>
    <x v="116"/>
    <s v="Bulk"/>
    <x v="1"/>
    <x v="2"/>
    <s v="572295"/>
    <s v="Upi"/>
    <x v="116"/>
    <x v="116"/>
    <x v="9"/>
    <n v="2"/>
    <n v="221.4"/>
    <n v="11.07"/>
    <n v="431.73"/>
    <n v="21.59"/>
    <n v="10"/>
    <n v="0"/>
    <n v="463.32"/>
    <n v="35"/>
    <x v="0"/>
  </r>
  <r>
    <s v="O0720"/>
    <s v="01-02-2025"/>
    <x v="117"/>
    <s v="Bulk"/>
    <x v="3"/>
    <x v="0"/>
    <s v="832722"/>
    <s v="Wallet"/>
    <x v="117"/>
    <x v="117"/>
    <x v="9"/>
    <n v="1"/>
    <n v="128.13999999999999"/>
    <n v="19.22"/>
    <n v="108.92"/>
    <n v="5.45"/>
    <n v="10"/>
    <n v="10"/>
    <n v="134.37"/>
    <n v="18"/>
    <x v="0"/>
  </r>
  <r>
    <s v="O0721"/>
    <s v="24-01-2025"/>
    <x v="118"/>
    <s v="Returning"/>
    <x v="4"/>
    <x v="0"/>
    <s v="944156"/>
    <s v="Upi"/>
    <x v="118"/>
    <x v="118"/>
    <x v="9"/>
    <n v="5"/>
    <n v="97.55"/>
    <n v="9.76"/>
    <n v="477.99"/>
    <n v="23.9"/>
    <n v="10"/>
    <n v="5"/>
    <n v="516.89"/>
    <n v="23"/>
    <x v="1"/>
  </r>
  <r>
    <s v="O0722"/>
    <s v="23-01-2025"/>
    <x v="119"/>
    <s v="Bulk"/>
    <x v="0"/>
    <x v="1"/>
    <s v="442022"/>
    <s v="Gpay"/>
    <x v="119"/>
    <x v="119"/>
    <x v="0"/>
    <n v="1"/>
    <n v="193.8"/>
    <n v="19.38"/>
    <n v="174.42"/>
    <n v="8.7200000000000006"/>
    <n v="10"/>
    <n v="0"/>
    <n v="193.14"/>
    <n v="31"/>
    <x v="4"/>
  </r>
  <r>
    <s v="O0723"/>
    <s v="01-02-2025"/>
    <x v="120"/>
    <s v="Bulk"/>
    <x v="2"/>
    <x v="3"/>
    <s v="867976"/>
    <s v="Card"/>
    <x v="120"/>
    <x v="120"/>
    <x v="6"/>
    <n v="3"/>
    <n v="15.37"/>
    <n v="0"/>
    <n v="46.11"/>
    <n v="2.31"/>
    <n v="10"/>
    <n v="0"/>
    <n v="58.42"/>
    <n v="13"/>
    <x v="0"/>
  </r>
  <r>
    <s v="O0724"/>
    <s v="06-02-2025"/>
    <x v="121"/>
    <s v="Bulk"/>
    <x v="3"/>
    <x v="1"/>
    <s v="510520"/>
    <s v="Phonepe"/>
    <x v="121"/>
    <x v="121"/>
    <x v="1"/>
    <n v="1"/>
    <n v="99.55"/>
    <n v="14.93"/>
    <n v="84.62"/>
    <n v="4.2300000000000004"/>
    <n v="10"/>
    <n v="10"/>
    <n v="108.85"/>
    <n v="6"/>
    <x v="4"/>
  </r>
  <r>
    <s v="O0725"/>
    <s v="12-01-2025"/>
    <x v="122"/>
    <s v="Bulk"/>
    <x v="3"/>
    <x v="2"/>
    <s v="258477"/>
    <s v="Upi"/>
    <x v="122"/>
    <x v="122"/>
    <x v="7"/>
    <n v="4"/>
    <n v="109.12"/>
    <n v="10.91"/>
    <n v="425.57"/>
    <n v="21.28"/>
    <n v="30"/>
    <n v="15"/>
    <n v="491.85"/>
    <n v="20"/>
    <x v="5"/>
  </r>
  <r>
    <s v="O0726"/>
    <s v="18-02-2025"/>
    <x v="123"/>
    <s v="Bulk"/>
    <x v="2"/>
    <x v="2"/>
    <s v="901125"/>
    <s v="Wallet"/>
    <x v="123"/>
    <x v="123"/>
    <x v="9"/>
    <n v="3"/>
    <n v="61.22"/>
    <n v="3.06"/>
    <n v="180.6"/>
    <n v="9.0299999999999994"/>
    <n v="10"/>
    <n v="20"/>
    <n v="219.63"/>
    <n v="28"/>
    <x v="3"/>
  </r>
  <r>
    <s v="O0727"/>
    <s v="24-02-2025"/>
    <x v="124"/>
    <s v="Bulk"/>
    <x v="5"/>
    <x v="1"/>
    <m/>
    <s v="Phonepe"/>
    <x v="124"/>
    <x v="124"/>
    <x v="2"/>
    <n v="2"/>
    <n v="215.01"/>
    <n v="0"/>
    <n v="430.02"/>
    <n v="21.5"/>
    <n v="20"/>
    <n v="0"/>
    <n v="471.52"/>
    <n v="13"/>
    <x v="6"/>
  </r>
  <r>
    <s v="O0728"/>
    <s v="13-01-2025"/>
    <x v="125"/>
    <s v="Bulk"/>
    <x v="2"/>
    <x v="2"/>
    <s v="379720"/>
    <s v="Upi"/>
    <x v="125"/>
    <x v="125"/>
    <x v="7"/>
    <n v="1"/>
    <n v="63.89"/>
    <n v="0"/>
    <n v="63.89"/>
    <n v="3.19"/>
    <n v="30"/>
    <n v="15"/>
    <n v="112.08"/>
    <n v="29"/>
    <x v="6"/>
  </r>
  <r>
    <s v="O0729"/>
    <s v="23-01-2025"/>
    <x v="126"/>
    <s v="Bulk"/>
    <x v="2"/>
    <x v="0"/>
    <m/>
    <s v="Wallet"/>
    <x v="126"/>
    <x v="126"/>
    <x v="0"/>
    <n v="3"/>
    <n v="85.82"/>
    <n v="8.58"/>
    <n v="248.88"/>
    <n v="12.44"/>
    <n v="10"/>
    <n v="10"/>
    <n v="281.32"/>
    <n v="24.67"/>
    <x v="4"/>
  </r>
  <r>
    <s v="O0730"/>
    <s v="25-01-2025"/>
    <x v="127"/>
    <s v="Bulk"/>
    <x v="0"/>
    <x v="0"/>
    <s v="594080"/>
    <s v="Phonepe"/>
    <x v="127"/>
    <x v="127"/>
    <x v="2"/>
    <n v="1"/>
    <n v="12.2"/>
    <n v="0"/>
    <n v="12.2"/>
    <n v="0.61"/>
    <n v="10"/>
    <n v="5"/>
    <n v="27.81"/>
    <n v="39"/>
    <x v="0"/>
  </r>
  <r>
    <s v="O0731"/>
    <s v="04-02-2025"/>
    <x v="128"/>
    <s v="Bulk"/>
    <x v="1"/>
    <x v="0"/>
    <s v="412579"/>
    <s v="Cod"/>
    <x v="128"/>
    <x v="128"/>
    <x v="7"/>
    <n v="3"/>
    <n v="64.349999999999994"/>
    <n v="3.22"/>
    <n v="189.83"/>
    <n v="9.49"/>
    <n v="30"/>
    <n v="10"/>
    <n v="239.32"/>
    <n v="16"/>
    <x v="3"/>
  </r>
  <r>
    <s v="O0732"/>
    <s v="10-02-2025"/>
    <x v="129"/>
    <s v="Bulk"/>
    <x v="5"/>
    <x v="2"/>
    <s v="982876"/>
    <s v="Upi"/>
    <x v="129"/>
    <x v="129"/>
    <x v="8"/>
    <n v="4"/>
    <n v="249.9"/>
    <n v="0"/>
    <n v="999.6"/>
    <n v="49.98"/>
    <n v="10"/>
    <n v="20"/>
    <n v="1079.58"/>
    <n v="36"/>
    <x v="6"/>
  </r>
  <r>
    <s v="O0733"/>
    <s v="30-01-2025"/>
    <x v="130"/>
    <s v="Bulk"/>
    <x v="0"/>
    <x v="2"/>
    <s v="859066"/>
    <s v="Upi"/>
    <x v="130"/>
    <x v="130"/>
    <x v="4"/>
    <n v="1"/>
    <n v="175.18"/>
    <n v="26.28"/>
    <n v="148.9"/>
    <n v="7.45"/>
    <n v="30"/>
    <n v="15"/>
    <n v="201.35"/>
    <n v="16"/>
    <x v="4"/>
  </r>
  <r>
    <s v="O0734"/>
    <s v="17-01-2025"/>
    <x v="131"/>
    <s v="New"/>
    <x v="4"/>
    <x v="1"/>
    <s v="886939"/>
    <s v="Phonepe"/>
    <x v="131"/>
    <x v="131"/>
    <x v="5"/>
    <n v="3"/>
    <n v="54.53"/>
    <n v="2.73"/>
    <n v="160.86000000000001"/>
    <n v="8.0399999999999991"/>
    <n v="10"/>
    <n v="5"/>
    <n v="183.9"/>
    <n v="24.67"/>
    <x v="1"/>
  </r>
  <r>
    <s v="O0735"/>
    <s v="18-02-2025"/>
    <x v="132"/>
    <s v="Bulk"/>
    <x v="3"/>
    <x v="0"/>
    <s v="762714"/>
    <s v="Cod"/>
    <x v="132"/>
    <x v="132"/>
    <x v="2"/>
    <n v="3"/>
    <n v="129.41999999999999"/>
    <n v="19.41"/>
    <n v="368.85"/>
    <n v="18.440000000000001"/>
    <n v="30"/>
    <n v="15"/>
    <n v="432.29"/>
    <n v="35"/>
    <x v="3"/>
  </r>
  <r>
    <s v="O0736"/>
    <s v="20-01-2025"/>
    <x v="133"/>
    <s v="Bulk"/>
    <x v="3"/>
    <x v="2"/>
    <s v="566589"/>
    <s v="Upi"/>
    <x v="133"/>
    <x v="133"/>
    <x v="2"/>
    <n v="5"/>
    <n v="27.43"/>
    <n v="0"/>
    <n v="137.15"/>
    <n v="6.86"/>
    <n v="20"/>
    <n v="20"/>
    <n v="184.01"/>
    <n v="37"/>
    <x v="6"/>
  </r>
  <r>
    <s v="O0737"/>
    <s v="17-02-2025"/>
    <x v="134"/>
    <s v="Returning"/>
    <x v="4"/>
    <x v="2"/>
    <s v="270205"/>
    <s v="Card"/>
    <x v="134"/>
    <x v="134"/>
    <x v="0"/>
    <n v="3"/>
    <n v="181.67"/>
    <n v="18.170000000000002"/>
    <n v="526.84"/>
    <n v="26.34"/>
    <n v="20"/>
    <n v="15"/>
    <n v="588.18000000000006"/>
    <n v="18"/>
    <x v="6"/>
  </r>
  <r>
    <s v="O0738"/>
    <s v="25-01-2025"/>
    <x v="135"/>
    <s v="Bulk"/>
    <x v="0"/>
    <x v="0"/>
    <s v="109927"/>
    <s v="Netbanking"/>
    <x v="135"/>
    <x v="135"/>
    <x v="9"/>
    <n v="1"/>
    <n v="59.34"/>
    <n v="0"/>
    <n v="59.34"/>
    <n v="2.97"/>
    <n v="10"/>
    <n v="10"/>
    <n v="82.31"/>
    <n v="30"/>
    <x v="0"/>
  </r>
  <r>
    <s v="O0739"/>
    <s v="22-01-2025"/>
    <x v="136"/>
    <s v="Bulk"/>
    <x v="3"/>
    <x v="0"/>
    <s v="239005"/>
    <s v="Upi"/>
    <x v="136"/>
    <x v="136"/>
    <x v="5"/>
    <n v="1"/>
    <n v="111.47"/>
    <n v="5.57"/>
    <n v="105.9"/>
    <n v="5.3"/>
    <n v="20"/>
    <n v="20"/>
    <n v="151.19999999999999"/>
    <n v="39"/>
    <x v="2"/>
  </r>
  <r>
    <s v="O0740"/>
    <s v="13-01-2025"/>
    <x v="137"/>
    <s v="Bulk"/>
    <x v="2"/>
    <x v="0"/>
    <s v="150013"/>
    <s v="Phonepe"/>
    <x v="137"/>
    <x v="137"/>
    <x v="5"/>
    <n v="3"/>
    <n v="148.36000000000001"/>
    <n v="7.42"/>
    <n v="437.66"/>
    <n v="21.88"/>
    <n v="0"/>
    <n v="20"/>
    <n v="479.54"/>
    <n v="28"/>
    <x v="6"/>
  </r>
  <r>
    <s v="O0741"/>
    <s v="28-02-2025"/>
    <x v="138"/>
    <s v="New"/>
    <x v="4"/>
    <x v="0"/>
    <s v="211361"/>
    <s v="Cod"/>
    <x v="138"/>
    <x v="138"/>
    <x v="9"/>
    <n v="2"/>
    <n v="79.5"/>
    <n v="7.95"/>
    <n v="151.05000000000001"/>
    <n v="7.55"/>
    <n v="20"/>
    <n v="0"/>
    <n v="178.6"/>
    <n v="20"/>
    <x v="1"/>
  </r>
  <r>
    <s v="O0742"/>
    <s v="19-01-2025"/>
    <x v="139"/>
    <s v="Bulk"/>
    <x v="1"/>
    <x v="2"/>
    <s v="511906"/>
    <s v="Gpay"/>
    <x v="139"/>
    <x v="139"/>
    <x v="2"/>
    <n v="1"/>
    <n v="211.76"/>
    <n v="0"/>
    <n v="211.76"/>
    <n v="10.59"/>
    <n v="30"/>
    <n v="10"/>
    <n v="262.35000000000002"/>
    <n v="24.67"/>
    <x v="5"/>
  </r>
  <r>
    <s v="O0743"/>
    <s v="18-02-2025"/>
    <x v="140"/>
    <s v="Bulk"/>
    <x v="3"/>
    <x v="1"/>
    <s v="198234"/>
    <s v="Gpay"/>
    <x v="140"/>
    <x v="140"/>
    <x v="0"/>
    <n v="2"/>
    <n v="38.67"/>
    <n v="0"/>
    <n v="77.34"/>
    <n v="3.87"/>
    <n v="0"/>
    <n v="15"/>
    <n v="96.210000000000008"/>
    <n v="22"/>
    <x v="3"/>
  </r>
  <r>
    <s v="O0744"/>
    <s v="05-02-2025"/>
    <x v="141"/>
    <s v="Bulk"/>
    <x v="2"/>
    <x v="1"/>
    <s v="571761"/>
    <s v="Upi"/>
    <x v="141"/>
    <x v="141"/>
    <x v="6"/>
    <n v="1"/>
    <n v="104.12"/>
    <n v="15.62"/>
    <n v="88.5"/>
    <n v="4.42"/>
    <n v="20"/>
    <n v="0"/>
    <n v="112.92"/>
    <n v="11"/>
    <x v="2"/>
  </r>
  <r>
    <s v="O0745"/>
    <s v="12-01-2025"/>
    <x v="142"/>
    <s v="Bulk"/>
    <x v="3"/>
    <x v="2"/>
    <s v="799476"/>
    <s v="Netbanking"/>
    <x v="142"/>
    <x v="142"/>
    <x v="5"/>
    <n v="3"/>
    <n v="15.9"/>
    <n v="0"/>
    <n v="47.7"/>
    <n v="2.39"/>
    <n v="30"/>
    <n v="5"/>
    <n v="85.09"/>
    <n v="0"/>
    <x v="5"/>
  </r>
  <r>
    <s v="O0746"/>
    <s v="10-02-2025"/>
    <x v="143"/>
    <s v="Bulk"/>
    <x v="2"/>
    <x v="2"/>
    <s v="568379"/>
    <s v="Upi"/>
    <x v="143"/>
    <x v="143"/>
    <x v="9"/>
    <n v="1"/>
    <n v="151.34"/>
    <n v="15.13"/>
    <n v="136.21"/>
    <n v="6.81"/>
    <n v="10"/>
    <n v="10"/>
    <n v="163.02000000000001"/>
    <n v="24"/>
    <x v="6"/>
  </r>
  <r>
    <s v="O0747"/>
    <s v="19-01-2025"/>
    <x v="144"/>
    <s v="Bulk"/>
    <x v="3"/>
    <x v="2"/>
    <s v="419752"/>
    <s v="Phonepe"/>
    <x v="144"/>
    <x v="144"/>
    <x v="2"/>
    <n v="2"/>
    <n v="117.55"/>
    <n v="0"/>
    <n v="235.1"/>
    <n v="11.76"/>
    <n v="30"/>
    <n v="0"/>
    <n v="276.86"/>
    <n v="24.67"/>
    <x v="5"/>
  </r>
  <r>
    <s v="O0748"/>
    <s v="12-01-2025"/>
    <x v="145"/>
    <s v="Bulk"/>
    <x v="0"/>
    <x v="0"/>
    <s v="177606"/>
    <s v="Upi"/>
    <x v="145"/>
    <x v="145"/>
    <x v="7"/>
    <n v="3"/>
    <n v="153.81"/>
    <n v="23.07"/>
    <n v="438.36"/>
    <n v="21.92"/>
    <n v="0"/>
    <n v="5"/>
    <n v="465.28"/>
    <n v="9"/>
    <x v="5"/>
  </r>
  <r>
    <s v="O0749"/>
    <s v="09-01-2025"/>
    <x v="146"/>
    <s v="Bulk"/>
    <x v="0"/>
    <x v="1"/>
    <s v="257550"/>
    <s v="Cod"/>
    <x v="146"/>
    <x v="146"/>
    <x v="0"/>
    <n v="3"/>
    <n v="205.97"/>
    <n v="20.6"/>
    <n v="597.30999999999995"/>
    <n v="29.87"/>
    <n v="10"/>
    <n v="10"/>
    <n v="647.17999999999995"/>
    <n v="10"/>
    <x v="4"/>
  </r>
  <r>
    <s v="O0750"/>
    <s v="07-01-2025"/>
    <x v="147"/>
    <s v="Bulk"/>
    <x v="2"/>
    <x v="2"/>
    <s v="479502"/>
    <s v="Upi"/>
    <x v="147"/>
    <x v="147"/>
    <x v="7"/>
    <n v="3"/>
    <n v="81.88"/>
    <n v="4.09"/>
    <n v="241.55"/>
    <n v="12.08"/>
    <n v="20"/>
    <n v="15"/>
    <n v="288.63"/>
    <n v="19"/>
    <x v="3"/>
  </r>
  <r>
    <s v="O0751"/>
    <s v="28-01-2025"/>
    <x v="148"/>
    <s v="Bulk"/>
    <x v="1"/>
    <x v="2"/>
    <s v="370675"/>
    <s v="Upi"/>
    <x v="148"/>
    <x v="148"/>
    <x v="8"/>
    <n v="2"/>
    <n v="99.37"/>
    <n v="4.97"/>
    <n v="193.77"/>
    <n v="9.69"/>
    <n v="20"/>
    <n v="5"/>
    <n v="228.46"/>
    <n v="30"/>
    <x v="3"/>
  </r>
  <r>
    <s v="O0752"/>
    <s v="14-01-2025"/>
    <x v="149"/>
    <s v="Bulk"/>
    <x v="5"/>
    <x v="1"/>
    <s v="575692"/>
    <s v="Upi"/>
    <x v="149"/>
    <x v="149"/>
    <x v="6"/>
    <n v="2"/>
    <n v="119.28"/>
    <n v="5.96"/>
    <n v="232.6"/>
    <n v="11.63"/>
    <n v="0"/>
    <n v="10"/>
    <n v="254.23"/>
    <n v="24.67"/>
    <x v="3"/>
  </r>
  <r>
    <s v="O0753"/>
    <s v="31-01-2025"/>
    <x v="150"/>
    <s v="Bulk"/>
    <x v="0"/>
    <x v="1"/>
    <s v="545935"/>
    <s v="Upi"/>
    <x v="150"/>
    <x v="150"/>
    <x v="6"/>
    <n v="5"/>
    <n v="285.04000000000002"/>
    <n v="0"/>
    <n v="1425.2"/>
    <n v="71.260000000000005"/>
    <n v="30"/>
    <n v="15"/>
    <n v="1541.46"/>
    <n v="24.67"/>
    <x v="1"/>
  </r>
  <r>
    <s v="O0754"/>
    <s v="21-02-2025"/>
    <x v="151"/>
    <s v="New"/>
    <x v="4"/>
    <x v="2"/>
    <s v="376452"/>
    <s v="Card"/>
    <x v="151"/>
    <x v="151"/>
    <x v="7"/>
    <n v="1"/>
    <n v="72.11"/>
    <n v="3.61"/>
    <n v="68.5"/>
    <n v="3.43"/>
    <n v="30"/>
    <n v="5"/>
    <n v="106.93"/>
    <n v="26"/>
    <x v="1"/>
  </r>
  <r>
    <s v="O0755"/>
    <s v="19-01-2025"/>
    <x v="152"/>
    <s v="Bulk"/>
    <x v="5"/>
    <x v="0"/>
    <s v="634125"/>
    <s v="Upi"/>
    <x v="152"/>
    <x v="152"/>
    <x v="2"/>
    <n v="1"/>
    <n v="2.3199999999999998"/>
    <n v="0.12"/>
    <n v="2.2000000000000002"/>
    <n v="0.11"/>
    <n v="30"/>
    <n v="20"/>
    <n v="52.31"/>
    <n v="19"/>
    <x v="5"/>
  </r>
  <r>
    <s v="O0756"/>
    <s v="27-02-2025"/>
    <x v="153"/>
    <s v="Bulk"/>
    <x v="1"/>
    <x v="1"/>
    <s v="814221"/>
    <s v="Phonepe"/>
    <x v="153"/>
    <x v="153"/>
    <x v="9"/>
    <n v="1"/>
    <n v="3.05"/>
    <n v="0"/>
    <n v="3.05"/>
    <n v="0.15"/>
    <n v="10"/>
    <n v="0"/>
    <n v="13.2"/>
    <n v="24"/>
    <x v="4"/>
  </r>
  <r>
    <s v="O0757"/>
    <s v="16-02-2025"/>
    <x v="154"/>
    <s v="Bulk"/>
    <x v="5"/>
    <x v="1"/>
    <s v="202166"/>
    <s v="Gpay"/>
    <x v="154"/>
    <x v="154"/>
    <x v="1"/>
    <n v="2"/>
    <n v="21.74"/>
    <n v="0"/>
    <n v="43.48"/>
    <n v="2.17"/>
    <n v="30"/>
    <n v="20"/>
    <n v="95.65"/>
    <n v="26"/>
    <x v="5"/>
  </r>
  <r>
    <s v="O0758"/>
    <s v="16-01-2025"/>
    <x v="155"/>
    <s v="Bulk"/>
    <x v="0"/>
    <x v="2"/>
    <s v="494295"/>
    <s v="Netbanking"/>
    <x v="155"/>
    <x v="155"/>
    <x v="6"/>
    <n v="4"/>
    <n v="6.34"/>
    <n v="0"/>
    <n v="25.36"/>
    <n v="1.27"/>
    <n v="10"/>
    <n v="10"/>
    <n v="46.63"/>
    <n v="15"/>
    <x v="4"/>
  </r>
  <r>
    <s v="O0759"/>
    <s v="22-02-2025"/>
    <x v="156"/>
    <s v="Bulk"/>
    <x v="3"/>
    <x v="2"/>
    <s v="705151"/>
    <s v="Upi"/>
    <x v="156"/>
    <x v="156"/>
    <x v="9"/>
    <n v="4"/>
    <n v="101.87"/>
    <n v="10.19"/>
    <n v="397.29"/>
    <n v="19.86"/>
    <n v="10"/>
    <n v="20"/>
    <n v="447.15"/>
    <n v="1"/>
    <x v="0"/>
  </r>
  <r>
    <s v="O0760"/>
    <s v="05-01-2025"/>
    <x v="157"/>
    <s v="Returning"/>
    <x v="4"/>
    <x v="1"/>
    <s v="562092"/>
    <s v="Phonepe"/>
    <x v="157"/>
    <x v="157"/>
    <x v="8"/>
    <n v="3"/>
    <n v="150.44999999999999"/>
    <n v="7.52"/>
    <n v="443.83"/>
    <n v="22.19"/>
    <n v="10"/>
    <n v="0"/>
    <n v="476.02"/>
    <n v="15"/>
    <x v="5"/>
  </r>
  <r>
    <s v="O0761"/>
    <s v="04-02-2025"/>
    <x v="158"/>
    <s v="Bulk"/>
    <x v="1"/>
    <x v="2"/>
    <s v="956238"/>
    <s v="Upi"/>
    <x v="158"/>
    <x v="158"/>
    <x v="9"/>
    <n v="1"/>
    <n v="44.31"/>
    <n v="6.65"/>
    <n v="37.659999999999997"/>
    <n v="1.88"/>
    <n v="10"/>
    <n v="10"/>
    <n v="59.540000000000013"/>
    <n v="24.67"/>
    <x v="3"/>
  </r>
  <r>
    <s v="O0762"/>
    <s v="12-01-2025"/>
    <x v="159"/>
    <s v="Bulk"/>
    <x v="0"/>
    <x v="2"/>
    <s v="121650"/>
    <s v="Netbanking"/>
    <x v="159"/>
    <x v="159"/>
    <x v="8"/>
    <n v="4"/>
    <n v="66.150000000000006"/>
    <n v="9.92"/>
    <n v="254.68"/>
    <n v="12.73"/>
    <n v="0"/>
    <n v="10"/>
    <n v="277.41000000000003"/>
    <n v="11"/>
    <x v="5"/>
  </r>
  <r>
    <s v="O0763"/>
    <s v="25-01-2025"/>
    <x v="160"/>
    <s v="Returning"/>
    <x v="4"/>
    <x v="1"/>
    <s v="877130"/>
    <s v="Phonepe"/>
    <x v="160"/>
    <x v="160"/>
    <x v="1"/>
    <n v="3"/>
    <n v="123.07"/>
    <n v="0"/>
    <n v="369.21"/>
    <n v="18.46"/>
    <n v="30"/>
    <n v="10"/>
    <n v="427.67"/>
    <n v="48"/>
    <x v="0"/>
  </r>
  <r>
    <s v="O0764"/>
    <s v="21-02-2025"/>
    <x v="161"/>
    <s v="Returning"/>
    <x v="4"/>
    <x v="2"/>
    <s v="914811"/>
    <s v="Card"/>
    <x v="161"/>
    <x v="161"/>
    <x v="5"/>
    <n v="2"/>
    <n v="84.15"/>
    <n v="12.62"/>
    <n v="155.68"/>
    <n v="7.78"/>
    <n v="30"/>
    <n v="10"/>
    <n v="203.46"/>
    <n v="35"/>
    <x v="1"/>
  </r>
  <r>
    <s v="O0765"/>
    <s v="28-02-2025"/>
    <x v="162"/>
    <s v="New"/>
    <x v="4"/>
    <x v="1"/>
    <s v="301904"/>
    <s v="Gpay"/>
    <x v="162"/>
    <x v="162"/>
    <x v="9"/>
    <n v="6"/>
    <n v="15.14"/>
    <n v="0.76"/>
    <n v="90.08"/>
    <n v="4.5"/>
    <n v="20"/>
    <n v="20"/>
    <n v="134.58000000000001"/>
    <n v="28"/>
    <x v="1"/>
  </r>
  <r>
    <s v="O0766"/>
    <s v="21-01-2025"/>
    <x v="163"/>
    <s v="Bulk"/>
    <x v="1"/>
    <x v="2"/>
    <s v="751084"/>
    <s v="Card"/>
    <x v="163"/>
    <x v="163"/>
    <x v="0"/>
    <n v="3"/>
    <n v="86.96"/>
    <n v="8.6999999999999993"/>
    <n v="252.18"/>
    <n v="12.61"/>
    <n v="20"/>
    <n v="20"/>
    <n v="304.79000000000002"/>
    <n v="45"/>
    <x v="3"/>
  </r>
  <r>
    <s v="O0767"/>
    <s v="05-02-2025"/>
    <x v="164"/>
    <s v="Bulk"/>
    <x v="1"/>
    <x v="2"/>
    <s v="120923"/>
    <s v="Upi"/>
    <x v="164"/>
    <x v="164"/>
    <x v="2"/>
    <n v="5"/>
    <n v="238.22"/>
    <n v="35.729999999999997"/>
    <n v="1155.3699999999999"/>
    <n v="57.77"/>
    <n v="10"/>
    <n v="10"/>
    <n v="1233.1400000000001"/>
    <n v="28"/>
    <x v="2"/>
  </r>
  <r>
    <s v="O0768"/>
    <s v="22-02-2025"/>
    <x v="165"/>
    <s v="Bulk"/>
    <x v="5"/>
    <x v="0"/>
    <s v="355719"/>
    <s v="Netbanking"/>
    <x v="165"/>
    <x v="165"/>
    <x v="6"/>
    <n v="1"/>
    <n v="150.51"/>
    <n v="7.53"/>
    <n v="142.97999999999999"/>
    <n v="7.15"/>
    <n v="10"/>
    <n v="0"/>
    <n v="160.13"/>
    <n v="41"/>
    <x v="0"/>
  </r>
  <r>
    <s v="O0769"/>
    <s v="23-01-2025"/>
    <x v="166"/>
    <s v="Bulk"/>
    <x v="2"/>
    <x v="2"/>
    <s v="510226"/>
    <s v="Upi"/>
    <x v="166"/>
    <x v="166"/>
    <x v="9"/>
    <n v="2"/>
    <n v="59.92"/>
    <n v="8.99"/>
    <n v="110.85"/>
    <n v="5.54"/>
    <n v="0"/>
    <n v="5"/>
    <n v="121.39"/>
    <n v="24.67"/>
    <x v="4"/>
  </r>
  <r>
    <s v="O0770"/>
    <s v="16-01-2025"/>
    <x v="167"/>
    <s v="Bulk"/>
    <x v="2"/>
    <x v="1"/>
    <s v="761334"/>
    <s v="Upi"/>
    <x v="167"/>
    <x v="167"/>
    <x v="6"/>
    <n v="2"/>
    <n v="244.07"/>
    <n v="0"/>
    <n v="488.14"/>
    <n v="24.41"/>
    <n v="10"/>
    <n v="20"/>
    <n v="542.54999999999995"/>
    <n v="36"/>
    <x v="4"/>
  </r>
  <r>
    <s v="O0771"/>
    <s v="26-02-2025"/>
    <x v="168"/>
    <s v="New"/>
    <x v="4"/>
    <x v="2"/>
    <s v="121398"/>
    <s v="Phonepe"/>
    <x v="168"/>
    <x v="168"/>
    <x v="5"/>
    <n v="1"/>
    <n v="164.6"/>
    <n v="24.69"/>
    <n v="139.91"/>
    <n v="7"/>
    <n v="10"/>
    <n v="0"/>
    <n v="156.91"/>
    <n v="12"/>
    <x v="2"/>
  </r>
  <r>
    <s v="O0772"/>
    <s v="08-02-2025"/>
    <x v="169"/>
    <s v="Bulk"/>
    <x v="3"/>
    <x v="2"/>
    <s v="839667"/>
    <s v="Card"/>
    <x v="169"/>
    <x v="169"/>
    <x v="0"/>
    <n v="1"/>
    <n v="77.150000000000006"/>
    <n v="0"/>
    <n v="77.150000000000006"/>
    <n v="3.86"/>
    <n v="20"/>
    <n v="15"/>
    <n v="116.01"/>
    <n v="37"/>
    <x v="0"/>
  </r>
  <r>
    <s v="O0773"/>
    <s v="14-02-2025"/>
    <x v="170"/>
    <s v="Bulk"/>
    <x v="5"/>
    <x v="2"/>
    <s v="134924"/>
    <s v="Netbanking"/>
    <x v="170"/>
    <x v="170"/>
    <x v="4"/>
    <n v="1"/>
    <n v="57.45"/>
    <n v="0"/>
    <n v="57.45"/>
    <n v="2.87"/>
    <n v="30"/>
    <n v="5"/>
    <n v="95.32"/>
    <n v="37"/>
    <x v="1"/>
  </r>
  <r>
    <s v="O0774"/>
    <s v="22-02-2025"/>
    <x v="171"/>
    <s v="Bulk"/>
    <x v="0"/>
    <x v="0"/>
    <s v="638966"/>
    <s v="Wallet"/>
    <x v="171"/>
    <x v="171"/>
    <x v="5"/>
    <n v="1"/>
    <n v="97.56"/>
    <n v="9.76"/>
    <n v="87.8"/>
    <n v="4.3899999999999997"/>
    <n v="10"/>
    <n v="10"/>
    <n v="112.19"/>
    <n v="22"/>
    <x v="0"/>
  </r>
  <r>
    <s v="O0775"/>
    <s v="11-02-2025"/>
    <x v="172"/>
    <s v="Bulk"/>
    <x v="2"/>
    <x v="1"/>
    <s v="865328"/>
    <s v="Gpay"/>
    <x v="172"/>
    <x v="172"/>
    <x v="2"/>
    <n v="7"/>
    <n v="155.36000000000001"/>
    <n v="23.3"/>
    <n v="1064.22"/>
    <n v="53.21"/>
    <n v="10"/>
    <n v="5"/>
    <n v="1132.43"/>
    <n v="22"/>
    <x v="3"/>
  </r>
  <r>
    <s v="O0776"/>
    <s v="27-02-2025"/>
    <x v="173"/>
    <s v="Bulk"/>
    <x v="5"/>
    <x v="1"/>
    <s v="729756"/>
    <s v="Upi"/>
    <x v="173"/>
    <x v="173"/>
    <x v="2"/>
    <n v="1"/>
    <n v="154.07"/>
    <n v="15.41"/>
    <n v="138.66"/>
    <n v="6.93"/>
    <n v="20"/>
    <n v="10"/>
    <n v="175.59"/>
    <n v="24"/>
    <x v="4"/>
  </r>
  <r>
    <s v="O0777"/>
    <s v="08-02-2025"/>
    <x v="174"/>
    <s v="Bulk"/>
    <x v="2"/>
    <x v="2"/>
    <s v="615956"/>
    <s v="Wallet"/>
    <x v="174"/>
    <x v="174"/>
    <x v="2"/>
    <n v="2"/>
    <n v="158.43"/>
    <n v="7.92"/>
    <n v="308.94"/>
    <n v="15.45"/>
    <n v="10"/>
    <n v="20"/>
    <n v="354.39"/>
    <n v="26"/>
    <x v="0"/>
  </r>
  <r>
    <s v="O0778"/>
    <s v="14-01-2025"/>
    <x v="175"/>
    <s v="New"/>
    <x v="4"/>
    <x v="2"/>
    <s v="663543"/>
    <s v="Upi"/>
    <x v="175"/>
    <x v="175"/>
    <x v="6"/>
    <n v="1"/>
    <n v="116.29"/>
    <n v="11.63"/>
    <n v="104.66"/>
    <n v="5.23"/>
    <n v="20"/>
    <n v="20"/>
    <n v="149.88999999999999"/>
    <n v="16"/>
    <x v="3"/>
  </r>
  <r>
    <s v="O0779"/>
    <s v="31-01-2025"/>
    <x v="176"/>
    <s v="Bulk"/>
    <x v="0"/>
    <x v="0"/>
    <s v="544844"/>
    <s v="Netbanking"/>
    <x v="176"/>
    <x v="176"/>
    <x v="3"/>
    <n v="5"/>
    <n v="177.5"/>
    <n v="26.62"/>
    <n v="860.88"/>
    <n v="43.04"/>
    <n v="0"/>
    <n v="5"/>
    <n v="908.92"/>
    <n v="24.67"/>
    <x v="1"/>
  </r>
  <r>
    <s v="O0780"/>
    <s v="27-02-2025"/>
    <x v="177"/>
    <s v="Bulk"/>
    <x v="5"/>
    <x v="2"/>
    <s v="243704"/>
    <s v="Upi"/>
    <x v="177"/>
    <x v="177"/>
    <x v="7"/>
    <n v="3"/>
    <n v="56.64"/>
    <n v="2.83"/>
    <n v="167.09"/>
    <n v="8.35"/>
    <n v="0"/>
    <n v="15"/>
    <n v="190.44"/>
    <n v="24.67"/>
    <x v="4"/>
  </r>
  <r>
    <s v="O0781"/>
    <s v="05-01-2025"/>
    <x v="178"/>
    <s v="Bulk"/>
    <x v="5"/>
    <x v="1"/>
    <s v="418488"/>
    <s v="Cod"/>
    <x v="178"/>
    <x v="178"/>
    <x v="5"/>
    <n v="2"/>
    <n v="181.18"/>
    <n v="18.12"/>
    <n v="344.24"/>
    <n v="17.21"/>
    <n v="30"/>
    <n v="0"/>
    <n v="391.45"/>
    <n v="10"/>
    <x v="5"/>
  </r>
  <r>
    <s v="O0782"/>
    <s v="04-02-2025"/>
    <x v="179"/>
    <s v="Returning"/>
    <x v="4"/>
    <x v="1"/>
    <s v="221897"/>
    <s v="Netbanking"/>
    <x v="179"/>
    <x v="179"/>
    <x v="6"/>
    <n v="3"/>
    <n v="131.63999999999999"/>
    <n v="0"/>
    <n v="394.92"/>
    <n v="19.75"/>
    <n v="30"/>
    <n v="10"/>
    <n v="454.67"/>
    <n v="24.67"/>
    <x v="3"/>
  </r>
  <r>
    <s v="O0783"/>
    <s v="23-01-2025"/>
    <x v="180"/>
    <s v="Bulk"/>
    <x v="0"/>
    <x v="0"/>
    <s v="803335"/>
    <s v="Card"/>
    <x v="180"/>
    <x v="180"/>
    <x v="6"/>
    <n v="1"/>
    <n v="72.599999999999994"/>
    <n v="7.26"/>
    <n v="65.339999999999989"/>
    <n v="3.27"/>
    <n v="30"/>
    <n v="15"/>
    <n v="113.61"/>
    <n v="24.67"/>
    <x v="4"/>
  </r>
  <r>
    <s v="O0784"/>
    <s v="29-01-2025"/>
    <x v="181"/>
    <s v="Bulk"/>
    <x v="5"/>
    <x v="1"/>
    <s v="900607"/>
    <s v="Gpay"/>
    <x v="181"/>
    <x v="181"/>
    <x v="3"/>
    <n v="1"/>
    <n v="56.03"/>
    <n v="2.8"/>
    <n v="53.23"/>
    <n v="2.66"/>
    <n v="20"/>
    <n v="0"/>
    <n v="75.89"/>
    <n v="41"/>
    <x v="2"/>
  </r>
  <r>
    <s v="O0785"/>
    <s v="12-02-2025"/>
    <x v="182"/>
    <s v="Bulk"/>
    <x v="2"/>
    <x v="2"/>
    <s v="952969"/>
    <s v="Upi"/>
    <x v="182"/>
    <x v="182"/>
    <x v="7"/>
    <n v="6"/>
    <n v="96.68"/>
    <n v="0"/>
    <n v="580.08000000000004"/>
    <n v="29"/>
    <n v="0"/>
    <n v="15"/>
    <n v="624.08000000000004"/>
    <n v="28"/>
    <x v="2"/>
  </r>
  <r>
    <s v="O0786"/>
    <s v="11-01-2025"/>
    <x v="183"/>
    <s v="Bulk"/>
    <x v="5"/>
    <x v="2"/>
    <s v="523240"/>
    <s v="Upi"/>
    <x v="183"/>
    <x v="183"/>
    <x v="0"/>
    <n v="4"/>
    <n v="176.92"/>
    <n v="8.85"/>
    <n v="698.82999999999993"/>
    <n v="34.94"/>
    <n v="10"/>
    <n v="15"/>
    <n v="758.77"/>
    <n v="17"/>
    <x v="0"/>
  </r>
  <r>
    <s v="O0787"/>
    <s v="18-01-2025"/>
    <x v="184"/>
    <s v="Bulk"/>
    <x v="2"/>
    <x v="0"/>
    <s v="853160"/>
    <s v="Card"/>
    <x v="184"/>
    <x v="184"/>
    <x v="6"/>
    <n v="1"/>
    <n v="24.66"/>
    <n v="0"/>
    <n v="24.66"/>
    <n v="1.23"/>
    <n v="20"/>
    <n v="15"/>
    <n v="60.89"/>
    <n v="39"/>
    <x v="0"/>
  </r>
  <r>
    <s v="O0788"/>
    <s v="16-02-2025"/>
    <x v="185"/>
    <s v="Bulk"/>
    <x v="5"/>
    <x v="2"/>
    <s v="608175"/>
    <s v="Upi"/>
    <x v="185"/>
    <x v="185"/>
    <x v="1"/>
    <n v="1"/>
    <n v="58.18"/>
    <n v="2.91"/>
    <n v="55.27"/>
    <n v="2.76"/>
    <n v="30"/>
    <n v="10"/>
    <n v="98.03"/>
    <n v="24.67"/>
    <x v="5"/>
  </r>
  <r>
    <s v="O0789"/>
    <s v="12-01-2025"/>
    <x v="186"/>
    <s v="Bulk"/>
    <x v="0"/>
    <x v="3"/>
    <s v="896305"/>
    <s v="Card"/>
    <x v="186"/>
    <x v="186"/>
    <x v="0"/>
    <n v="4"/>
    <n v="4.28"/>
    <n v="0"/>
    <n v="17.12"/>
    <n v="0.86"/>
    <n v="10"/>
    <n v="5"/>
    <n v="32.979999999999997"/>
    <n v="48"/>
    <x v="5"/>
  </r>
  <r>
    <s v="O0790"/>
    <s v="09-01-2025"/>
    <x v="187"/>
    <s v="Bulk"/>
    <x v="2"/>
    <x v="2"/>
    <s v="629321"/>
    <s v="Upi"/>
    <x v="187"/>
    <x v="187"/>
    <x v="8"/>
    <n v="1"/>
    <n v="123.67"/>
    <n v="6.18"/>
    <n v="117.49"/>
    <n v="5.87"/>
    <n v="30"/>
    <n v="5"/>
    <n v="158.36000000000001"/>
    <n v="25"/>
    <x v="4"/>
  </r>
  <r>
    <s v="O0791"/>
    <s v="10-01-2025"/>
    <x v="188"/>
    <s v="Returning"/>
    <x v="4"/>
    <x v="1"/>
    <s v="477972"/>
    <s v="Cod"/>
    <x v="188"/>
    <x v="188"/>
    <x v="5"/>
    <n v="1"/>
    <n v="160.47"/>
    <n v="8.02"/>
    <n v="152.44999999999999"/>
    <n v="7.62"/>
    <n v="0"/>
    <n v="10"/>
    <n v="170.07"/>
    <n v="28"/>
    <x v="1"/>
  </r>
  <r>
    <s v="O0792"/>
    <s v="27-02-2025"/>
    <x v="189"/>
    <s v="Bulk"/>
    <x v="2"/>
    <x v="2"/>
    <s v="124648"/>
    <s v="Netbanking"/>
    <x v="189"/>
    <x v="189"/>
    <x v="5"/>
    <n v="2"/>
    <n v="11.21"/>
    <n v="0.56000000000000005"/>
    <n v="21.86"/>
    <n v="1.0900000000000001"/>
    <n v="30"/>
    <n v="15"/>
    <n v="67.95"/>
    <n v="14"/>
    <x v="4"/>
  </r>
  <r>
    <s v="O0793"/>
    <s v="13-02-2025"/>
    <x v="190"/>
    <s v="Bulk"/>
    <x v="2"/>
    <x v="1"/>
    <s v="290271"/>
    <s v="Cod"/>
    <x v="190"/>
    <x v="190"/>
    <x v="4"/>
    <n v="1"/>
    <n v="184.92"/>
    <n v="18.489999999999998"/>
    <n v="166.43"/>
    <n v="8.32"/>
    <n v="30"/>
    <n v="15"/>
    <n v="219.75"/>
    <n v="26"/>
    <x v="4"/>
  </r>
  <r>
    <s v="O0794"/>
    <s v="17-01-2025"/>
    <x v="191"/>
    <s v="New"/>
    <x v="4"/>
    <x v="2"/>
    <s v="820857"/>
    <s v="Upi"/>
    <x v="191"/>
    <x v="191"/>
    <x v="5"/>
    <n v="4"/>
    <n v="153.58000000000001"/>
    <n v="15.36"/>
    <n v="598.96"/>
    <n v="29.95"/>
    <n v="10"/>
    <n v="5"/>
    <n v="643.91000000000008"/>
    <n v="26"/>
    <x v="1"/>
  </r>
  <r>
    <s v="O0795"/>
    <s v="07-02-2025"/>
    <x v="192"/>
    <s v="Bulk"/>
    <x v="1"/>
    <x v="1"/>
    <s v="197462"/>
    <s v="Upi"/>
    <x v="192"/>
    <x v="192"/>
    <x v="0"/>
    <n v="4"/>
    <n v="164.08"/>
    <n v="16.41"/>
    <n v="639.91000000000008"/>
    <n v="32"/>
    <n v="30"/>
    <n v="15"/>
    <n v="716.91000000000008"/>
    <n v="20"/>
    <x v="1"/>
  </r>
  <r>
    <s v="O0796"/>
    <s v="07-01-2025"/>
    <x v="193"/>
    <s v="Bulk"/>
    <x v="1"/>
    <x v="1"/>
    <s v="982297"/>
    <s v="Phonepe"/>
    <x v="193"/>
    <x v="193"/>
    <x v="2"/>
    <n v="1"/>
    <n v="142.91999999999999"/>
    <n v="21.44"/>
    <n v="121.48"/>
    <n v="6.07"/>
    <n v="10"/>
    <n v="10"/>
    <n v="147.55000000000001"/>
    <n v="16"/>
    <x v="3"/>
  </r>
  <r>
    <s v="O0797"/>
    <s v="15-02-2025"/>
    <x v="194"/>
    <s v="Bulk"/>
    <x v="2"/>
    <x v="1"/>
    <s v="263402"/>
    <s v="Cod"/>
    <x v="194"/>
    <x v="194"/>
    <x v="1"/>
    <n v="1"/>
    <n v="141.09"/>
    <n v="14.11"/>
    <n v="126.98"/>
    <n v="6.35"/>
    <n v="30"/>
    <n v="20"/>
    <n v="183.33"/>
    <n v="15"/>
    <x v="0"/>
  </r>
  <r>
    <s v="O0798"/>
    <s v="13-01-2025"/>
    <x v="195"/>
    <s v="Bulk"/>
    <x v="2"/>
    <x v="1"/>
    <s v="323034"/>
    <s v="Netbanking"/>
    <x v="195"/>
    <x v="195"/>
    <x v="2"/>
    <n v="2"/>
    <n v="197.42"/>
    <n v="19.739999999999998"/>
    <n v="375.1"/>
    <n v="18.75"/>
    <n v="20"/>
    <n v="20"/>
    <n v="433.85"/>
    <n v="32"/>
    <x v="6"/>
  </r>
  <r>
    <s v="O0799"/>
    <s v="09-02-2025"/>
    <x v="196"/>
    <s v="Bulk"/>
    <x v="1"/>
    <x v="1"/>
    <s v="593891"/>
    <s v="Upi"/>
    <x v="196"/>
    <x v="196"/>
    <x v="5"/>
    <n v="3"/>
    <n v="106.55"/>
    <n v="10.66"/>
    <n v="308.99"/>
    <n v="15.45"/>
    <n v="0"/>
    <n v="10"/>
    <n v="334.43999999999988"/>
    <n v="26"/>
    <x v="5"/>
  </r>
  <r>
    <s v="O0800"/>
    <s v="11-02-2025"/>
    <x v="197"/>
    <s v="Bulk"/>
    <x v="5"/>
    <x v="0"/>
    <s v="859990"/>
    <s v="Upi"/>
    <x v="197"/>
    <x v="197"/>
    <x v="8"/>
    <n v="3"/>
    <n v="82.32"/>
    <n v="12.35"/>
    <n v="234.61"/>
    <n v="11.73"/>
    <n v="10"/>
    <n v="0"/>
    <n v="256.33999999999997"/>
    <n v="35"/>
    <x v="3"/>
  </r>
  <r>
    <s v="O0801"/>
    <s v="09-01-2025"/>
    <x v="198"/>
    <s v="Bulk"/>
    <x v="1"/>
    <x v="1"/>
    <s v="853624"/>
    <s v="Upi"/>
    <x v="0"/>
    <x v="0"/>
    <x v="5"/>
    <n v="3"/>
    <n v="65.33"/>
    <n v="0"/>
    <n v="195.99"/>
    <n v="9.8000000000000007"/>
    <n v="20"/>
    <n v="20"/>
    <n v="245.79"/>
    <n v="9"/>
    <x v="4"/>
  </r>
  <r>
    <s v="O0802"/>
    <s v="19-02-2025"/>
    <x v="199"/>
    <s v="Bulk"/>
    <x v="3"/>
    <x v="1"/>
    <s v="120039"/>
    <s v="Wallet"/>
    <x v="1"/>
    <x v="1"/>
    <x v="6"/>
    <n v="1"/>
    <n v="103.97"/>
    <n v="15.6"/>
    <n v="88.37"/>
    <n v="4.42"/>
    <n v="0"/>
    <n v="20"/>
    <n v="112.79"/>
    <n v="29"/>
    <x v="2"/>
  </r>
  <r>
    <s v="O0803"/>
    <s v="27-01-2025"/>
    <x v="200"/>
    <s v="Bulk"/>
    <x v="2"/>
    <x v="2"/>
    <s v="338540"/>
    <s v="Wallet"/>
    <x v="198"/>
    <x v="198"/>
    <x v="5"/>
    <n v="3"/>
    <n v="74.47"/>
    <n v="7.45"/>
    <n v="215.96"/>
    <n v="10.8"/>
    <n v="20"/>
    <n v="5"/>
    <n v="251.76"/>
    <n v="21"/>
    <x v="6"/>
  </r>
  <r>
    <s v="O0804"/>
    <s v="27-02-2025"/>
    <x v="201"/>
    <s v="Bulk"/>
    <x v="2"/>
    <x v="1"/>
    <s v="948389"/>
    <s v="Gpay"/>
    <x v="199"/>
    <x v="199"/>
    <x v="5"/>
    <n v="4"/>
    <n v="138.75"/>
    <n v="6.94"/>
    <n v="548.05999999999995"/>
    <n v="27.4"/>
    <n v="10"/>
    <n v="0"/>
    <n v="585.45999999999992"/>
    <n v="29"/>
    <x v="4"/>
  </r>
  <r>
    <s v="O0805"/>
    <s v="02-01-2025"/>
    <x v="202"/>
    <s v="Bulk"/>
    <x v="0"/>
    <x v="0"/>
    <s v="819533"/>
    <s v="Phonepe"/>
    <x v="2"/>
    <x v="2"/>
    <x v="7"/>
    <n v="3"/>
    <n v="128.51"/>
    <n v="19.28"/>
    <n v="366.25"/>
    <n v="18.309999999999999"/>
    <n v="30"/>
    <n v="10"/>
    <n v="424.56"/>
    <n v="21"/>
    <x v="4"/>
  </r>
  <r>
    <s v="O0806"/>
    <s v="05-01-2025"/>
    <x v="203"/>
    <s v="Bulk"/>
    <x v="5"/>
    <x v="1"/>
    <s v="696861"/>
    <s v="Card"/>
    <x v="3"/>
    <x v="3"/>
    <x v="1"/>
    <n v="2"/>
    <n v="129.63"/>
    <n v="6.48"/>
    <n v="252.78"/>
    <n v="12.64"/>
    <n v="10"/>
    <n v="0"/>
    <n v="275.42"/>
    <n v="24.67"/>
    <x v="5"/>
  </r>
  <r>
    <s v="O0807"/>
    <s v="29-01-2025"/>
    <x v="204"/>
    <s v="Bulk"/>
    <x v="0"/>
    <x v="0"/>
    <s v="154460"/>
    <s v="Card"/>
    <x v="4"/>
    <x v="4"/>
    <x v="0"/>
    <n v="7"/>
    <n v="179.39"/>
    <n v="17.940000000000001"/>
    <n v="1237.79"/>
    <n v="61.89"/>
    <n v="0"/>
    <n v="0"/>
    <n v="1299.68"/>
    <n v="18"/>
    <x v="2"/>
  </r>
  <r>
    <s v="O0808"/>
    <s v="06-02-2025"/>
    <x v="205"/>
    <s v="Bulk"/>
    <x v="0"/>
    <x v="0"/>
    <s v="195558"/>
    <s v="Wallet"/>
    <x v="5"/>
    <x v="5"/>
    <x v="5"/>
    <n v="5"/>
    <n v="44.53"/>
    <n v="2.23"/>
    <n v="220.42"/>
    <n v="11.02"/>
    <n v="0"/>
    <n v="0"/>
    <n v="231.44"/>
    <n v="34"/>
    <x v="4"/>
  </r>
  <r>
    <s v="O0809"/>
    <s v="07-02-2025"/>
    <x v="206"/>
    <s v="New"/>
    <x v="4"/>
    <x v="0"/>
    <s v="867175"/>
    <s v="Wallet"/>
    <x v="6"/>
    <x v="6"/>
    <x v="2"/>
    <n v="1"/>
    <n v="144.12"/>
    <n v="7.21"/>
    <n v="136.91"/>
    <n v="6.85"/>
    <n v="20"/>
    <n v="20"/>
    <n v="183.76"/>
    <n v="17"/>
    <x v="1"/>
  </r>
  <r>
    <s v="O0810"/>
    <s v="19-01-2025"/>
    <x v="207"/>
    <s v="Bulk"/>
    <x v="2"/>
    <x v="2"/>
    <s v="359590"/>
    <s v="Upi"/>
    <x v="7"/>
    <x v="7"/>
    <x v="8"/>
    <n v="1"/>
    <n v="169.21"/>
    <n v="16.920000000000002"/>
    <n v="152.29"/>
    <n v="7.61"/>
    <n v="0"/>
    <n v="5"/>
    <n v="164.9"/>
    <n v="10"/>
    <x v="5"/>
  </r>
  <r>
    <s v="O0811"/>
    <s v="08-01-2025"/>
    <x v="208"/>
    <s v="Returning"/>
    <x v="4"/>
    <x v="2"/>
    <s v="174694"/>
    <s v="Card"/>
    <x v="8"/>
    <x v="8"/>
    <x v="9"/>
    <n v="5"/>
    <n v="107.78"/>
    <n v="10.78"/>
    <n v="528.12"/>
    <n v="26.41"/>
    <n v="30"/>
    <n v="5"/>
    <n v="589.53"/>
    <n v="43"/>
    <x v="2"/>
  </r>
  <r>
    <s v="O0812"/>
    <s v="17-02-2025"/>
    <x v="209"/>
    <s v="Bulk"/>
    <x v="5"/>
    <x v="2"/>
    <s v="880862"/>
    <s v="Wallet"/>
    <x v="9"/>
    <x v="9"/>
    <x v="8"/>
    <n v="1"/>
    <n v="96.39"/>
    <n v="9.64"/>
    <n v="86.75"/>
    <n v="4.34"/>
    <n v="20"/>
    <n v="15"/>
    <n v="126.09"/>
    <n v="35"/>
    <x v="6"/>
  </r>
  <r>
    <s v="O0813"/>
    <s v="14-02-2025"/>
    <x v="210"/>
    <s v="Bulk"/>
    <x v="5"/>
    <x v="1"/>
    <s v="741232"/>
    <s v="Netbanking"/>
    <x v="10"/>
    <x v="10"/>
    <x v="5"/>
    <n v="5"/>
    <n v="125.47"/>
    <n v="12.55"/>
    <n v="614.80000000000007"/>
    <n v="30.74"/>
    <n v="30"/>
    <n v="15"/>
    <n v="690.54000000000008"/>
    <n v="43"/>
    <x v="1"/>
  </r>
  <r>
    <s v="O0814"/>
    <s v="01-01-2025"/>
    <x v="211"/>
    <s v="Bulk"/>
    <x v="0"/>
    <x v="0"/>
    <s v="597666"/>
    <s v="Card"/>
    <x v="11"/>
    <x v="11"/>
    <x v="9"/>
    <n v="5"/>
    <n v="110.9"/>
    <n v="16.64"/>
    <n v="537.86"/>
    <n v="26.89"/>
    <n v="10"/>
    <n v="0"/>
    <n v="574.75"/>
    <n v="24.67"/>
    <x v="2"/>
  </r>
  <r>
    <s v="O0815"/>
    <s v="22-01-2025"/>
    <x v="212"/>
    <s v="Bulk"/>
    <x v="2"/>
    <x v="2"/>
    <s v="412636"/>
    <s v="Phonepe"/>
    <x v="12"/>
    <x v="12"/>
    <x v="8"/>
    <n v="1"/>
    <n v="138.88"/>
    <n v="13.89"/>
    <n v="124.99"/>
    <n v="6.25"/>
    <n v="30"/>
    <n v="20"/>
    <n v="181.24"/>
    <n v="43"/>
    <x v="2"/>
  </r>
  <r>
    <s v="O0816"/>
    <s v="21-02-2025"/>
    <x v="213"/>
    <s v="Bulk"/>
    <x v="3"/>
    <x v="0"/>
    <s v="472339"/>
    <s v="Netbanking"/>
    <x v="13"/>
    <x v="13"/>
    <x v="2"/>
    <n v="2"/>
    <n v="172.33"/>
    <n v="0"/>
    <n v="344.66"/>
    <n v="17.23"/>
    <n v="0"/>
    <n v="15"/>
    <n v="376.89"/>
    <n v="21"/>
    <x v="1"/>
  </r>
  <r>
    <s v="O0817"/>
    <s v="17-01-2025"/>
    <x v="214"/>
    <s v="Bulk"/>
    <x v="2"/>
    <x v="0"/>
    <s v="901818"/>
    <s v="Phonepe"/>
    <x v="14"/>
    <x v="14"/>
    <x v="5"/>
    <n v="2"/>
    <n v="64.31"/>
    <n v="3.22"/>
    <n v="125.4"/>
    <n v="6.27"/>
    <n v="0"/>
    <n v="20"/>
    <n v="151.66999999999999"/>
    <n v="19"/>
    <x v="1"/>
  </r>
  <r>
    <s v="O0818"/>
    <s v="07-01-2025"/>
    <x v="215"/>
    <s v="Returning"/>
    <x v="4"/>
    <x v="1"/>
    <s v="611566"/>
    <s v="Upi"/>
    <x v="15"/>
    <x v="15"/>
    <x v="5"/>
    <n v="2"/>
    <n v="183.91"/>
    <n v="18.39"/>
    <n v="349.43"/>
    <n v="17.47"/>
    <n v="30"/>
    <n v="5"/>
    <n v="401.9"/>
    <n v="24.67"/>
    <x v="3"/>
  </r>
  <r>
    <s v="O0819"/>
    <s v="25-01-2025"/>
    <x v="216"/>
    <s v="Bulk"/>
    <x v="0"/>
    <x v="2"/>
    <s v="568668"/>
    <s v="Wallet"/>
    <x v="16"/>
    <x v="16"/>
    <x v="5"/>
    <n v="5"/>
    <n v="179.79"/>
    <n v="17.98"/>
    <n v="880.96999999999991"/>
    <n v="44.05"/>
    <n v="20"/>
    <n v="20"/>
    <n v="965.01999999999987"/>
    <n v="17"/>
    <x v="0"/>
  </r>
  <r>
    <s v="O0820"/>
    <s v="14-02-2025"/>
    <x v="217"/>
    <s v="Bulk"/>
    <x v="1"/>
    <x v="0"/>
    <s v="254721"/>
    <s v="Wallet"/>
    <x v="17"/>
    <x v="17"/>
    <x v="0"/>
    <n v="3"/>
    <n v="122.37"/>
    <n v="12.24"/>
    <n v="354.87"/>
    <n v="17.739999999999998"/>
    <n v="10"/>
    <n v="15"/>
    <n v="397.61"/>
    <n v="26"/>
    <x v="1"/>
  </r>
  <r>
    <s v="O0821"/>
    <s v="04-01-2025"/>
    <x v="218"/>
    <s v="Bulk"/>
    <x v="3"/>
    <x v="2"/>
    <s v="913820"/>
    <s v="Phonepe"/>
    <x v="18"/>
    <x v="18"/>
    <x v="7"/>
    <n v="1"/>
    <n v="111.5"/>
    <n v="5.58"/>
    <n v="105.92"/>
    <n v="5.3"/>
    <n v="0"/>
    <n v="20"/>
    <n v="131.22"/>
    <n v="12"/>
    <x v="0"/>
  </r>
  <r>
    <s v="O0822"/>
    <s v="05-02-2025"/>
    <x v="219"/>
    <s v="Bulk"/>
    <x v="1"/>
    <x v="1"/>
    <s v="655393"/>
    <s v="Card"/>
    <x v="19"/>
    <x v="19"/>
    <x v="6"/>
    <n v="1"/>
    <n v="112.25"/>
    <n v="16.84"/>
    <n v="95.41"/>
    <n v="4.7699999999999996"/>
    <n v="10"/>
    <n v="10"/>
    <n v="120.18"/>
    <n v="24.67"/>
    <x v="2"/>
  </r>
  <r>
    <s v="O0823"/>
    <s v="06-01-2025"/>
    <x v="220"/>
    <s v="Bulk"/>
    <x v="2"/>
    <x v="0"/>
    <s v="377948"/>
    <s v="Netbanking"/>
    <x v="20"/>
    <x v="20"/>
    <x v="7"/>
    <n v="3"/>
    <n v="86.29"/>
    <n v="0"/>
    <n v="258.87"/>
    <n v="12.94"/>
    <n v="0"/>
    <n v="20"/>
    <n v="291.81"/>
    <n v="2"/>
    <x v="6"/>
  </r>
  <r>
    <s v="O0824"/>
    <s v="01-03-2025"/>
    <x v="221"/>
    <s v="Bulk"/>
    <x v="1"/>
    <x v="1"/>
    <s v="381209"/>
    <s v="Wallet"/>
    <x v="21"/>
    <x v="21"/>
    <x v="7"/>
    <n v="7"/>
    <n v="82.68"/>
    <n v="12.4"/>
    <n v="566.36"/>
    <n v="28.32"/>
    <n v="0"/>
    <n v="10"/>
    <n v="604.68000000000006"/>
    <n v="30"/>
    <x v="0"/>
  </r>
  <r>
    <s v="O0825"/>
    <s v="31-01-2025"/>
    <x v="222"/>
    <s v="Bulk"/>
    <x v="5"/>
    <x v="2"/>
    <s v="870644"/>
    <s v="Upi"/>
    <x v="22"/>
    <x v="22"/>
    <x v="2"/>
    <n v="1"/>
    <n v="144.19"/>
    <n v="14.42"/>
    <n v="129.77000000000001"/>
    <n v="6.49"/>
    <n v="20"/>
    <n v="15"/>
    <n v="171.26"/>
    <n v="33"/>
    <x v="1"/>
  </r>
  <r>
    <s v="O0826"/>
    <s v="19-01-2025"/>
    <x v="223"/>
    <s v="Bulk"/>
    <x v="1"/>
    <x v="2"/>
    <s v="653958"/>
    <s v="Upi"/>
    <x v="23"/>
    <x v="23"/>
    <x v="7"/>
    <n v="1"/>
    <n v="193.18"/>
    <n v="9.66"/>
    <n v="183.52"/>
    <n v="9.18"/>
    <n v="20"/>
    <n v="5"/>
    <n v="217.7"/>
    <n v="32"/>
    <x v="5"/>
  </r>
  <r>
    <s v="O0827"/>
    <s v="13-02-2025"/>
    <x v="224"/>
    <s v="Bulk"/>
    <x v="3"/>
    <x v="1"/>
    <m/>
    <s v="Upi"/>
    <x v="24"/>
    <x v="24"/>
    <x v="2"/>
    <n v="2"/>
    <n v="160.85"/>
    <n v="8.0399999999999991"/>
    <n v="313.66000000000003"/>
    <n v="15.68"/>
    <n v="20"/>
    <n v="20"/>
    <n v="369.34"/>
    <n v="20"/>
    <x v="4"/>
  </r>
  <r>
    <s v="O0828"/>
    <s v="23-02-2025"/>
    <x v="225"/>
    <s v="Bulk"/>
    <x v="5"/>
    <x v="1"/>
    <s v="876001"/>
    <s v="Upi"/>
    <x v="25"/>
    <x v="25"/>
    <x v="1"/>
    <n v="2"/>
    <n v="97.77"/>
    <n v="14.67"/>
    <n v="180.87"/>
    <n v="9.0399999999999991"/>
    <n v="0"/>
    <n v="15"/>
    <n v="204.91"/>
    <n v="11"/>
    <x v="5"/>
  </r>
  <r>
    <s v="O0829"/>
    <s v="08-02-2025"/>
    <x v="226"/>
    <s v="Returning"/>
    <x v="4"/>
    <x v="0"/>
    <s v="753841"/>
    <s v="Cod"/>
    <x v="26"/>
    <x v="26"/>
    <x v="8"/>
    <n v="3"/>
    <n v="160.77000000000001"/>
    <n v="8.0399999999999991"/>
    <n v="474.27"/>
    <n v="23.71"/>
    <n v="30"/>
    <n v="15"/>
    <n v="542.98"/>
    <n v="33"/>
    <x v="0"/>
  </r>
  <r>
    <s v="O0830"/>
    <s v="27-01-2025"/>
    <x v="227"/>
    <s v="Bulk"/>
    <x v="3"/>
    <x v="2"/>
    <s v="100215"/>
    <s v="Upi"/>
    <x v="27"/>
    <x v="27"/>
    <x v="0"/>
    <n v="4"/>
    <n v="64.569999999999993"/>
    <n v="3.23"/>
    <n v="255.05"/>
    <n v="12.75"/>
    <n v="30"/>
    <n v="10"/>
    <n v="307.8"/>
    <n v="24.67"/>
    <x v="6"/>
  </r>
  <r>
    <s v="O0831"/>
    <s v="10-01-2025"/>
    <x v="228"/>
    <s v="New"/>
    <x v="4"/>
    <x v="2"/>
    <s v="396618"/>
    <s v="Upi"/>
    <x v="28"/>
    <x v="28"/>
    <x v="0"/>
    <n v="4"/>
    <n v="56.11"/>
    <n v="5.61"/>
    <n v="218.83"/>
    <n v="10.94"/>
    <n v="0"/>
    <n v="20"/>
    <n v="249.77"/>
    <n v="17"/>
    <x v="1"/>
  </r>
  <r>
    <s v="O0832"/>
    <s v="26-01-2025"/>
    <x v="229"/>
    <s v="Bulk"/>
    <x v="3"/>
    <x v="0"/>
    <s v="768689"/>
    <s v="Phonepe"/>
    <x v="29"/>
    <x v="29"/>
    <x v="2"/>
    <n v="4"/>
    <n v="180.09"/>
    <n v="27.01"/>
    <n v="693.35"/>
    <n v="34.67"/>
    <n v="30"/>
    <n v="0"/>
    <n v="758.02"/>
    <n v="23"/>
    <x v="5"/>
  </r>
  <r>
    <s v="O0833"/>
    <s v="19-01-2025"/>
    <x v="230"/>
    <s v="Bulk"/>
    <x v="3"/>
    <x v="0"/>
    <s v="313286"/>
    <s v="Upi"/>
    <x v="30"/>
    <x v="30"/>
    <x v="5"/>
    <n v="2"/>
    <n v="219.72"/>
    <n v="10.99"/>
    <n v="428.45"/>
    <n v="21.42"/>
    <n v="30"/>
    <n v="10"/>
    <n v="489.87"/>
    <n v="21"/>
    <x v="5"/>
  </r>
  <r>
    <s v="O0834"/>
    <s v="08-02-2025"/>
    <x v="231"/>
    <s v="Bulk"/>
    <x v="3"/>
    <x v="0"/>
    <m/>
    <s v="Wallet"/>
    <x v="31"/>
    <x v="31"/>
    <x v="8"/>
    <n v="3"/>
    <n v="129.97"/>
    <n v="0"/>
    <n v="389.91"/>
    <n v="19.5"/>
    <n v="20"/>
    <n v="20"/>
    <n v="449.41"/>
    <n v="22"/>
    <x v="0"/>
  </r>
  <r>
    <s v="O0835"/>
    <s v="03-01-2025"/>
    <x v="232"/>
    <s v="Bulk"/>
    <x v="1"/>
    <x v="0"/>
    <s v="845222"/>
    <s v="Gpay"/>
    <x v="32"/>
    <x v="32"/>
    <x v="0"/>
    <n v="6"/>
    <n v="119.39"/>
    <n v="17.91"/>
    <n v="698.43000000000006"/>
    <n v="34.92"/>
    <n v="20"/>
    <n v="10"/>
    <n v="763.35"/>
    <n v="24.67"/>
    <x v="1"/>
  </r>
  <r>
    <s v="O0836"/>
    <s v="14-02-2025"/>
    <x v="233"/>
    <s v="Bulk"/>
    <x v="2"/>
    <x v="1"/>
    <s v="219875"/>
    <s v="Upi"/>
    <x v="33"/>
    <x v="33"/>
    <x v="5"/>
    <n v="3"/>
    <n v="71.22"/>
    <n v="0"/>
    <n v="213.66"/>
    <n v="10.68"/>
    <n v="30"/>
    <n v="0"/>
    <n v="254.34"/>
    <n v="33"/>
    <x v="1"/>
  </r>
  <r>
    <s v="O0837"/>
    <s v="13-01-2025"/>
    <x v="234"/>
    <s v="Bulk"/>
    <x v="1"/>
    <x v="0"/>
    <s v="893897"/>
    <s v="Gpay"/>
    <x v="34"/>
    <x v="34"/>
    <x v="0"/>
    <n v="3"/>
    <n v="86.24"/>
    <n v="8.6199999999999992"/>
    <n v="250.1"/>
    <n v="12.5"/>
    <n v="10"/>
    <n v="20"/>
    <n v="292.60000000000002"/>
    <n v="20"/>
    <x v="6"/>
  </r>
  <r>
    <s v="O0838"/>
    <s v="19-02-2025"/>
    <x v="235"/>
    <s v="Bulk"/>
    <x v="2"/>
    <x v="0"/>
    <s v="454835"/>
    <s v="Gpay"/>
    <x v="35"/>
    <x v="35"/>
    <x v="3"/>
    <n v="4"/>
    <n v="159.88"/>
    <n v="0"/>
    <n v="639.52"/>
    <n v="31.98"/>
    <n v="10"/>
    <n v="15"/>
    <n v="696.5"/>
    <n v="19"/>
    <x v="2"/>
  </r>
  <r>
    <s v="O0839"/>
    <s v="28-01-2025"/>
    <x v="236"/>
    <s v="Bulk"/>
    <x v="1"/>
    <x v="1"/>
    <s v="858741"/>
    <s v="Netbanking"/>
    <x v="36"/>
    <x v="36"/>
    <x v="0"/>
    <n v="1"/>
    <n v="72.61"/>
    <n v="10.89"/>
    <n v="61.72"/>
    <n v="3.09"/>
    <n v="20"/>
    <n v="15"/>
    <n v="99.81"/>
    <n v="11"/>
    <x v="3"/>
  </r>
  <r>
    <s v="O0840"/>
    <s v="27-02-2025"/>
    <x v="237"/>
    <s v="Bulk"/>
    <x v="2"/>
    <x v="0"/>
    <s v="778173"/>
    <s v="Phonepe"/>
    <x v="37"/>
    <x v="37"/>
    <x v="5"/>
    <n v="3"/>
    <n v="13.74"/>
    <n v="2.06"/>
    <n v="39.159999999999997"/>
    <n v="1.96"/>
    <n v="0"/>
    <n v="10"/>
    <n v="51.12"/>
    <n v="29"/>
    <x v="4"/>
  </r>
  <r>
    <s v="O0841"/>
    <s v="20-01-2025"/>
    <x v="238"/>
    <s v="Bulk"/>
    <x v="0"/>
    <x v="2"/>
    <m/>
    <s v="Card"/>
    <x v="38"/>
    <x v="38"/>
    <x v="3"/>
    <n v="3"/>
    <n v="117.02"/>
    <n v="5.85"/>
    <n v="345.21"/>
    <n v="17.260000000000002"/>
    <n v="0"/>
    <n v="0"/>
    <n v="362.47"/>
    <n v="4"/>
    <x v="6"/>
  </r>
  <r>
    <s v="O0842"/>
    <s v="28-01-2025"/>
    <x v="239"/>
    <s v="New"/>
    <x v="4"/>
    <x v="0"/>
    <s v="854981"/>
    <s v="Upi"/>
    <x v="39"/>
    <x v="39"/>
    <x v="0"/>
    <n v="2"/>
    <n v="110.98"/>
    <n v="5.55"/>
    <n v="216.41"/>
    <n v="10.82"/>
    <n v="10"/>
    <n v="10"/>
    <n v="247.23"/>
    <n v="24.67"/>
    <x v="3"/>
  </r>
  <r>
    <s v="O0843"/>
    <s v="08-01-2025"/>
    <x v="240"/>
    <s v="Bulk"/>
    <x v="0"/>
    <x v="0"/>
    <s v="255063"/>
    <s v="Upi"/>
    <x v="40"/>
    <x v="40"/>
    <x v="5"/>
    <n v="2"/>
    <n v="64.77"/>
    <n v="6.48"/>
    <n v="123.06"/>
    <n v="6.15"/>
    <n v="30"/>
    <n v="0"/>
    <n v="159.21"/>
    <n v="24.67"/>
    <x v="2"/>
  </r>
  <r>
    <s v="O0844"/>
    <s v="10-02-2025"/>
    <x v="241"/>
    <s v="Bulk"/>
    <x v="5"/>
    <x v="0"/>
    <s v="126081"/>
    <s v="Wallet"/>
    <x v="41"/>
    <x v="41"/>
    <x v="8"/>
    <n v="2"/>
    <n v="138.97999999999999"/>
    <n v="13.9"/>
    <n v="264.06"/>
    <n v="13.2"/>
    <n v="0"/>
    <n v="5"/>
    <n v="282.26"/>
    <n v="16"/>
    <x v="6"/>
  </r>
  <r>
    <s v="O0845"/>
    <s v="08-02-2025"/>
    <x v="242"/>
    <s v="Bulk"/>
    <x v="2"/>
    <x v="2"/>
    <s v="886492"/>
    <s v="Cod"/>
    <x v="42"/>
    <x v="42"/>
    <x v="5"/>
    <n v="3"/>
    <n v="198.2"/>
    <n v="29.73"/>
    <n v="564.86999999999989"/>
    <n v="28.24"/>
    <n v="10"/>
    <n v="10"/>
    <n v="613.1099999999999"/>
    <n v="22"/>
    <x v="0"/>
  </r>
  <r>
    <s v="O0846"/>
    <s v="01-01-2025"/>
    <x v="243"/>
    <s v="Bulk"/>
    <x v="1"/>
    <x v="1"/>
    <s v="204127"/>
    <s v="Upi"/>
    <x v="43"/>
    <x v="43"/>
    <x v="7"/>
    <n v="3"/>
    <n v="31.09"/>
    <n v="0"/>
    <n v="93.27"/>
    <n v="4.66"/>
    <n v="10"/>
    <n v="15"/>
    <n v="122.93"/>
    <n v="24"/>
    <x v="2"/>
  </r>
  <r>
    <s v="O0847"/>
    <s v="03-01-2025"/>
    <x v="244"/>
    <s v="Bulk"/>
    <x v="0"/>
    <x v="1"/>
    <s v="633484"/>
    <s v="Card"/>
    <x v="44"/>
    <x v="44"/>
    <x v="5"/>
    <n v="2"/>
    <n v="132.72999999999999"/>
    <n v="19.91"/>
    <n v="245.55"/>
    <n v="12.28"/>
    <n v="0"/>
    <n v="10"/>
    <n v="267.83"/>
    <n v="35"/>
    <x v="1"/>
  </r>
  <r>
    <s v="O0848"/>
    <s v="13-01-2025"/>
    <x v="245"/>
    <s v="Returning"/>
    <x v="4"/>
    <x v="1"/>
    <s v="874751"/>
    <s v="Card"/>
    <x v="45"/>
    <x v="45"/>
    <x v="7"/>
    <n v="3"/>
    <n v="175.96"/>
    <n v="0"/>
    <n v="527.88"/>
    <n v="26.39"/>
    <n v="30"/>
    <n v="15"/>
    <n v="599.27"/>
    <n v="24.67"/>
    <x v="6"/>
  </r>
  <r>
    <s v="O0849"/>
    <s v="28-01-2025"/>
    <x v="246"/>
    <s v="Returning"/>
    <x v="4"/>
    <x v="1"/>
    <s v="871152"/>
    <s v="Card"/>
    <x v="46"/>
    <x v="46"/>
    <x v="9"/>
    <n v="1"/>
    <n v="66.430000000000007"/>
    <n v="6.64"/>
    <n v="59.790000000000013"/>
    <n v="2.99"/>
    <n v="10"/>
    <n v="0"/>
    <n v="72.78"/>
    <n v="30"/>
    <x v="3"/>
  </r>
  <r>
    <s v="O0850"/>
    <s v="26-02-2025"/>
    <x v="247"/>
    <s v="Bulk"/>
    <x v="0"/>
    <x v="2"/>
    <s v="350606"/>
    <s v="Card"/>
    <x v="47"/>
    <x v="47"/>
    <x v="0"/>
    <n v="5"/>
    <n v="120.98"/>
    <n v="6.05"/>
    <n v="598.85"/>
    <n v="29.94"/>
    <n v="10"/>
    <n v="10"/>
    <n v="648.79000000000008"/>
    <n v="42"/>
    <x v="2"/>
  </r>
  <r>
    <s v="O0851"/>
    <s v="01-03-2025"/>
    <x v="248"/>
    <s v="Returning"/>
    <x v="4"/>
    <x v="1"/>
    <s v="832256"/>
    <s v="Netbanking"/>
    <x v="48"/>
    <x v="48"/>
    <x v="3"/>
    <n v="1"/>
    <n v="68.61"/>
    <n v="0"/>
    <n v="68.61"/>
    <n v="3.43"/>
    <n v="0"/>
    <n v="5"/>
    <n v="77.040000000000006"/>
    <n v="24.67"/>
    <x v="0"/>
  </r>
  <r>
    <s v="O0852"/>
    <s v="18-02-2025"/>
    <x v="249"/>
    <s v="Returning"/>
    <x v="4"/>
    <x v="0"/>
    <s v="714966"/>
    <s v="Upi"/>
    <x v="49"/>
    <x v="49"/>
    <x v="0"/>
    <n v="3"/>
    <n v="97.03"/>
    <n v="4.8499999999999996"/>
    <n v="286.24"/>
    <n v="14.31"/>
    <n v="0"/>
    <n v="10"/>
    <n v="310.55"/>
    <n v="23"/>
    <x v="3"/>
  </r>
  <r>
    <s v="O0853"/>
    <s v="25-01-2025"/>
    <x v="250"/>
    <s v="Returning"/>
    <x v="4"/>
    <x v="2"/>
    <s v="465391"/>
    <s v="Upi"/>
    <x v="50"/>
    <x v="50"/>
    <x v="0"/>
    <n v="4"/>
    <n v="111.95"/>
    <n v="0"/>
    <n v="447.8"/>
    <n v="22.39"/>
    <n v="20"/>
    <n v="20"/>
    <n v="510.19"/>
    <n v="37"/>
    <x v="0"/>
  </r>
  <r>
    <s v="O0854"/>
    <s v="25-02-2025"/>
    <x v="251"/>
    <s v="Bulk"/>
    <x v="3"/>
    <x v="0"/>
    <s v="665148"/>
    <s v="Card"/>
    <x v="51"/>
    <x v="51"/>
    <x v="2"/>
    <n v="3"/>
    <n v="117.31"/>
    <n v="0"/>
    <n v="351.93"/>
    <n v="17.600000000000001"/>
    <n v="30"/>
    <n v="10"/>
    <n v="409.53"/>
    <n v="26"/>
    <x v="3"/>
  </r>
  <r>
    <s v="O0855"/>
    <s v="02-02-2025"/>
    <x v="252"/>
    <s v="Bulk"/>
    <x v="1"/>
    <x v="2"/>
    <s v="545096"/>
    <s v="Gpay"/>
    <x v="52"/>
    <x v="52"/>
    <x v="2"/>
    <n v="5"/>
    <n v="31.44"/>
    <n v="0"/>
    <n v="157.19999999999999"/>
    <n v="7.86"/>
    <n v="0"/>
    <n v="15"/>
    <n v="180.06"/>
    <n v="17"/>
    <x v="5"/>
  </r>
  <r>
    <s v="O0856"/>
    <s v="07-02-2025"/>
    <x v="253"/>
    <s v="Bulk"/>
    <x v="0"/>
    <x v="2"/>
    <s v="410272"/>
    <s v="Upi"/>
    <x v="53"/>
    <x v="53"/>
    <x v="0"/>
    <n v="7"/>
    <n v="190.91"/>
    <n v="19.09"/>
    <n v="1317.28"/>
    <n v="65.86"/>
    <n v="10"/>
    <n v="20"/>
    <n v="1413.14"/>
    <n v="29"/>
    <x v="1"/>
  </r>
  <r>
    <s v="O0857"/>
    <s v="22-02-2025"/>
    <x v="254"/>
    <s v="Bulk"/>
    <x v="0"/>
    <x v="2"/>
    <s v="235393"/>
    <s v="Phonepe"/>
    <x v="54"/>
    <x v="54"/>
    <x v="0"/>
    <n v="6"/>
    <n v="160.93"/>
    <n v="16.09"/>
    <n v="949.49"/>
    <n v="47.47"/>
    <n v="30"/>
    <n v="10"/>
    <n v="1036.96"/>
    <n v="15"/>
    <x v="0"/>
  </r>
  <r>
    <s v="O0858"/>
    <s v="06-01-2025"/>
    <x v="255"/>
    <s v="New"/>
    <x v="4"/>
    <x v="0"/>
    <s v="765673"/>
    <s v="Wallet"/>
    <x v="55"/>
    <x v="55"/>
    <x v="4"/>
    <n v="2"/>
    <n v="150.81"/>
    <n v="0"/>
    <n v="301.62"/>
    <n v="15.08"/>
    <n v="30"/>
    <n v="20"/>
    <n v="366.7"/>
    <n v="43"/>
    <x v="6"/>
  </r>
  <r>
    <s v="O0859"/>
    <s v="27-02-2025"/>
    <x v="256"/>
    <s v="New"/>
    <x v="4"/>
    <x v="0"/>
    <s v="250056"/>
    <s v="Wallet"/>
    <x v="56"/>
    <x v="56"/>
    <x v="4"/>
    <n v="3"/>
    <n v="132.87"/>
    <n v="13.29"/>
    <n v="385.32"/>
    <n v="19.27"/>
    <n v="10"/>
    <n v="20"/>
    <n v="434.59"/>
    <n v="36"/>
    <x v="4"/>
  </r>
  <r>
    <s v="O0860"/>
    <s v="13-02-2025"/>
    <x v="257"/>
    <s v="Bulk"/>
    <x v="0"/>
    <x v="1"/>
    <s v="292319"/>
    <s v="Card"/>
    <x v="57"/>
    <x v="57"/>
    <x v="6"/>
    <n v="6"/>
    <n v="216.38"/>
    <n v="21.64"/>
    <n v="1276.6400000000001"/>
    <n v="63.83"/>
    <n v="30"/>
    <n v="0"/>
    <n v="1370.47"/>
    <n v="26"/>
    <x v="4"/>
  </r>
  <r>
    <s v="O0861"/>
    <s v="14-02-2025"/>
    <x v="258"/>
    <s v="Bulk"/>
    <x v="5"/>
    <x v="1"/>
    <s v="192172"/>
    <s v="Phonepe"/>
    <x v="58"/>
    <x v="58"/>
    <x v="9"/>
    <n v="5"/>
    <n v="111.3"/>
    <n v="5.57"/>
    <n v="550.92999999999995"/>
    <n v="27.55"/>
    <n v="30"/>
    <n v="5"/>
    <n v="613.4799999999999"/>
    <n v="28"/>
    <x v="1"/>
  </r>
  <r>
    <s v="O0862"/>
    <s v="01-02-2025"/>
    <x v="259"/>
    <s v="Bulk"/>
    <x v="5"/>
    <x v="2"/>
    <s v="148639"/>
    <s v="Phonepe"/>
    <x v="59"/>
    <x v="59"/>
    <x v="1"/>
    <n v="1"/>
    <n v="197.76"/>
    <n v="19.78"/>
    <n v="177.98"/>
    <n v="8.9"/>
    <n v="10"/>
    <n v="10"/>
    <n v="206.88"/>
    <n v="13"/>
    <x v="0"/>
  </r>
  <r>
    <s v="O0863"/>
    <s v="14-02-2025"/>
    <x v="260"/>
    <s v="Bulk"/>
    <x v="1"/>
    <x v="2"/>
    <s v="774932"/>
    <s v="Netbanking"/>
    <x v="60"/>
    <x v="60"/>
    <x v="5"/>
    <n v="1"/>
    <n v="188.82"/>
    <n v="18.88"/>
    <n v="169.94"/>
    <n v="8.5"/>
    <n v="30"/>
    <n v="15"/>
    <n v="223.44"/>
    <n v="16"/>
    <x v="1"/>
  </r>
  <r>
    <s v="O0864"/>
    <s v="16-02-2025"/>
    <x v="261"/>
    <s v="Bulk"/>
    <x v="3"/>
    <x v="0"/>
    <s v="210957"/>
    <s v="Card"/>
    <x v="61"/>
    <x v="61"/>
    <x v="0"/>
    <n v="5"/>
    <n v="76.56"/>
    <n v="11.48"/>
    <n v="371.32"/>
    <n v="18.57"/>
    <n v="0"/>
    <n v="10"/>
    <n v="399.89"/>
    <n v="23"/>
    <x v="5"/>
  </r>
  <r>
    <s v="O0865"/>
    <s v="21-01-2025"/>
    <x v="262"/>
    <s v="New"/>
    <x v="4"/>
    <x v="1"/>
    <s v="913051"/>
    <s v="Upi"/>
    <x v="62"/>
    <x v="62"/>
    <x v="9"/>
    <n v="1"/>
    <n v="104.16"/>
    <n v="15.62"/>
    <n v="88.539999999999992"/>
    <n v="4.43"/>
    <n v="10"/>
    <n v="20"/>
    <n v="122.97"/>
    <n v="21"/>
    <x v="3"/>
  </r>
  <r>
    <s v="O0866"/>
    <s v="16-01-2025"/>
    <x v="263"/>
    <s v="Bulk"/>
    <x v="2"/>
    <x v="1"/>
    <s v="785328"/>
    <s v="Gpay"/>
    <x v="63"/>
    <x v="63"/>
    <x v="7"/>
    <n v="5"/>
    <n v="97.69"/>
    <n v="9.77"/>
    <n v="478.68"/>
    <n v="23.93"/>
    <n v="0"/>
    <n v="5"/>
    <n v="507.61"/>
    <n v="17"/>
    <x v="4"/>
  </r>
  <r>
    <s v="O0867"/>
    <s v="23-02-2025"/>
    <x v="264"/>
    <s v="Bulk"/>
    <x v="1"/>
    <x v="1"/>
    <s v="714985"/>
    <s v="Phonepe"/>
    <x v="64"/>
    <x v="64"/>
    <x v="7"/>
    <n v="4"/>
    <n v="71.569999999999993"/>
    <n v="3.58"/>
    <n v="282.7"/>
    <n v="14.13"/>
    <n v="20"/>
    <n v="5"/>
    <n v="321.83"/>
    <n v="7"/>
    <x v="5"/>
  </r>
  <r>
    <s v="O0868"/>
    <s v="21-01-2025"/>
    <x v="265"/>
    <s v="Bulk"/>
    <x v="0"/>
    <x v="1"/>
    <s v="931187"/>
    <s v="Phonepe"/>
    <x v="65"/>
    <x v="65"/>
    <x v="0"/>
    <n v="2"/>
    <n v="36.590000000000003"/>
    <n v="1.83"/>
    <n v="71.350000000000009"/>
    <n v="3.57"/>
    <n v="20"/>
    <n v="0"/>
    <n v="94.92"/>
    <n v="26"/>
    <x v="3"/>
  </r>
  <r>
    <s v="O0869"/>
    <s v="11-01-2025"/>
    <x v="266"/>
    <s v="Bulk"/>
    <x v="0"/>
    <x v="0"/>
    <m/>
    <s v="Upi"/>
    <x v="66"/>
    <x v="66"/>
    <x v="6"/>
    <n v="2"/>
    <n v="155.74"/>
    <n v="15.57"/>
    <n v="295.91000000000003"/>
    <n v="14.8"/>
    <n v="30"/>
    <n v="0"/>
    <n v="340.71"/>
    <n v="25"/>
    <x v="0"/>
  </r>
  <r>
    <s v="O0870"/>
    <s v="01-03-2025"/>
    <x v="267"/>
    <s v="Bulk"/>
    <x v="3"/>
    <x v="0"/>
    <s v="294824"/>
    <s v="Upi"/>
    <x v="67"/>
    <x v="67"/>
    <x v="2"/>
    <n v="2"/>
    <n v="220.29"/>
    <n v="22.03"/>
    <n v="418.55"/>
    <n v="20.93"/>
    <n v="30"/>
    <n v="5"/>
    <n v="474.48"/>
    <n v="42"/>
    <x v="0"/>
  </r>
  <r>
    <s v="O0871"/>
    <s v="06-02-2025"/>
    <x v="268"/>
    <s v="Bulk"/>
    <x v="5"/>
    <x v="2"/>
    <s v="899448"/>
    <s v="Cod"/>
    <x v="68"/>
    <x v="68"/>
    <x v="5"/>
    <n v="2"/>
    <n v="0.66"/>
    <n v="0.1"/>
    <n v="1.22"/>
    <n v="0.06"/>
    <n v="30"/>
    <n v="5"/>
    <n v="36.28"/>
    <n v="28"/>
    <x v="4"/>
  </r>
  <r>
    <s v="O0872"/>
    <s v="05-02-2025"/>
    <x v="269"/>
    <s v="Bulk"/>
    <x v="5"/>
    <x v="1"/>
    <s v="221169"/>
    <s v="Netbanking"/>
    <x v="69"/>
    <x v="69"/>
    <x v="3"/>
    <n v="3"/>
    <n v="54.37"/>
    <n v="8.16"/>
    <n v="154.94999999999999"/>
    <n v="7.75"/>
    <n v="20"/>
    <n v="15"/>
    <n v="197.7"/>
    <n v="24.67"/>
    <x v="2"/>
  </r>
  <r>
    <s v="O0873"/>
    <s v="04-02-2025"/>
    <x v="270"/>
    <s v="Bulk"/>
    <x v="5"/>
    <x v="0"/>
    <s v="494002"/>
    <s v="Upi"/>
    <x v="70"/>
    <x v="70"/>
    <x v="7"/>
    <n v="4"/>
    <n v="93.91"/>
    <n v="0"/>
    <n v="375.64"/>
    <n v="18.78"/>
    <n v="30"/>
    <n v="20"/>
    <n v="444.42"/>
    <n v="29"/>
    <x v="3"/>
  </r>
  <r>
    <s v="O0874"/>
    <s v="19-01-2025"/>
    <x v="271"/>
    <s v="Bulk"/>
    <x v="5"/>
    <x v="2"/>
    <s v="778960"/>
    <s v="Cod"/>
    <x v="71"/>
    <x v="71"/>
    <x v="7"/>
    <n v="6"/>
    <n v="143.88"/>
    <n v="7.19"/>
    <n v="856.08999999999992"/>
    <n v="42.8"/>
    <n v="20"/>
    <n v="20"/>
    <n v="938.88999999999987"/>
    <n v="36"/>
    <x v="5"/>
  </r>
  <r>
    <s v="O0875"/>
    <s v="20-01-2025"/>
    <x v="272"/>
    <s v="Bulk"/>
    <x v="3"/>
    <x v="0"/>
    <s v="205315"/>
    <s v="Upi"/>
    <x v="72"/>
    <x v="72"/>
    <x v="7"/>
    <n v="1"/>
    <n v="96.42"/>
    <n v="14.46"/>
    <n v="81.960000000000008"/>
    <n v="4.0999999999999996"/>
    <n v="0"/>
    <n v="0"/>
    <n v="86.06"/>
    <n v="24.67"/>
    <x v="6"/>
  </r>
  <r>
    <s v="O0876"/>
    <s v="26-02-2025"/>
    <x v="273"/>
    <s v="New"/>
    <x v="4"/>
    <x v="2"/>
    <s v="795139"/>
    <s v="Netbanking"/>
    <x v="73"/>
    <x v="73"/>
    <x v="6"/>
    <n v="5"/>
    <n v="129.58000000000001"/>
    <n v="6.48"/>
    <n v="641.42000000000007"/>
    <n v="32.07"/>
    <n v="0"/>
    <n v="10"/>
    <n v="683.49000000000012"/>
    <n v="24.67"/>
    <x v="2"/>
  </r>
  <r>
    <s v="O0877"/>
    <s v="18-01-2025"/>
    <x v="274"/>
    <s v="Bulk"/>
    <x v="5"/>
    <x v="1"/>
    <s v="764704"/>
    <s v="Card"/>
    <x v="74"/>
    <x v="74"/>
    <x v="8"/>
    <n v="4"/>
    <n v="145.76"/>
    <n v="14.58"/>
    <n v="568.45999999999992"/>
    <n v="28.42"/>
    <n v="30"/>
    <n v="5"/>
    <n v="631.87999999999988"/>
    <n v="24.67"/>
    <x v="0"/>
  </r>
  <r>
    <s v="O0878"/>
    <s v="16-02-2025"/>
    <x v="275"/>
    <s v="Bulk"/>
    <x v="3"/>
    <x v="2"/>
    <s v="165679"/>
    <s v="Gpay"/>
    <x v="75"/>
    <x v="75"/>
    <x v="4"/>
    <n v="3"/>
    <n v="112.53"/>
    <n v="16.88"/>
    <n v="320.70999999999998"/>
    <n v="16.04"/>
    <n v="30"/>
    <n v="15"/>
    <n v="381.75000000000011"/>
    <n v="19"/>
    <x v="5"/>
  </r>
  <r>
    <s v="O0879"/>
    <s v="10-02-2025"/>
    <x v="276"/>
    <s v="Bulk"/>
    <x v="2"/>
    <x v="2"/>
    <s v="455398"/>
    <s v="Cod"/>
    <x v="76"/>
    <x v="76"/>
    <x v="1"/>
    <n v="6"/>
    <n v="100.68"/>
    <n v="15.1"/>
    <n v="588.98"/>
    <n v="29.45"/>
    <n v="0"/>
    <n v="5"/>
    <n v="623.43000000000006"/>
    <n v="21"/>
    <x v="6"/>
  </r>
  <r>
    <s v="O0880"/>
    <s v="18-02-2025"/>
    <x v="277"/>
    <s v="Bulk"/>
    <x v="1"/>
    <x v="0"/>
    <s v="800614"/>
    <s v="Phonepe"/>
    <x v="77"/>
    <x v="77"/>
    <x v="6"/>
    <n v="7"/>
    <n v="137.83000000000001"/>
    <n v="6.89"/>
    <n v="957.92000000000007"/>
    <n v="47.9"/>
    <n v="30"/>
    <n v="10"/>
    <n v="1045.82"/>
    <n v="41"/>
    <x v="3"/>
  </r>
  <r>
    <s v="O0881"/>
    <s v="14-01-2025"/>
    <x v="278"/>
    <s v="Bulk"/>
    <x v="2"/>
    <x v="0"/>
    <s v="125739"/>
    <s v="Phonepe"/>
    <x v="78"/>
    <x v="78"/>
    <x v="5"/>
    <n v="2"/>
    <n v="119.09"/>
    <n v="17.86"/>
    <n v="220.32"/>
    <n v="11.02"/>
    <n v="30"/>
    <n v="0"/>
    <n v="261.33999999999997"/>
    <n v="16"/>
    <x v="3"/>
  </r>
  <r>
    <s v="O0882"/>
    <s v="15-01-2025"/>
    <x v="279"/>
    <s v="Bulk"/>
    <x v="2"/>
    <x v="2"/>
    <s v="135709"/>
    <s v="Upi"/>
    <x v="79"/>
    <x v="79"/>
    <x v="0"/>
    <n v="1"/>
    <n v="122.54"/>
    <n v="6.13"/>
    <n v="116.41"/>
    <n v="5.82"/>
    <n v="10"/>
    <n v="20"/>
    <n v="152.22999999999999"/>
    <n v="30"/>
    <x v="2"/>
  </r>
  <r>
    <s v="O0883"/>
    <s v="31-01-2025"/>
    <x v="280"/>
    <s v="Bulk"/>
    <x v="2"/>
    <x v="1"/>
    <s v="629787"/>
    <s v="Phonepe"/>
    <x v="80"/>
    <x v="80"/>
    <x v="6"/>
    <n v="1"/>
    <n v="111.21"/>
    <n v="16.68"/>
    <n v="94.53"/>
    <n v="4.7300000000000004"/>
    <n v="30"/>
    <n v="5"/>
    <n v="134.26"/>
    <n v="34"/>
    <x v="1"/>
  </r>
  <r>
    <s v="O0884"/>
    <s v="01-01-2025"/>
    <x v="281"/>
    <s v="Bulk"/>
    <x v="1"/>
    <x v="0"/>
    <s v="760354"/>
    <s v="Netbanking"/>
    <x v="81"/>
    <x v="81"/>
    <x v="7"/>
    <n v="3"/>
    <n v="159.03"/>
    <n v="0"/>
    <n v="477.09"/>
    <n v="23.85"/>
    <n v="20"/>
    <n v="10"/>
    <n v="530.94000000000005"/>
    <n v="29"/>
    <x v="2"/>
  </r>
  <r>
    <s v="O0885"/>
    <s v="22-02-2025"/>
    <x v="282"/>
    <s v="Bulk"/>
    <x v="0"/>
    <x v="1"/>
    <s v="394499"/>
    <s v="Netbanking"/>
    <x v="82"/>
    <x v="82"/>
    <x v="4"/>
    <n v="6"/>
    <n v="115.65"/>
    <n v="5.78"/>
    <n v="688.12000000000012"/>
    <n v="34.409999999999997"/>
    <n v="30"/>
    <n v="5"/>
    <n v="757.53000000000009"/>
    <n v="24.67"/>
    <x v="0"/>
  </r>
  <r>
    <s v="O0886"/>
    <s v="23-02-2025"/>
    <x v="283"/>
    <s v="Bulk"/>
    <x v="5"/>
    <x v="1"/>
    <s v="875359"/>
    <s v="Wallet"/>
    <x v="83"/>
    <x v="83"/>
    <x v="1"/>
    <n v="1"/>
    <n v="75.64"/>
    <n v="11.35"/>
    <n v="64.290000000000006"/>
    <n v="3.21"/>
    <n v="0"/>
    <n v="10"/>
    <n v="77.5"/>
    <n v="19"/>
    <x v="5"/>
  </r>
  <r>
    <s v="O0887"/>
    <s v="23-02-2025"/>
    <x v="284"/>
    <s v="Bulk"/>
    <x v="3"/>
    <x v="0"/>
    <s v="447186"/>
    <s v="Phonepe"/>
    <x v="84"/>
    <x v="84"/>
    <x v="9"/>
    <n v="3"/>
    <n v="141.71"/>
    <n v="0"/>
    <n v="425.13"/>
    <n v="21.26"/>
    <n v="30"/>
    <n v="20"/>
    <n v="496.39"/>
    <n v="35"/>
    <x v="5"/>
  </r>
  <r>
    <s v="O0888"/>
    <s v="03-01-2025"/>
    <x v="285"/>
    <s v="Bulk"/>
    <x v="0"/>
    <x v="2"/>
    <s v="253956"/>
    <s v="Netbanking"/>
    <x v="85"/>
    <x v="85"/>
    <x v="7"/>
    <n v="3"/>
    <n v="39.229999999999997"/>
    <n v="3.92"/>
    <n v="113.77"/>
    <n v="5.69"/>
    <n v="20"/>
    <n v="10"/>
    <n v="149.46"/>
    <n v="33"/>
    <x v="1"/>
  </r>
  <r>
    <s v="O0889"/>
    <s v="16-01-2025"/>
    <x v="286"/>
    <s v="Bulk"/>
    <x v="2"/>
    <x v="2"/>
    <s v="935726"/>
    <s v="Cod"/>
    <x v="86"/>
    <x v="86"/>
    <x v="8"/>
    <n v="2"/>
    <n v="152.26"/>
    <n v="7.61"/>
    <n v="296.91000000000003"/>
    <n v="14.85"/>
    <n v="20"/>
    <n v="20"/>
    <n v="351.76"/>
    <n v="29"/>
    <x v="4"/>
  </r>
  <r>
    <s v="O0890"/>
    <s v="23-01-2025"/>
    <x v="287"/>
    <s v="New"/>
    <x v="4"/>
    <x v="1"/>
    <s v="978260"/>
    <s v="Netbanking"/>
    <x v="87"/>
    <x v="87"/>
    <x v="2"/>
    <n v="1"/>
    <n v="104.91"/>
    <n v="0"/>
    <n v="104.91"/>
    <n v="5.25"/>
    <n v="20"/>
    <n v="0"/>
    <n v="130.16"/>
    <n v="24.67"/>
    <x v="4"/>
  </r>
  <r>
    <s v="O0891"/>
    <s v="26-02-2025"/>
    <x v="288"/>
    <s v="Bulk"/>
    <x v="1"/>
    <x v="1"/>
    <s v="515685"/>
    <s v="Netbanking"/>
    <x v="88"/>
    <x v="88"/>
    <x v="0"/>
    <n v="7"/>
    <n v="154.22999999999999"/>
    <n v="7.71"/>
    <n v="1071.9000000000001"/>
    <n v="53.59"/>
    <n v="20"/>
    <n v="15"/>
    <n v="1160.49"/>
    <n v="24.67"/>
    <x v="2"/>
  </r>
  <r>
    <s v="O0892"/>
    <s v="11-01-2025"/>
    <x v="289"/>
    <s v="Bulk"/>
    <x v="3"/>
    <x v="0"/>
    <s v="596246"/>
    <s v="Card"/>
    <x v="89"/>
    <x v="89"/>
    <x v="3"/>
    <n v="4"/>
    <n v="7.4"/>
    <n v="0.37"/>
    <n v="29.23"/>
    <n v="1.46"/>
    <n v="20"/>
    <n v="10"/>
    <n v="60.69"/>
    <n v="26"/>
    <x v="0"/>
  </r>
  <r>
    <s v="O0893"/>
    <s v="12-01-2025"/>
    <x v="290"/>
    <s v="Bulk"/>
    <x v="1"/>
    <x v="2"/>
    <s v="496456"/>
    <s v="Wallet"/>
    <x v="90"/>
    <x v="90"/>
    <x v="1"/>
    <n v="3"/>
    <n v="122.96"/>
    <n v="18.440000000000001"/>
    <n v="350.44"/>
    <n v="17.52"/>
    <n v="10"/>
    <n v="0"/>
    <n v="377.96"/>
    <n v="32"/>
    <x v="5"/>
  </r>
  <r>
    <s v="O0894"/>
    <s v="10-01-2025"/>
    <x v="291"/>
    <s v="Bulk"/>
    <x v="2"/>
    <x v="1"/>
    <s v="748033"/>
    <s v="Phonepe"/>
    <x v="91"/>
    <x v="91"/>
    <x v="9"/>
    <n v="4"/>
    <n v="152.61000000000001"/>
    <n v="0"/>
    <n v="610.44000000000005"/>
    <n v="30.52"/>
    <n v="10"/>
    <n v="15"/>
    <n v="665.96"/>
    <n v="45"/>
    <x v="1"/>
  </r>
  <r>
    <s v="O0895"/>
    <s v="01-02-2025"/>
    <x v="292"/>
    <s v="Bulk"/>
    <x v="1"/>
    <x v="2"/>
    <s v="815601"/>
    <s v="Card"/>
    <x v="92"/>
    <x v="92"/>
    <x v="6"/>
    <n v="5"/>
    <n v="207.48"/>
    <n v="20.75"/>
    <n v="1016.65"/>
    <n v="50.83"/>
    <n v="30"/>
    <n v="0"/>
    <n v="1097.48"/>
    <n v="10"/>
    <x v="0"/>
  </r>
  <r>
    <s v="O0896"/>
    <s v="16-01-2025"/>
    <x v="293"/>
    <s v="Bulk"/>
    <x v="5"/>
    <x v="0"/>
    <s v="170268"/>
    <s v="Upi"/>
    <x v="93"/>
    <x v="93"/>
    <x v="2"/>
    <n v="3"/>
    <n v="131.49"/>
    <n v="13.15"/>
    <n v="381.32000000000011"/>
    <n v="19.07"/>
    <n v="10"/>
    <n v="15"/>
    <n v="425.39"/>
    <n v="16"/>
    <x v="4"/>
  </r>
  <r>
    <s v="O0897"/>
    <s v="08-01-2025"/>
    <x v="294"/>
    <s v="Bulk"/>
    <x v="5"/>
    <x v="2"/>
    <s v="270635"/>
    <s v="Phonepe"/>
    <x v="94"/>
    <x v="94"/>
    <x v="0"/>
    <n v="4"/>
    <n v="186.97"/>
    <n v="9.35"/>
    <n v="738.53"/>
    <n v="36.93"/>
    <n v="0"/>
    <n v="5"/>
    <n v="780.45999999999992"/>
    <n v="40"/>
    <x v="2"/>
  </r>
  <r>
    <s v="O0898"/>
    <s v="07-02-2025"/>
    <x v="295"/>
    <s v="Bulk"/>
    <x v="5"/>
    <x v="1"/>
    <s v="700699"/>
    <s v="Card"/>
    <x v="95"/>
    <x v="95"/>
    <x v="6"/>
    <n v="9"/>
    <n v="52.59"/>
    <n v="0"/>
    <n v="473.31000000000012"/>
    <n v="23.67"/>
    <n v="30"/>
    <n v="20"/>
    <n v="546.98"/>
    <n v="24.67"/>
    <x v="1"/>
  </r>
  <r>
    <s v="O0899"/>
    <s v="12-01-2025"/>
    <x v="296"/>
    <s v="Returning"/>
    <x v="4"/>
    <x v="1"/>
    <s v="338441"/>
    <s v="Upi"/>
    <x v="96"/>
    <x v="96"/>
    <x v="9"/>
    <n v="1"/>
    <n v="125.41"/>
    <n v="18.809999999999999"/>
    <n v="106.6"/>
    <n v="5.33"/>
    <n v="30"/>
    <n v="10"/>
    <n v="151.93"/>
    <n v="33"/>
    <x v="5"/>
  </r>
  <r>
    <s v="O0900"/>
    <s v="24-01-2025"/>
    <x v="297"/>
    <s v="Bulk"/>
    <x v="3"/>
    <x v="1"/>
    <s v="949649"/>
    <s v="Upi"/>
    <x v="97"/>
    <x v="97"/>
    <x v="4"/>
    <n v="1"/>
    <n v="235.41"/>
    <n v="0"/>
    <n v="235.41"/>
    <n v="11.77"/>
    <n v="0"/>
    <n v="0"/>
    <n v="247.18"/>
    <n v="17"/>
    <x v="1"/>
  </r>
  <r>
    <s v="O0901"/>
    <s v="28-01-2025"/>
    <x v="0"/>
    <s v="Bulk"/>
    <x v="3"/>
    <x v="0"/>
    <s v="473145"/>
    <s v="Upi"/>
    <x v="98"/>
    <x v="98"/>
    <x v="7"/>
    <n v="3"/>
    <n v="17.87"/>
    <n v="0.89"/>
    <n v="52.72"/>
    <n v="2.64"/>
    <n v="10"/>
    <n v="10"/>
    <n v="75.36"/>
    <n v="9"/>
    <x v="3"/>
  </r>
  <r>
    <s v="O0902"/>
    <s v="22-02-2025"/>
    <x v="1"/>
    <s v="Bulk"/>
    <x v="5"/>
    <x v="2"/>
    <s v="797789"/>
    <s v="Phonepe"/>
    <x v="99"/>
    <x v="99"/>
    <x v="1"/>
    <n v="1"/>
    <n v="4.67"/>
    <n v="0.23"/>
    <n v="4.4400000000000004"/>
    <n v="0.22"/>
    <n v="20"/>
    <n v="15"/>
    <n v="39.659999999999997"/>
    <n v="21"/>
    <x v="0"/>
  </r>
  <r>
    <s v="O0903"/>
    <s v="08-01-2025"/>
    <x v="298"/>
    <s v="Returning"/>
    <x v="4"/>
    <x v="3"/>
    <s v="738071"/>
    <s v="Upi"/>
    <x v="100"/>
    <x v="100"/>
    <x v="6"/>
    <n v="3"/>
    <n v="103.78"/>
    <n v="0"/>
    <n v="311.33999999999997"/>
    <n v="15.57"/>
    <n v="0"/>
    <n v="10"/>
    <n v="336.91"/>
    <n v="23"/>
    <x v="2"/>
  </r>
  <r>
    <s v="O0904"/>
    <s v="27-02-2025"/>
    <x v="299"/>
    <s v="Bulk"/>
    <x v="0"/>
    <x v="1"/>
    <s v="532184"/>
    <s v="Upi"/>
    <x v="101"/>
    <x v="101"/>
    <x v="8"/>
    <n v="2"/>
    <n v="121.08"/>
    <n v="12.11"/>
    <n v="230.05"/>
    <n v="11.5"/>
    <n v="30"/>
    <n v="15"/>
    <n v="286.55"/>
    <n v="29"/>
    <x v="4"/>
  </r>
  <r>
    <s v="O0905"/>
    <s v="28-01-2025"/>
    <x v="2"/>
    <s v="Bulk"/>
    <x v="2"/>
    <x v="0"/>
    <s v="231827"/>
    <s v="Gpay"/>
    <x v="102"/>
    <x v="102"/>
    <x v="7"/>
    <n v="2"/>
    <n v="24.26"/>
    <n v="2.4300000000000002"/>
    <n v="46.09"/>
    <n v="2.2999999999999998"/>
    <n v="30"/>
    <n v="15"/>
    <n v="93.39"/>
    <n v="32"/>
    <x v="3"/>
  </r>
  <r>
    <s v="O0906"/>
    <s v="05-02-2025"/>
    <x v="3"/>
    <s v="Bulk"/>
    <x v="1"/>
    <x v="0"/>
    <s v="222989"/>
    <s v="Upi"/>
    <x v="103"/>
    <x v="103"/>
    <x v="7"/>
    <n v="4"/>
    <n v="90.7"/>
    <n v="13.61"/>
    <n v="349.19"/>
    <n v="17.46"/>
    <n v="10"/>
    <n v="0"/>
    <n v="376.65"/>
    <n v="31"/>
    <x v="2"/>
  </r>
  <r>
    <s v="O0907"/>
    <s v="26-01-2025"/>
    <x v="4"/>
    <s v="Bulk"/>
    <x v="0"/>
    <x v="1"/>
    <s v="461185"/>
    <s v="Upi"/>
    <x v="104"/>
    <x v="104"/>
    <x v="2"/>
    <n v="2"/>
    <n v="187.19"/>
    <n v="18.72"/>
    <n v="355.66"/>
    <n v="17.78"/>
    <n v="30"/>
    <n v="5"/>
    <n v="408.43999999999988"/>
    <n v="15"/>
    <x v="5"/>
  </r>
  <r>
    <s v="O0908"/>
    <s v="08-01-2025"/>
    <x v="5"/>
    <s v="Bulk"/>
    <x v="2"/>
    <x v="0"/>
    <s v="325756"/>
    <s v="Card"/>
    <x v="105"/>
    <x v="105"/>
    <x v="9"/>
    <n v="3"/>
    <n v="33.479999999999997"/>
    <n v="1.67"/>
    <n v="98.77"/>
    <n v="4.9400000000000004"/>
    <n v="30"/>
    <n v="10"/>
    <n v="143.71"/>
    <n v="6"/>
    <x v="2"/>
  </r>
  <r>
    <s v="O0909"/>
    <s v="27-02-2025"/>
    <x v="6"/>
    <s v="Bulk"/>
    <x v="3"/>
    <x v="1"/>
    <m/>
    <s v="Upi"/>
    <x v="106"/>
    <x v="106"/>
    <x v="6"/>
    <n v="3"/>
    <n v="225.04"/>
    <n v="33.76"/>
    <n v="641.36"/>
    <n v="32.07"/>
    <n v="30"/>
    <n v="0"/>
    <n v="703.43000000000006"/>
    <n v="20"/>
    <x v="4"/>
  </r>
  <r>
    <s v="O0910"/>
    <s v="01-03-2025"/>
    <x v="7"/>
    <s v="Bulk"/>
    <x v="5"/>
    <x v="2"/>
    <s v="972882"/>
    <s v="Upi"/>
    <x v="107"/>
    <x v="107"/>
    <x v="9"/>
    <n v="4"/>
    <n v="88.94"/>
    <n v="0"/>
    <n v="355.76"/>
    <n v="17.79"/>
    <n v="10"/>
    <n v="0"/>
    <n v="383.55"/>
    <n v="24"/>
    <x v="0"/>
  </r>
  <r>
    <s v="O0911"/>
    <s v="19-02-2025"/>
    <x v="8"/>
    <s v="Bulk"/>
    <x v="1"/>
    <x v="0"/>
    <m/>
    <s v="Netbanking"/>
    <x v="108"/>
    <x v="108"/>
    <x v="2"/>
    <n v="6"/>
    <n v="230.63"/>
    <n v="23.06"/>
    <n v="1360.72"/>
    <n v="68.040000000000006"/>
    <n v="0"/>
    <n v="20"/>
    <n v="1448.76"/>
    <n v="37"/>
    <x v="2"/>
  </r>
  <r>
    <s v="O0912"/>
    <s v="28-01-2025"/>
    <x v="9"/>
    <s v="Bulk"/>
    <x v="5"/>
    <x v="1"/>
    <s v="534352"/>
    <s v="Upi"/>
    <x v="109"/>
    <x v="109"/>
    <x v="2"/>
    <n v="1"/>
    <n v="102.71"/>
    <n v="15.41"/>
    <n v="87.3"/>
    <n v="4.37"/>
    <n v="0"/>
    <n v="10"/>
    <n v="101.67"/>
    <n v="29"/>
    <x v="3"/>
  </r>
  <r>
    <s v="O0913"/>
    <s v="28-01-2025"/>
    <x v="10"/>
    <s v="Bulk"/>
    <x v="2"/>
    <x v="0"/>
    <s v="597873"/>
    <s v="Wallet"/>
    <x v="110"/>
    <x v="110"/>
    <x v="7"/>
    <n v="3"/>
    <n v="180.97"/>
    <n v="9.0500000000000007"/>
    <n v="533.86"/>
    <n v="26.69"/>
    <n v="30"/>
    <n v="10"/>
    <n v="600.55000000000007"/>
    <n v="36"/>
    <x v="3"/>
  </r>
  <r>
    <s v="O0914"/>
    <s v="06-02-2025"/>
    <x v="11"/>
    <s v="Bulk"/>
    <x v="3"/>
    <x v="1"/>
    <m/>
    <s v="Upi"/>
    <x v="111"/>
    <x v="111"/>
    <x v="3"/>
    <n v="3"/>
    <n v="50.93"/>
    <n v="5.09"/>
    <n v="147.69999999999999"/>
    <n v="7.38"/>
    <n v="10"/>
    <n v="5"/>
    <n v="170.08"/>
    <n v="3"/>
    <x v="4"/>
  </r>
  <r>
    <s v="O0915"/>
    <s v="10-02-2025"/>
    <x v="12"/>
    <s v="Bulk"/>
    <x v="1"/>
    <x v="0"/>
    <s v="149156"/>
    <s v="Upi"/>
    <x v="112"/>
    <x v="112"/>
    <x v="5"/>
    <n v="1"/>
    <n v="88.12"/>
    <n v="13.22"/>
    <n v="74.900000000000006"/>
    <n v="3.75"/>
    <n v="10"/>
    <n v="20"/>
    <n v="108.65"/>
    <n v="33"/>
    <x v="6"/>
  </r>
  <r>
    <s v="O0916"/>
    <s v="05-02-2025"/>
    <x v="13"/>
    <s v="Bulk"/>
    <x v="1"/>
    <x v="2"/>
    <s v="684570"/>
    <s v="Phonepe"/>
    <x v="113"/>
    <x v="113"/>
    <x v="0"/>
    <n v="2"/>
    <n v="56.18"/>
    <n v="8.43"/>
    <n v="103.93"/>
    <n v="5.2"/>
    <n v="10"/>
    <n v="10"/>
    <n v="129.13"/>
    <n v="18"/>
    <x v="2"/>
  </r>
  <r>
    <s v="O0917"/>
    <s v="27-01-2025"/>
    <x v="14"/>
    <s v="Bulk"/>
    <x v="3"/>
    <x v="2"/>
    <s v="782954"/>
    <s v="Upi"/>
    <x v="114"/>
    <x v="114"/>
    <x v="0"/>
    <n v="3"/>
    <n v="95.06"/>
    <n v="0"/>
    <n v="285.18"/>
    <n v="14.26"/>
    <n v="0"/>
    <n v="20"/>
    <n v="319.44"/>
    <n v="24.67"/>
    <x v="6"/>
  </r>
  <r>
    <s v="O0918"/>
    <s v="23-02-2025"/>
    <x v="15"/>
    <s v="New"/>
    <x v="4"/>
    <x v="0"/>
    <s v="137860"/>
    <s v="Card"/>
    <x v="115"/>
    <x v="115"/>
    <x v="9"/>
    <n v="3"/>
    <n v="220.26"/>
    <n v="11.01"/>
    <n v="649.77"/>
    <n v="32.49"/>
    <n v="30"/>
    <n v="10"/>
    <n v="722.26"/>
    <n v="17"/>
    <x v="5"/>
  </r>
  <r>
    <s v="O0919"/>
    <s v="17-01-2025"/>
    <x v="16"/>
    <s v="Bulk"/>
    <x v="5"/>
    <x v="0"/>
    <s v="695983"/>
    <s v="Phonepe"/>
    <x v="116"/>
    <x v="116"/>
    <x v="9"/>
    <n v="3"/>
    <n v="184"/>
    <n v="0"/>
    <n v="552"/>
    <n v="27.6"/>
    <n v="20"/>
    <n v="5"/>
    <n v="604.6"/>
    <n v="21"/>
    <x v="1"/>
  </r>
  <r>
    <s v="O0920"/>
    <s v="09-01-2025"/>
    <x v="17"/>
    <s v="Bulk"/>
    <x v="5"/>
    <x v="0"/>
    <s v="105636"/>
    <s v="Netbanking"/>
    <x v="117"/>
    <x v="117"/>
    <x v="1"/>
    <n v="2"/>
    <n v="144.69"/>
    <n v="14.47"/>
    <n v="274.91000000000003"/>
    <n v="13.75"/>
    <n v="10"/>
    <n v="0"/>
    <n v="298.66000000000003"/>
    <n v="24.67"/>
    <x v="4"/>
  </r>
  <r>
    <s v="O0921"/>
    <s v="02-02-2025"/>
    <x v="18"/>
    <s v="New"/>
    <x v="4"/>
    <x v="0"/>
    <s v="678921"/>
    <s v="Wallet"/>
    <x v="118"/>
    <x v="118"/>
    <x v="5"/>
    <n v="4"/>
    <n v="68.319999999999993"/>
    <n v="10.25"/>
    <n v="263.02999999999997"/>
    <n v="13.15"/>
    <n v="30"/>
    <n v="15"/>
    <n v="321.17999999999989"/>
    <n v="21"/>
    <x v="5"/>
  </r>
  <r>
    <s v="O0922"/>
    <s v="22-02-2025"/>
    <x v="19"/>
    <s v="Bulk"/>
    <x v="2"/>
    <x v="0"/>
    <s v="766978"/>
    <s v="Upi"/>
    <x v="119"/>
    <x v="119"/>
    <x v="0"/>
    <n v="1"/>
    <n v="242.97"/>
    <n v="0"/>
    <n v="242.97"/>
    <n v="12.15"/>
    <n v="30"/>
    <n v="20"/>
    <n v="305.12"/>
    <n v="22"/>
    <x v="0"/>
  </r>
  <r>
    <s v="O0923"/>
    <s v="20-01-2025"/>
    <x v="20"/>
    <s v="Bulk"/>
    <x v="5"/>
    <x v="0"/>
    <s v="816825"/>
    <s v="Upi"/>
    <x v="120"/>
    <x v="120"/>
    <x v="3"/>
    <n v="1"/>
    <n v="85.44"/>
    <n v="4.2699999999999996"/>
    <n v="81.17"/>
    <n v="4.0599999999999996"/>
    <n v="0"/>
    <n v="10"/>
    <n v="95.23"/>
    <n v="12"/>
    <x v="6"/>
  </r>
  <r>
    <s v="O0924"/>
    <s v="13-01-2025"/>
    <x v="21"/>
    <s v="Bulk"/>
    <x v="2"/>
    <x v="0"/>
    <s v="535686"/>
    <s v="Upi"/>
    <x v="121"/>
    <x v="121"/>
    <x v="3"/>
    <n v="1"/>
    <n v="22.73"/>
    <n v="1.1399999999999999"/>
    <n v="21.59"/>
    <n v="1.08"/>
    <n v="30"/>
    <n v="5"/>
    <n v="57.67"/>
    <n v="21"/>
    <x v="6"/>
  </r>
  <r>
    <s v="O0925"/>
    <s v="28-01-2025"/>
    <x v="22"/>
    <s v="Bulk"/>
    <x v="2"/>
    <x v="3"/>
    <s v="244233"/>
    <s v="Upi"/>
    <x v="122"/>
    <x v="122"/>
    <x v="0"/>
    <n v="2"/>
    <n v="101.66"/>
    <n v="0"/>
    <n v="203.32"/>
    <n v="10.17"/>
    <n v="30"/>
    <n v="15"/>
    <n v="258.49"/>
    <n v="28"/>
    <x v="3"/>
  </r>
  <r>
    <s v="O0926"/>
    <s v="17-02-2025"/>
    <x v="23"/>
    <s v="Bulk"/>
    <x v="1"/>
    <x v="2"/>
    <s v="321439"/>
    <s v="Cod"/>
    <x v="123"/>
    <x v="123"/>
    <x v="5"/>
    <n v="3"/>
    <n v="116.47"/>
    <n v="17.47"/>
    <n v="331.93999999999988"/>
    <n v="16.600000000000001"/>
    <n v="30"/>
    <n v="10"/>
    <n v="388.54"/>
    <n v="19"/>
    <x v="6"/>
  </r>
  <r>
    <s v="O0927"/>
    <s v="29-01-2025"/>
    <x v="24"/>
    <s v="Bulk"/>
    <x v="2"/>
    <x v="0"/>
    <s v="497595"/>
    <s v="Upi"/>
    <x v="124"/>
    <x v="124"/>
    <x v="2"/>
    <n v="4"/>
    <n v="124.79"/>
    <n v="12.48"/>
    <n v="486.68"/>
    <n v="24.33"/>
    <n v="20"/>
    <n v="15"/>
    <n v="546.01"/>
    <n v="24.67"/>
    <x v="2"/>
  </r>
  <r>
    <s v="O0928"/>
    <s v="13-01-2025"/>
    <x v="25"/>
    <s v="Bulk"/>
    <x v="1"/>
    <x v="1"/>
    <s v="445452"/>
    <s v="Netbanking"/>
    <x v="125"/>
    <x v="125"/>
    <x v="5"/>
    <n v="2"/>
    <n v="129.71"/>
    <n v="0"/>
    <n v="259.42"/>
    <n v="12.97"/>
    <n v="20"/>
    <n v="20"/>
    <n v="312.39"/>
    <n v="22"/>
    <x v="6"/>
  </r>
  <r>
    <s v="O0929"/>
    <s v="15-02-2025"/>
    <x v="26"/>
    <s v="Bulk"/>
    <x v="1"/>
    <x v="0"/>
    <s v="862277"/>
    <s v="Netbanking"/>
    <x v="126"/>
    <x v="126"/>
    <x v="3"/>
    <n v="1"/>
    <n v="54.08"/>
    <n v="5.41"/>
    <n v="48.67"/>
    <n v="2.4300000000000002"/>
    <n v="0"/>
    <n v="0"/>
    <n v="51.1"/>
    <n v="39"/>
    <x v="0"/>
  </r>
  <r>
    <s v="O0930"/>
    <s v="04-02-2025"/>
    <x v="27"/>
    <s v="New"/>
    <x v="4"/>
    <x v="1"/>
    <s v="974802"/>
    <s v="Upi"/>
    <x v="127"/>
    <x v="127"/>
    <x v="1"/>
    <n v="1"/>
    <n v="46.88"/>
    <n v="4.6900000000000004"/>
    <n v="42.19"/>
    <n v="2.11"/>
    <n v="30"/>
    <n v="10"/>
    <n v="84.300000000000011"/>
    <n v="31"/>
    <x v="3"/>
  </r>
  <r>
    <s v="O0931"/>
    <s v="06-01-2025"/>
    <x v="28"/>
    <s v="Bulk"/>
    <x v="2"/>
    <x v="2"/>
    <s v="118830"/>
    <s v="Wallet"/>
    <x v="128"/>
    <x v="128"/>
    <x v="5"/>
    <n v="3"/>
    <n v="155.72999999999999"/>
    <n v="15.57"/>
    <n v="451.61999999999989"/>
    <n v="22.58"/>
    <n v="30"/>
    <n v="10"/>
    <n v="514.19999999999993"/>
    <n v="19"/>
    <x v="6"/>
  </r>
  <r>
    <s v="O0932"/>
    <s v="18-01-2025"/>
    <x v="29"/>
    <s v="Bulk"/>
    <x v="5"/>
    <x v="1"/>
    <s v="103681"/>
    <s v="Wallet"/>
    <x v="129"/>
    <x v="129"/>
    <x v="3"/>
    <n v="2"/>
    <n v="82.51"/>
    <n v="4.13"/>
    <n v="160.88999999999999"/>
    <n v="8.0399999999999991"/>
    <n v="10"/>
    <n v="0"/>
    <n v="178.93"/>
    <n v="14"/>
    <x v="0"/>
  </r>
  <r>
    <s v="O0933"/>
    <s v="20-02-2025"/>
    <x v="30"/>
    <s v="Bulk"/>
    <x v="5"/>
    <x v="2"/>
    <m/>
    <s v="Phonepe"/>
    <x v="130"/>
    <x v="130"/>
    <x v="2"/>
    <n v="1"/>
    <n v="102.35"/>
    <n v="15.35"/>
    <n v="87"/>
    <n v="4.3499999999999996"/>
    <n v="20"/>
    <n v="0"/>
    <n v="111.35"/>
    <n v="38"/>
    <x v="4"/>
  </r>
  <r>
    <s v="O0934"/>
    <s v="05-01-2025"/>
    <x v="31"/>
    <s v="New"/>
    <x v="4"/>
    <x v="1"/>
    <s v="193246"/>
    <s v="Wallet"/>
    <x v="131"/>
    <x v="131"/>
    <x v="2"/>
    <n v="3"/>
    <n v="159.79"/>
    <n v="15.98"/>
    <n v="463.39"/>
    <n v="23.17"/>
    <n v="20"/>
    <n v="0"/>
    <n v="506.56"/>
    <n v="24.67"/>
    <x v="5"/>
  </r>
  <r>
    <s v="O0935"/>
    <s v="16-02-2025"/>
    <x v="32"/>
    <s v="Bulk"/>
    <x v="5"/>
    <x v="0"/>
    <s v="345160"/>
    <s v="Upi"/>
    <x v="132"/>
    <x v="132"/>
    <x v="2"/>
    <n v="1"/>
    <n v="172.43"/>
    <n v="25.86"/>
    <n v="146.57"/>
    <n v="7.33"/>
    <n v="0"/>
    <n v="10"/>
    <n v="163.9"/>
    <n v="24.67"/>
    <x v="5"/>
  </r>
  <r>
    <s v="O0936"/>
    <s v="25-01-2025"/>
    <x v="33"/>
    <s v="Bulk"/>
    <x v="0"/>
    <x v="1"/>
    <s v="320326"/>
    <s v="Wallet"/>
    <x v="133"/>
    <x v="133"/>
    <x v="7"/>
    <n v="2"/>
    <n v="87.46"/>
    <n v="4.37"/>
    <n v="170.55"/>
    <n v="8.5299999999999994"/>
    <n v="30"/>
    <n v="10"/>
    <n v="219.08"/>
    <n v="22"/>
    <x v="0"/>
  </r>
  <r>
    <s v="O0937"/>
    <s v="02-01-2025"/>
    <x v="34"/>
    <s v="Bulk"/>
    <x v="3"/>
    <x v="0"/>
    <s v="180730"/>
    <s v="Wallet"/>
    <x v="134"/>
    <x v="134"/>
    <x v="0"/>
    <n v="1"/>
    <n v="72.52"/>
    <n v="10.88"/>
    <n v="61.639999999999993"/>
    <n v="3.08"/>
    <n v="0"/>
    <n v="20"/>
    <n v="84.72"/>
    <n v="28"/>
    <x v="4"/>
  </r>
  <r>
    <s v="O0938"/>
    <s v="10-01-2025"/>
    <x v="35"/>
    <s v="Returning"/>
    <x v="4"/>
    <x v="0"/>
    <s v="909253"/>
    <s v="Card"/>
    <x v="135"/>
    <x v="135"/>
    <x v="6"/>
    <n v="3"/>
    <n v="183.37"/>
    <n v="0"/>
    <n v="550.11"/>
    <n v="27.51"/>
    <n v="20"/>
    <n v="5"/>
    <n v="602.62"/>
    <n v="28"/>
    <x v="1"/>
  </r>
  <r>
    <s v="O0939"/>
    <s v="25-02-2025"/>
    <x v="36"/>
    <s v="Bulk"/>
    <x v="5"/>
    <x v="1"/>
    <s v="223777"/>
    <s v="Upi"/>
    <x v="136"/>
    <x v="136"/>
    <x v="6"/>
    <n v="1"/>
    <n v="158.16999999999999"/>
    <n v="23.73"/>
    <n v="134.44"/>
    <n v="6.72"/>
    <n v="20"/>
    <n v="15"/>
    <n v="176.16"/>
    <n v="8"/>
    <x v="3"/>
  </r>
  <r>
    <s v="O0940"/>
    <s v="30-01-2025"/>
    <x v="37"/>
    <s v="Bulk"/>
    <x v="3"/>
    <x v="2"/>
    <s v="726614"/>
    <s v="Card"/>
    <x v="137"/>
    <x v="137"/>
    <x v="7"/>
    <n v="3"/>
    <n v="206.44"/>
    <n v="0"/>
    <n v="619.31999999999994"/>
    <n v="30.97"/>
    <n v="10"/>
    <n v="15"/>
    <n v="675.29"/>
    <n v="24"/>
    <x v="4"/>
  </r>
  <r>
    <s v="O0941"/>
    <s v="19-02-2025"/>
    <x v="38"/>
    <s v="Bulk"/>
    <x v="2"/>
    <x v="0"/>
    <s v="196952"/>
    <s v="Cod"/>
    <x v="138"/>
    <x v="138"/>
    <x v="5"/>
    <n v="3"/>
    <n v="135.37"/>
    <n v="13.54"/>
    <n v="392.57"/>
    <n v="19.63"/>
    <n v="30"/>
    <n v="20"/>
    <n v="462.2"/>
    <n v="29"/>
    <x v="2"/>
  </r>
  <r>
    <s v="O0942"/>
    <s v="28-02-2025"/>
    <x v="39"/>
    <s v="New"/>
    <x v="4"/>
    <x v="1"/>
    <s v="623165"/>
    <s v="Gpay"/>
    <x v="139"/>
    <x v="139"/>
    <x v="0"/>
    <n v="3"/>
    <n v="138.69999999999999"/>
    <n v="13.87"/>
    <n v="402.23"/>
    <n v="20.11"/>
    <n v="0"/>
    <n v="0"/>
    <n v="422.34"/>
    <n v="23"/>
    <x v="1"/>
  </r>
  <r>
    <s v="O0943"/>
    <s v="14-02-2025"/>
    <x v="40"/>
    <s v="Bulk"/>
    <x v="0"/>
    <x v="1"/>
    <s v="711796"/>
    <s v="Upi"/>
    <x v="140"/>
    <x v="140"/>
    <x v="2"/>
    <n v="3"/>
    <n v="74.05"/>
    <n v="7.41"/>
    <n v="214.74"/>
    <n v="10.74"/>
    <n v="20"/>
    <n v="10"/>
    <n v="255.48"/>
    <n v="24"/>
    <x v="1"/>
  </r>
  <r>
    <s v="O0944"/>
    <s v="05-01-2025"/>
    <x v="41"/>
    <s v="Bulk"/>
    <x v="0"/>
    <x v="0"/>
    <s v="930547"/>
    <s v="Upi"/>
    <x v="141"/>
    <x v="141"/>
    <x v="5"/>
    <n v="4"/>
    <n v="106.97"/>
    <n v="10.7"/>
    <n v="417.18"/>
    <n v="20.86"/>
    <n v="10"/>
    <n v="0"/>
    <n v="448.04"/>
    <n v="19"/>
    <x v="5"/>
  </r>
  <r>
    <s v="O0945"/>
    <s v="24-02-2025"/>
    <x v="42"/>
    <s v="Bulk"/>
    <x v="3"/>
    <x v="0"/>
    <s v="923628"/>
    <s v="Cod"/>
    <x v="142"/>
    <x v="142"/>
    <x v="1"/>
    <n v="2"/>
    <n v="8.2799999999999994"/>
    <n v="1.24"/>
    <n v="15.32"/>
    <n v="0.77"/>
    <n v="0"/>
    <n v="20"/>
    <n v="36.090000000000003"/>
    <n v="26"/>
    <x v="6"/>
  </r>
  <r>
    <s v="O0946"/>
    <s v="25-02-2025"/>
    <x v="43"/>
    <s v="Bulk"/>
    <x v="5"/>
    <x v="1"/>
    <s v="808669"/>
    <s v="Upi"/>
    <x v="143"/>
    <x v="143"/>
    <x v="4"/>
    <n v="5"/>
    <n v="213.92"/>
    <n v="0"/>
    <n v="1069.5999999999999"/>
    <n v="53.48"/>
    <n v="10"/>
    <n v="0"/>
    <n v="1133.08"/>
    <n v="24.67"/>
    <x v="3"/>
  </r>
  <r>
    <s v="O0947"/>
    <s v="02-02-2025"/>
    <x v="44"/>
    <s v="Bulk"/>
    <x v="3"/>
    <x v="0"/>
    <s v="827467"/>
    <s v="Upi"/>
    <x v="144"/>
    <x v="144"/>
    <x v="2"/>
    <n v="6"/>
    <n v="126.72"/>
    <n v="0"/>
    <n v="760.31999999999994"/>
    <n v="38.020000000000003"/>
    <n v="30"/>
    <n v="20"/>
    <n v="848.33999999999992"/>
    <n v="9"/>
    <x v="5"/>
  </r>
  <r>
    <s v="O0948"/>
    <s v="23-02-2025"/>
    <x v="45"/>
    <s v="Bulk"/>
    <x v="0"/>
    <x v="2"/>
    <s v="139236"/>
    <s v="Netbanking"/>
    <x v="145"/>
    <x v="145"/>
    <x v="3"/>
    <n v="2"/>
    <n v="108.23"/>
    <n v="5.41"/>
    <n v="211.05"/>
    <n v="10.55"/>
    <n v="0"/>
    <n v="20"/>
    <n v="241.6"/>
    <n v="18"/>
    <x v="5"/>
  </r>
  <r>
    <s v="O0949"/>
    <s v="01-01-2025"/>
    <x v="46"/>
    <s v="Bulk"/>
    <x v="3"/>
    <x v="2"/>
    <s v="396379"/>
    <s v="Upi"/>
    <x v="146"/>
    <x v="146"/>
    <x v="1"/>
    <n v="2"/>
    <n v="107.72"/>
    <n v="10.77"/>
    <n v="204.67"/>
    <n v="10.23"/>
    <n v="20"/>
    <n v="20"/>
    <n v="254.9"/>
    <n v="43"/>
    <x v="2"/>
  </r>
  <r>
    <s v="O0950"/>
    <s v="18-01-2025"/>
    <x v="47"/>
    <s v="Bulk"/>
    <x v="0"/>
    <x v="0"/>
    <s v="472454"/>
    <s v="Upi"/>
    <x v="147"/>
    <x v="147"/>
    <x v="9"/>
    <n v="2"/>
    <n v="131.76"/>
    <n v="0"/>
    <n v="263.52"/>
    <n v="13.18"/>
    <n v="20"/>
    <n v="5"/>
    <n v="301.7"/>
    <n v="43"/>
    <x v="0"/>
  </r>
  <r>
    <s v="O0951"/>
    <s v="01-02-2025"/>
    <x v="48"/>
    <s v="Bulk"/>
    <x v="1"/>
    <x v="1"/>
    <s v="889948"/>
    <s v="Cod"/>
    <x v="148"/>
    <x v="148"/>
    <x v="5"/>
    <n v="5"/>
    <n v="159.22"/>
    <n v="23.88"/>
    <n v="772.22"/>
    <n v="38.61"/>
    <n v="20"/>
    <n v="20"/>
    <n v="850.83"/>
    <n v="24"/>
    <x v="0"/>
  </r>
  <r>
    <s v="O0952"/>
    <s v="16-02-2025"/>
    <x v="49"/>
    <s v="Bulk"/>
    <x v="1"/>
    <x v="2"/>
    <s v="332931"/>
    <s v="Upi"/>
    <x v="149"/>
    <x v="149"/>
    <x v="9"/>
    <n v="1"/>
    <n v="115.72"/>
    <n v="11.57"/>
    <n v="104.15"/>
    <n v="5.21"/>
    <n v="20"/>
    <n v="10"/>
    <n v="139.36000000000001"/>
    <n v="24.67"/>
    <x v="5"/>
  </r>
  <r>
    <s v="O0953"/>
    <s v="18-02-2025"/>
    <x v="50"/>
    <s v="Bulk"/>
    <x v="1"/>
    <x v="0"/>
    <s v="411741"/>
    <s v="Netbanking"/>
    <x v="150"/>
    <x v="150"/>
    <x v="8"/>
    <n v="4"/>
    <n v="61.84"/>
    <n v="3.09"/>
    <n v="244.27"/>
    <n v="12.21"/>
    <n v="20"/>
    <n v="5"/>
    <n v="281.48"/>
    <n v="26"/>
    <x v="3"/>
  </r>
  <r>
    <s v="O0954"/>
    <s v="11-01-2025"/>
    <x v="51"/>
    <s v="Bulk"/>
    <x v="2"/>
    <x v="1"/>
    <s v="847320"/>
    <s v="Wallet"/>
    <x v="151"/>
    <x v="151"/>
    <x v="6"/>
    <n v="5"/>
    <n v="25.58"/>
    <n v="3.84"/>
    <n v="124.06"/>
    <n v="6.2"/>
    <n v="30"/>
    <n v="0"/>
    <n v="160.26"/>
    <n v="25"/>
    <x v="0"/>
  </r>
  <r>
    <s v="O0955"/>
    <s v="21-01-2025"/>
    <x v="52"/>
    <s v="Bulk"/>
    <x v="1"/>
    <x v="1"/>
    <s v="354043"/>
    <s v="Wallet"/>
    <x v="152"/>
    <x v="152"/>
    <x v="3"/>
    <n v="1"/>
    <n v="101.63"/>
    <n v="10.16"/>
    <n v="91.47"/>
    <n v="4.57"/>
    <n v="20"/>
    <n v="10"/>
    <n v="126.04"/>
    <n v="32"/>
    <x v="3"/>
  </r>
  <r>
    <s v="O0956"/>
    <s v="26-01-2025"/>
    <x v="53"/>
    <s v="Bulk"/>
    <x v="5"/>
    <x v="0"/>
    <s v="445876"/>
    <s v="Upi"/>
    <x v="153"/>
    <x v="153"/>
    <x v="7"/>
    <n v="1"/>
    <n v="154.27000000000001"/>
    <n v="7.71"/>
    <n v="146.56"/>
    <n v="7.33"/>
    <n v="30"/>
    <n v="10"/>
    <n v="193.89"/>
    <n v="21"/>
    <x v="5"/>
  </r>
  <r>
    <s v="O0957"/>
    <s v="25-01-2025"/>
    <x v="54"/>
    <s v="Bulk"/>
    <x v="2"/>
    <x v="0"/>
    <s v="784050"/>
    <s v="Gpay"/>
    <x v="154"/>
    <x v="154"/>
    <x v="9"/>
    <n v="4"/>
    <n v="21.19"/>
    <n v="1.06"/>
    <n v="83.7"/>
    <n v="4.1900000000000004"/>
    <n v="10"/>
    <n v="20"/>
    <n v="117.89"/>
    <n v="31"/>
    <x v="0"/>
  </r>
  <r>
    <s v="O0958"/>
    <s v="22-01-2025"/>
    <x v="55"/>
    <s v="Bulk"/>
    <x v="2"/>
    <x v="1"/>
    <s v="280775"/>
    <s v="Upi"/>
    <x v="155"/>
    <x v="155"/>
    <x v="8"/>
    <n v="3"/>
    <n v="82.42"/>
    <n v="4.12"/>
    <n v="243.14"/>
    <n v="12.16"/>
    <n v="0"/>
    <n v="10"/>
    <n v="265.3"/>
    <n v="24.67"/>
    <x v="2"/>
  </r>
  <r>
    <s v="O0959"/>
    <s v="28-02-2025"/>
    <x v="56"/>
    <s v="Bulk"/>
    <x v="3"/>
    <x v="0"/>
    <s v="646774"/>
    <s v="Gpay"/>
    <x v="156"/>
    <x v="156"/>
    <x v="9"/>
    <n v="2"/>
    <n v="49.61"/>
    <n v="2.48"/>
    <n v="96.74"/>
    <n v="4.84"/>
    <n v="20"/>
    <n v="5"/>
    <n v="126.58"/>
    <n v="24"/>
    <x v="1"/>
  </r>
  <r>
    <s v="O0960"/>
    <s v="27-01-2025"/>
    <x v="57"/>
    <s v="Bulk"/>
    <x v="5"/>
    <x v="1"/>
    <s v="836854"/>
    <s v="Upi"/>
    <x v="157"/>
    <x v="157"/>
    <x v="9"/>
    <n v="5"/>
    <n v="32.340000000000003"/>
    <n v="0"/>
    <n v="161.69999999999999"/>
    <n v="8.09"/>
    <n v="20"/>
    <n v="10"/>
    <n v="199.79"/>
    <n v="24.67"/>
    <x v="6"/>
  </r>
  <r>
    <s v="O0961"/>
    <s v="18-02-2025"/>
    <x v="58"/>
    <s v="Bulk"/>
    <x v="2"/>
    <x v="1"/>
    <s v="647026"/>
    <s v="Card"/>
    <x v="158"/>
    <x v="158"/>
    <x v="4"/>
    <n v="1"/>
    <n v="151.43"/>
    <n v="22.71"/>
    <n v="128.72"/>
    <n v="6.44"/>
    <n v="10"/>
    <n v="10"/>
    <n v="155.16"/>
    <n v="37"/>
    <x v="3"/>
  </r>
  <r>
    <s v="O0962"/>
    <s v="13-01-2025"/>
    <x v="59"/>
    <s v="Returning"/>
    <x v="4"/>
    <x v="2"/>
    <s v="256688"/>
    <s v="Cod"/>
    <x v="159"/>
    <x v="159"/>
    <x v="8"/>
    <n v="4"/>
    <n v="229.08"/>
    <n v="22.91"/>
    <n v="893.41000000000008"/>
    <n v="44.67"/>
    <n v="20"/>
    <n v="10"/>
    <n v="968.08"/>
    <n v="25"/>
    <x v="6"/>
  </r>
  <r>
    <s v="O0963"/>
    <s v="02-02-2025"/>
    <x v="60"/>
    <s v="Bulk"/>
    <x v="3"/>
    <x v="1"/>
    <s v="262403"/>
    <s v="Card"/>
    <x v="160"/>
    <x v="160"/>
    <x v="1"/>
    <n v="4"/>
    <n v="121.86"/>
    <n v="18.28"/>
    <n v="469.16"/>
    <n v="23.46"/>
    <n v="30"/>
    <n v="5"/>
    <n v="527.61999999999989"/>
    <n v="20"/>
    <x v="5"/>
  </r>
  <r>
    <s v="O0964"/>
    <s v="03-02-2025"/>
    <x v="61"/>
    <s v="Returning"/>
    <x v="4"/>
    <x v="0"/>
    <s v="617200"/>
    <s v="Upi"/>
    <x v="161"/>
    <x v="161"/>
    <x v="5"/>
    <n v="1"/>
    <n v="161.25"/>
    <n v="0"/>
    <n v="161.25"/>
    <n v="8.06"/>
    <n v="30"/>
    <n v="20"/>
    <n v="219.31"/>
    <n v="28"/>
    <x v="6"/>
  </r>
  <r>
    <s v="O0965"/>
    <s v="10-02-2025"/>
    <x v="62"/>
    <s v="Bulk"/>
    <x v="3"/>
    <x v="2"/>
    <m/>
    <s v="Card"/>
    <x v="162"/>
    <x v="162"/>
    <x v="4"/>
    <n v="1"/>
    <n v="115.42"/>
    <n v="0"/>
    <n v="115.42"/>
    <n v="5.77"/>
    <n v="0"/>
    <n v="10"/>
    <n v="131.19"/>
    <n v="23"/>
    <x v="6"/>
  </r>
  <r>
    <s v="O0966"/>
    <s v="04-02-2025"/>
    <x v="63"/>
    <s v="New"/>
    <x v="4"/>
    <x v="2"/>
    <s v="268733"/>
    <s v="Wallet"/>
    <x v="163"/>
    <x v="163"/>
    <x v="2"/>
    <n v="3"/>
    <n v="235.92"/>
    <n v="0"/>
    <n v="707.76"/>
    <n v="35.39"/>
    <n v="0"/>
    <n v="5"/>
    <n v="748.15"/>
    <n v="16"/>
    <x v="3"/>
  </r>
  <r>
    <s v="O0967"/>
    <s v="01-01-2025"/>
    <x v="64"/>
    <s v="Bulk"/>
    <x v="2"/>
    <x v="1"/>
    <s v="250862"/>
    <s v="Upi"/>
    <x v="164"/>
    <x v="164"/>
    <x v="3"/>
    <n v="3"/>
    <n v="83.35"/>
    <n v="12.5"/>
    <n v="237.55"/>
    <n v="11.88"/>
    <n v="30"/>
    <n v="15"/>
    <n v="294.42999999999989"/>
    <n v="30"/>
    <x v="2"/>
  </r>
  <r>
    <s v="O0968"/>
    <s v="21-01-2025"/>
    <x v="65"/>
    <s v="Bulk"/>
    <x v="3"/>
    <x v="2"/>
    <s v="805611"/>
    <s v="Upi"/>
    <x v="165"/>
    <x v="165"/>
    <x v="4"/>
    <n v="2"/>
    <n v="109.34"/>
    <n v="0"/>
    <n v="218.68"/>
    <n v="10.93"/>
    <n v="10"/>
    <n v="5"/>
    <n v="244.61"/>
    <n v="6"/>
    <x v="3"/>
  </r>
  <r>
    <s v="O0969"/>
    <s v="17-02-2025"/>
    <x v="66"/>
    <s v="Bulk"/>
    <x v="3"/>
    <x v="2"/>
    <s v="565536"/>
    <s v="Netbanking"/>
    <x v="166"/>
    <x v="166"/>
    <x v="2"/>
    <n v="4"/>
    <n v="65.97"/>
    <n v="3.3"/>
    <n v="260.58"/>
    <n v="13.03"/>
    <n v="10"/>
    <n v="5"/>
    <n v="288.61"/>
    <n v="30"/>
    <x v="6"/>
  </r>
  <r>
    <s v="O0970"/>
    <s v="24-02-2025"/>
    <x v="67"/>
    <s v="Bulk"/>
    <x v="2"/>
    <x v="2"/>
    <s v="981809"/>
    <s v="Netbanking"/>
    <x v="167"/>
    <x v="167"/>
    <x v="6"/>
    <n v="1"/>
    <n v="95.29"/>
    <n v="0"/>
    <n v="95.29"/>
    <n v="4.76"/>
    <n v="0"/>
    <n v="20"/>
    <n v="120.05"/>
    <n v="26"/>
    <x v="6"/>
  </r>
  <r>
    <s v="O0971"/>
    <s v="06-01-2025"/>
    <x v="68"/>
    <s v="Bulk"/>
    <x v="2"/>
    <x v="3"/>
    <s v="356427"/>
    <s v="Gpay"/>
    <x v="168"/>
    <x v="168"/>
    <x v="5"/>
    <n v="7"/>
    <n v="178.33"/>
    <n v="8.92"/>
    <n v="1239.3900000000001"/>
    <n v="61.97"/>
    <n v="30"/>
    <n v="10"/>
    <n v="1341.36"/>
    <n v="38"/>
    <x v="6"/>
  </r>
  <r>
    <s v="O0972"/>
    <s v="28-01-2025"/>
    <x v="69"/>
    <s v="Bulk"/>
    <x v="1"/>
    <x v="1"/>
    <s v="686789"/>
    <s v="Upi"/>
    <x v="169"/>
    <x v="169"/>
    <x v="9"/>
    <n v="4"/>
    <n v="114.52"/>
    <n v="17.18"/>
    <n v="440.9"/>
    <n v="22.05"/>
    <n v="30"/>
    <n v="20"/>
    <n v="512.95000000000005"/>
    <n v="17"/>
    <x v="3"/>
  </r>
  <r>
    <s v="O0973"/>
    <s v="17-01-2025"/>
    <x v="70"/>
    <s v="Bulk"/>
    <x v="3"/>
    <x v="2"/>
    <s v="524429"/>
    <s v="Cod"/>
    <x v="170"/>
    <x v="170"/>
    <x v="9"/>
    <n v="2"/>
    <n v="152.22999999999999"/>
    <n v="22.83"/>
    <n v="281.63"/>
    <n v="14.08"/>
    <n v="30"/>
    <n v="5"/>
    <n v="330.71"/>
    <n v="9"/>
    <x v="1"/>
  </r>
  <r>
    <s v="O0974"/>
    <s v="05-01-2025"/>
    <x v="71"/>
    <s v="Bulk"/>
    <x v="5"/>
    <x v="0"/>
    <s v="305827"/>
    <s v="Card"/>
    <x v="171"/>
    <x v="171"/>
    <x v="7"/>
    <n v="3"/>
    <n v="61.75"/>
    <n v="3.09"/>
    <n v="182.16"/>
    <n v="9.11"/>
    <n v="30"/>
    <n v="20"/>
    <n v="241.27"/>
    <n v="17"/>
    <x v="5"/>
  </r>
  <r>
    <s v="O0975"/>
    <s v="31-01-2025"/>
    <x v="72"/>
    <s v="Bulk"/>
    <x v="2"/>
    <x v="0"/>
    <s v="942955"/>
    <s v="Upi"/>
    <x v="172"/>
    <x v="172"/>
    <x v="9"/>
    <n v="1"/>
    <n v="90.95"/>
    <n v="9.1"/>
    <n v="81.850000000000009"/>
    <n v="4.09"/>
    <n v="30"/>
    <n v="15"/>
    <n v="130.94"/>
    <n v="34"/>
    <x v="1"/>
  </r>
  <r>
    <s v="O0976"/>
    <s v="05-01-2025"/>
    <x v="73"/>
    <s v="Bulk"/>
    <x v="2"/>
    <x v="3"/>
    <m/>
    <s v="Gpay"/>
    <x v="173"/>
    <x v="173"/>
    <x v="0"/>
    <n v="2"/>
    <n v="98.97"/>
    <n v="14.85"/>
    <n v="183.09"/>
    <n v="9.15"/>
    <n v="0"/>
    <n v="20"/>
    <n v="212.24"/>
    <n v="34"/>
    <x v="5"/>
  </r>
  <r>
    <s v="O0977"/>
    <s v="07-02-2025"/>
    <x v="74"/>
    <s v="Bulk"/>
    <x v="2"/>
    <x v="2"/>
    <s v="367614"/>
    <s v="Phonepe"/>
    <x v="174"/>
    <x v="174"/>
    <x v="8"/>
    <n v="1"/>
    <n v="25.59"/>
    <n v="0"/>
    <n v="25.59"/>
    <n v="1.28"/>
    <n v="30"/>
    <n v="20"/>
    <n v="76.87"/>
    <n v="12"/>
    <x v="1"/>
  </r>
  <r>
    <s v="O0978"/>
    <s v="03-01-2025"/>
    <x v="75"/>
    <s v="Returning"/>
    <x v="4"/>
    <x v="0"/>
    <s v="254062"/>
    <s v="Gpay"/>
    <x v="175"/>
    <x v="175"/>
    <x v="6"/>
    <n v="1"/>
    <n v="113.92"/>
    <n v="5.7"/>
    <n v="108.22"/>
    <n v="5.41"/>
    <n v="20"/>
    <n v="0"/>
    <n v="133.63"/>
    <n v="40"/>
    <x v="1"/>
  </r>
  <r>
    <s v="O0979"/>
    <s v="22-02-2025"/>
    <x v="76"/>
    <s v="Bulk"/>
    <x v="2"/>
    <x v="1"/>
    <s v="438246"/>
    <s v="Card"/>
    <x v="176"/>
    <x v="176"/>
    <x v="4"/>
    <n v="3"/>
    <n v="137.38"/>
    <n v="20.61"/>
    <n v="391.53"/>
    <n v="19.579999999999998"/>
    <n v="20"/>
    <n v="15"/>
    <n v="446.11"/>
    <n v="25"/>
    <x v="0"/>
  </r>
  <r>
    <s v="O0980"/>
    <s v="23-01-2025"/>
    <x v="77"/>
    <s v="Bulk"/>
    <x v="2"/>
    <x v="2"/>
    <s v="951617"/>
    <s v="Card"/>
    <x v="177"/>
    <x v="177"/>
    <x v="9"/>
    <n v="5"/>
    <n v="178.39"/>
    <n v="17.84"/>
    <n v="874.1099999999999"/>
    <n v="43.71"/>
    <n v="30"/>
    <n v="20"/>
    <n v="967.81999999999994"/>
    <n v="24"/>
    <x v="4"/>
  </r>
  <r>
    <s v="O0981"/>
    <s v="06-02-2025"/>
    <x v="78"/>
    <s v="Bulk"/>
    <x v="0"/>
    <x v="1"/>
    <s v="922450"/>
    <s v="Gpay"/>
    <x v="178"/>
    <x v="178"/>
    <x v="6"/>
    <n v="1"/>
    <n v="128.69999999999999"/>
    <n v="0"/>
    <n v="128.69999999999999"/>
    <n v="6.43"/>
    <n v="30"/>
    <n v="5"/>
    <n v="170.13"/>
    <n v="18"/>
    <x v="4"/>
  </r>
  <r>
    <s v="O0982"/>
    <s v="22-02-2025"/>
    <x v="79"/>
    <s v="Returning"/>
    <x v="4"/>
    <x v="0"/>
    <s v="523327"/>
    <s v="Netbanking"/>
    <x v="179"/>
    <x v="179"/>
    <x v="6"/>
    <n v="4"/>
    <n v="94.18"/>
    <n v="14.13"/>
    <n v="362.59"/>
    <n v="18.13"/>
    <n v="20"/>
    <n v="0"/>
    <n v="400.72"/>
    <n v="21"/>
    <x v="0"/>
  </r>
  <r>
    <s v="O0983"/>
    <s v="06-02-2025"/>
    <x v="80"/>
    <s v="New"/>
    <x v="4"/>
    <x v="2"/>
    <s v="636114"/>
    <s v="Upi"/>
    <x v="180"/>
    <x v="180"/>
    <x v="0"/>
    <n v="5"/>
    <n v="93.45"/>
    <n v="14.02"/>
    <n v="453.23"/>
    <n v="22.66"/>
    <n v="0"/>
    <n v="10"/>
    <n v="485.89"/>
    <n v="21"/>
    <x v="4"/>
  </r>
  <r>
    <s v="O0984"/>
    <s v="10-01-2025"/>
    <x v="81"/>
    <s v="Bulk"/>
    <x v="3"/>
    <x v="1"/>
    <s v="419186"/>
    <s v="Wallet"/>
    <x v="181"/>
    <x v="181"/>
    <x v="7"/>
    <n v="5"/>
    <n v="28.37"/>
    <n v="1.42"/>
    <n v="140.43"/>
    <n v="7.02"/>
    <n v="10"/>
    <n v="0"/>
    <n v="157.44999999999999"/>
    <n v="15"/>
    <x v="1"/>
  </r>
  <r>
    <s v="O0985"/>
    <s v="10-01-2025"/>
    <x v="82"/>
    <s v="Bulk"/>
    <x v="3"/>
    <x v="0"/>
    <s v="538988"/>
    <s v="Cod"/>
    <x v="182"/>
    <x v="182"/>
    <x v="8"/>
    <n v="4"/>
    <n v="218.99"/>
    <n v="0"/>
    <n v="875.96"/>
    <n v="43.8"/>
    <n v="0"/>
    <n v="20"/>
    <n v="939.76"/>
    <n v="17"/>
    <x v="1"/>
  </r>
  <r>
    <s v="O0986"/>
    <s v="19-01-2025"/>
    <x v="83"/>
    <s v="Bulk"/>
    <x v="1"/>
    <x v="1"/>
    <s v="356323"/>
    <s v="Upi"/>
    <x v="183"/>
    <x v="183"/>
    <x v="2"/>
    <n v="1"/>
    <n v="24.13"/>
    <n v="3.62"/>
    <n v="20.51"/>
    <n v="1.03"/>
    <n v="10"/>
    <n v="10"/>
    <n v="41.54"/>
    <n v="22"/>
    <x v="5"/>
  </r>
  <r>
    <s v="O0987"/>
    <s v="17-01-2025"/>
    <x v="84"/>
    <s v="Bulk"/>
    <x v="5"/>
    <x v="2"/>
    <s v="538744"/>
    <s v="Gpay"/>
    <x v="184"/>
    <x v="184"/>
    <x v="8"/>
    <n v="5"/>
    <n v="51.77"/>
    <n v="0"/>
    <n v="258.85000000000002"/>
    <n v="12.94"/>
    <n v="30"/>
    <n v="5"/>
    <n v="306.79000000000002"/>
    <n v="16"/>
    <x v="1"/>
  </r>
  <r>
    <s v="O0988"/>
    <s v="21-01-2025"/>
    <x v="85"/>
    <s v="Bulk"/>
    <x v="5"/>
    <x v="0"/>
    <s v="675312"/>
    <s v="Cod"/>
    <x v="185"/>
    <x v="185"/>
    <x v="1"/>
    <n v="3"/>
    <n v="143.01"/>
    <n v="21.45"/>
    <n v="407.58"/>
    <n v="20.38"/>
    <n v="20"/>
    <n v="0"/>
    <n v="447.96"/>
    <n v="19"/>
    <x v="3"/>
  </r>
  <r>
    <s v="O0989"/>
    <s v="14-01-2025"/>
    <x v="86"/>
    <s v="Bulk"/>
    <x v="3"/>
    <x v="2"/>
    <s v="194202"/>
    <s v="Upi"/>
    <x v="186"/>
    <x v="186"/>
    <x v="9"/>
    <n v="1"/>
    <n v="16.73"/>
    <n v="2.5099999999999998"/>
    <n v="14.22"/>
    <n v="0.71"/>
    <n v="10"/>
    <n v="5"/>
    <n v="29.93"/>
    <n v="15"/>
    <x v="3"/>
  </r>
  <r>
    <s v="O0990"/>
    <s v="09-01-2025"/>
    <x v="87"/>
    <s v="Returning"/>
    <x v="4"/>
    <x v="1"/>
    <s v="184363"/>
    <s v="Cod"/>
    <x v="187"/>
    <x v="187"/>
    <x v="7"/>
    <n v="1"/>
    <n v="182.18"/>
    <n v="9.11"/>
    <n v="173.07"/>
    <n v="8.65"/>
    <n v="20"/>
    <n v="5"/>
    <n v="206.72"/>
    <n v="27"/>
    <x v="4"/>
  </r>
  <r>
    <s v="O0991"/>
    <s v="15-02-2025"/>
    <x v="88"/>
    <s v="Bulk"/>
    <x v="1"/>
    <x v="0"/>
    <s v="461484"/>
    <s v="Card"/>
    <x v="188"/>
    <x v="188"/>
    <x v="9"/>
    <n v="3"/>
    <n v="175.92"/>
    <n v="0"/>
    <n v="527.76"/>
    <n v="26.39"/>
    <n v="0"/>
    <n v="20"/>
    <n v="574.15"/>
    <n v="35"/>
    <x v="0"/>
  </r>
  <r>
    <s v="O0992"/>
    <s v="01-01-2025"/>
    <x v="89"/>
    <s v="Returning"/>
    <x v="4"/>
    <x v="1"/>
    <s v="361176"/>
    <s v="Upi"/>
    <x v="189"/>
    <x v="189"/>
    <x v="7"/>
    <n v="4"/>
    <n v="50.78"/>
    <n v="2.54"/>
    <n v="200.58"/>
    <n v="10.029999999999999"/>
    <n v="20"/>
    <n v="5"/>
    <n v="235.61"/>
    <n v="0"/>
    <x v="2"/>
  </r>
  <r>
    <s v="O0993"/>
    <s v="20-02-2025"/>
    <x v="90"/>
    <s v="Bulk"/>
    <x v="0"/>
    <x v="2"/>
    <s v="629954"/>
    <s v="Upi"/>
    <x v="190"/>
    <x v="190"/>
    <x v="5"/>
    <n v="6"/>
    <n v="145.33000000000001"/>
    <n v="0"/>
    <n v="871.98"/>
    <n v="43.6"/>
    <n v="30"/>
    <n v="5"/>
    <n v="950.58"/>
    <n v="40"/>
    <x v="4"/>
  </r>
  <r>
    <s v="O0994"/>
    <s v="14-02-2025"/>
    <x v="91"/>
    <s v="Bulk"/>
    <x v="0"/>
    <x v="1"/>
    <s v="126505"/>
    <s v="Upi"/>
    <x v="191"/>
    <x v="191"/>
    <x v="2"/>
    <n v="1"/>
    <n v="100.96"/>
    <n v="10.1"/>
    <n v="90.86"/>
    <n v="4.54"/>
    <n v="20"/>
    <n v="5"/>
    <n v="120.4"/>
    <n v="16"/>
    <x v="1"/>
  </r>
  <r>
    <s v="O0995"/>
    <s v="13-01-2025"/>
    <x v="92"/>
    <s v="Bulk"/>
    <x v="5"/>
    <x v="1"/>
    <s v="926954"/>
    <s v="Gpay"/>
    <x v="192"/>
    <x v="192"/>
    <x v="5"/>
    <n v="4"/>
    <n v="139.46"/>
    <n v="0"/>
    <n v="557.84"/>
    <n v="27.89"/>
    <n v="0"/>
    <n v="0"/>
    <n v="585.73"/>
    <n v="47"/>
    <x v="6"/>
  </r>
  <r>
    <s v="O0996"/>
    <s v="04-01-2025"/>
    <x v="93"/>
    <s v="Bulk"/>
    <x v="1"/>
    <x v="2"/>
    <s v="340056"/>
    <s v="Card"/>
    <x v="193"/>
    <x v="193"/>
    <x v="6"/>
    <n v="1"/>
    <n v="92.95"/>
    <n v="13.94"/>
    <n v="79.010000000000005"/>
    <n v="3.95"/>
    <n v="20"/>
    <n v="15"/>
    <n v="117.96"/>
    <n v="25"/>
    <x v="0"/>
  </r>
  <r>
    <s v="O0997"/>
    <s v="01-01-2025"/>
    <x v="94"/>
    <s v="Bulk"/>
    <x v="5"/>
    <x v="1"/>
    <s v="543942"/>
    <s v="Gpay"/>
    <x v="194"/>
    <x v="194"/>
    <x v="3"/>
    <n v="1"/>
    <n v="115.37"/>
    <n v="0"/>
    <n v="115.37"/>
    <n v="5.77"/>
    <n v="0"/>
    <n v="0"/>
    <n v="121.14"/>
    <n v="18"/>
    <x v="2"/>
  </r>
  <r>
    <s v="O0998"/>
    <s v="18-02-2025"/>
    <x v="95"/>
    <s v="New"/>
    <x v="4"/>
    <x v="2"/>
    <s v="281413"/>
    <s v="Upi"/>
    <x v="195"/>
    <x v="195"/>
    <x v="5"/>
    <n v="1"/>
    <n v="139.07"/>
    <n v="13.91"/>
    <n v="125.16"/>
    <n v="6.26"/>
    <n v="20"/>
    <n v="15"/>
    <n v="166.42"/>
    <n v="24.67"/>
    <x v="3"/>
  </r>
  <r>
    <s v="O0999"/>
    <s v="09-02-2025"/>
    <x v="96"/>
    <s v="Bulk"/>
    <x v="3"/>
    <x v="2"/>
    <s v="840686"/>
    <s v="Wallet"/>
    <x v="196"/>
    <x v="196"/>
    <x v="5"/>
    <n v="4"/>
    <n v="160.81"/>
    <n v="24.12"/>
    <n v="619.12"/>
    <n v="30.96"/>
    <n v="30"/>
    <n v="0"/>
    <n v="680.08"/>
    <n v="24.67"/>
    <x v="5"/>
  </r>
  <r>
    <s v="O1000"/>
    <s v="01-02-2025"/>
    <x v="97"/>
    <s v="Bulk"/>
    <x v="0"/>
    <x v="0"/>
    <s v="670993"/>
    <s v="Phonepe"/>
    <x v="197"/>
    <x v="197"/>
    <x v="0"/>
    <n v="5"/>
    <n v="146.72999999999999"/>
    <n v="7.34"/>
    <n v="726.31"/>
    <n v="36.32"/>
    <n v="0"/>
    <n v="5"/>
    <n v="767.63"/>
    <n v="17"/>
    <x v="0"/>
  </r>
  <r>
    <s v="O1001"/>
    <s v="03-02-2025"/>
    <x v="98"/>
    <s v="Bulk"/>
    <x v="1"/>
    <x v="0"/>
    <s v="371733"/>
    <s v="Netbanking"/>
    <x v="0"/>
    <x v="0"/>
    <x v="4"/>
    <n v="4"/>
    <n v="88.46"/>
    <n v="8.85"/>
    <n v="344.99"/>
    <n v="17.25"/>
    <n v="20"/>
    <n v="20"/>
    <n v="402.24"/>
    <n v="24.67"/>
    <x v="6"/>
  </r>
  <r>
    <s v="O1002"/>
    <s v="28-01-2025"/>
    <x v="99"/>
    <s v="Bulk"/>
    <x v="0"/>
    <x v="2"/>
    <s v="747999"/>
    <s v="Cod"/>
    <x v="1"/>
    <x v="1"/>
    <x v="5"/>
    <n v="3"/>
    <n v="112.5"/>
    <n v="5.62"/>
    <n v="331.88"/>
    <n v="16.59"/>
    <n v="30"/>
    <n v="20"/>
    <n v="398.47"/>
    <n v="24.67"/>
    <x v="3"/>
  </r>
  <r>
    <s v="O1003"/>
    <s v="31-01-2025"/>
    <x v="100"/>
    <s v="Bulk"/>
    <x v="3"/>
    <x v="2"/>
    <s v="211915"/>
    <s v="Upi"/>
    <x v="198"/>
    <x v="198"/>
    <x v="9"/>
    <n v="1"/>
    <n v="54.47"/>
    <n v="8.17"/>
    <n v="46.3"/>
    <n v="2.31"/>
    <n v="0"/>
    <n v="0"/>
    <n v="48.61"/>
    <n v="26"/>
    <x v="1"/>
  </r>
  <r>
    <s v="O1004"/>
    <s v="08-01-2025"/>
    <x v="101"/>
    <s v="Bulk"/>
    <x v="3"/>
    <x v="1"/>
    <s v="213153"/>
    <s v="Wallet"/>
    <x v="199"/>
    <x v="199"/>
    <x v="9"/>
    <n v="1"/>
    <n v="146.31"/>
    <n v="0"/>
    <n v="146.31"/>
    <n v="7.32"/>
    <n v="20"/>
    <n v="0"/>
    <n v="173.63"/>
    <n v="21"/>
    <x v="2"/>
  </r>
  <r>
    <s v="O1005"/>
    <s v="08-02-2025"/>
    <x v="102"/>
    <s v="Bulk"/>
    <x v="3"/>
    <x v="2"/>
    <s v="187876"/>
    <s v="Card"/>
    <x v="2"/>
    <x v="2"/>
    <x v="5"/>
    <n v="8"/>
    <n v="22.3"/>
    <n v="0"/>
    <n v="178.4"/>
    <n v="8.92"/>
    <n v="10"/>
    <n v="5"/>
    <n v="202.32"/>
    <n v="45"/>
    <x v="0"/>
  </r>
  <r>
    <s v="O1006"/>
    <s v="26-01-2025"/>
    <x v="103"/>
    <s v="Bulk"/>
    <x v="3"/>
    <x v="1"/>
    <s v="398845"/>
    <s v="Gpay"/>
    <x v="3"/>
    <x v="3"/>
    <x v="8"/>
    <n v="4"/>
    <n v="141.66999999999999"/>
    <n v="21.25"/>
    <n v="545.42999999999995"/>
    <n v="27.27"/>
    <n v="10"/>
    <n v="10"/>
    <n v="592.69999999999993"/>
    <n v="32"/>
    <x v="5"/>
  </r>
  <r>
    <s v="O1007"/>
    <s v="27-02-2025"/>
    <x v="104"/>
    <s v="Returning"/>
    <x v="4"/>
    <x v="0"/>
    <s v="307397"/>
    <s v="Gpay"/>
    <x v="4"/>
    <x v="4"/>
    <x v="0"/>
    <n v="5"/>
    <n v="83.55"/>
    <n v="12.53"/>
    <n v="405.22"/>
    <n v="20.260000000000002"/>
    <n v="30"/>
    <n v="0"/>
    <n v="455.48"/>
    <n v="20"/>
    <x v="4"/>
  </r>
  <r>
    <s v="O1008"/>
    <s v="03-02-2025"/>
    <x v="105"/>
    <s v="Bulk"/>
    <x v="3"/>
    <x v="2"/>
    <s v="952318"/>
    <s v="Card"/>
    <x v="5"/>
    <x v="5"/>
    <x v="3"/>
    <n v="5"/>
    <n v="95.26"/>
    <n v="9.5299999999999994"/>
    <n v="466.77"/>
    <n v="23.34"/>
    <n v="10"/>
    <n v="10"/>
    <n v="510.11"/>
    <n v="30"/>
    <x v="6"/>
  </r>
  <r>
    <s v="O1009"/>
    <s v="23-02-2025"/>
    <x v="106"/>
    <s v="Bulk"/>
    <x v="2"/>
    <x v="1"/>
    <s v="923932"/>
    <s v="Upi"/>
    <x v="6"/>
    <x v="6"/>
    <x v="9"/>
    <n v="4"/>
    <n v="162.94"/>
    <n v="0"/>
    <n v="651.76"/>
    <n v="32.590000000000003"/>
    <n v="0"/>
    <n v="0"/>
    <n v="684.35"/>
    <n v="26"/>
    <x v="5"/>
  </r>
  <r>
    <s v="O1010"/>
    <s v="23-02-2025"/>
    <x v="107"/>
    <s v="Bulk"/>
    <x v="2"/>
    <x v="1"/>
    <s v="135187"/>
    <s v="Upi"/>
    <x v="7"/>
    <x v="7"/>
    <x v="0"/>
    <n v="2"/>
    <n v="45.54"/>
    <n v="2.2799999999999998"/>
    <n v="88.8"/>
    <n v="4.4400000000000004"/>
    <n v="10"/>
    <n v="10"/>
    <n v="113.24"/>
    <n v="15"/>
    <x v="5"/>
  </r>
  <r>
    <s v="O1011"/>
    <s v="03-01-2025"/>
    <x v="108"/>
    <s v="Bulk"/>
    <x v="5"/>
    <x v="2"/>
    <s v="491770"/>
    <s v="Netbanking"/>
    <x v="8"/>
    <x v="8"/>
    <x v="6"/>
    <n v="1"/>
    <n v="15.64"/>
    <n v="0"/>
    <n v="15.64"/>
    <n v="0.78"/>
    <n v="20"/>
    <n v="10"/>
    <n v="46.42"/>
    <n v="14"/>
    <x v="1"/>
  </r>
  <r>
    <s v="O1012"/>
    <s v="28-02-2025"/>
    <x v="109"/>
    <s v="Bulk"/>
    <x v="5"/>
    <x v="0"/>
    <s v="638304"/>
    <s v="Cod"/>
    <x v="9"/>
    <x v="9"/>
    <x v="5"/>
    <n v="3"/>
    <n v="83.11"/>
    <n v="12.47"/>
    <n v="236.86"/>
    <n v="11.84"/>
    <n v="30"/>
    <n v="0"/>
    <n v="278.7"/>
    <n v="24.67"/>
    <x v="1"/>
  </r>
  <r>
    <s v="O1013"/>
    <s v="19-02-2025"/>
    <x v="110"/>
    <s v="Bulk"/>
    <x v="2"/>
    <x v="1"/>
    <s v="505377"/>
    <s v="Phonepe"/>
    <x v="10"/>
    <x v="10"/>
    <x v="4"/>
    <n v="8"/>
    <n v="184.54"/>
    <n v="9.23"/>
    <n v="1467.09"/>
    <n v="73.349999999999994"/>
    <n v="0"/>
    <n v="15"/>
    <n v="1555.44"/>
    <n v="19"/>
    <x v="2"/>
  </r>
  <r>
    <s v="O1014"/>
    <s v="12-01-2025"/>
    <x v="111"/>
    <s v="Bulk"/>
    <x v="1"/>
    <x v="1"/>
    <s v="856488"/>
    <s v="Card"/>
    <x v="11"/>
    <x v="11"/>
    <x v="0"/>
    <n v="2"/>
    <n v="152.44999999999999"/>
    <n v="7.62"/>
    <n v="297.27999999999997"/>
    <n v="14.86"/>
    <n v="30"/>
    <n v="10"/>
    <n v="352.14"/>
    <n v="33"/>
    <x v="5"/>
  </r>
  <r>
    <s v="O1015"/>
    <s v="01-01-2025"/>
    <x v="112"/>
    <s v="Returning"/>
    <x v="4"/>
    <x v="1"/>
    <s v="513166"/>
    <s v="Cod"/>
    <x v="12"/>
    <x v="12"/>
    <x v="6"/>
    <n v="1"/>
    <n v="29.88"/>
    <n v="0"/>
    <n v="29.88"/>
    <n v="1.49"/>
    <n v="30"/>
    <n v="0"/>
    <n v="61.37"/>
    <n v="31"/>
    <x v="2"/>
  </r>
  <r>
    <s v="O1016"/>
    <s v="23-02-2025"/>
    <x v="113"/>
    <s v="Bulk"/>
    <x v="2"/>
    <x v="2"/>
    <s v="354957"/>
    <s v="Netbanking"/>
    <x v="13"/>
    <x v="13"/>
    <x v="5"/>
    <n v="2"/>
    <n v="115.91"/>
    <n v="11.59"/>
    <n v="220.23"/>
    <n v="11.01"/>
    <n v="10"/>
    <n v="20"/>
    <n v="261.24"/>
    <n v="27"/>
    <x v="5"/>
  </r>
  <r>
    <s v="O1017"/>
    <s v="13-02-2025"/>
    <x v="114"/>
    <s v="Bulk"/>
    <x v="2"/>
    <x v="1"/>
    <s v="246692"/>
    <s v="Upi"/>
    <x v="14"/>
    <x v="14"/>
    <x v="2"/>
    <n v="4"/>
    <n v="163.69"/>
    <n v="24.55"/>
    <n v="630.21"/>
    <n v="31.51"/>
    <n v="0"/>
    <n v="20"/>
    <n v="681.72"/>
    <n v="15"/>
    <x v="4"/>
  </r>
  <r>
    <s v="O1018"/>
    <s v="05-01-2025"/>
    <x v="115"/>
    <s v="Bulk"/>
    <x v="5"/>
    <x v="0"/>
    <m/>
    <s v="Card"/>
    <x v="15"/>
    <x v="15"/>
    <x v="5"/>
    <n v="4"/>
    <n v="141.02000000000001"/>
    <n v="21.15"/>
    <n v="542.93000000000006"/>
    <n v="27.15"/>
    <n v="30"/>
    <n v="5"/>
    <n v="605.08000000000004"/>
    <n v="24.67"/>
    <x v="5"/>
  </r>
  <r>
    <s v="O1019"/>
    <s v="30-01-2025"/>
    <x v="116"/>
    <s v="Bulk"/>
    <x v="5"/>
    <x v="3"/>
    <s v="575573"/>
    <s v="Upi"/>
    <x v="16"/>
    <x v="16"/>
    <x v="0"/>
    <n v="1"/>
    <n v="119.72"/>
    <n v="0"/>
    <n v="119.72"/>
    <n v="5.99"/>
    <n v="20"/>
    <n v="0"/>
    <n v="145.71"/>
    <n v="24.67"/>
    <x v="4"/>
  </r>
  <r>
    <s v="O1020"/>
    <s v="30-01-2025"/>
    <x v="117"/>
    <s v="Bulk"/>
    <x v="1"/>
    <x v="1"/>
    <s v="779930"/>
    <s v="Gpay"/>
    <x v="17"/>
    <x v="17"/>
    <x v="0"/>
    <n v="3"/>
    <n v="120.46"/>
    <n v="6.02"/>
    <n v="355.36"/>
    <n v="17.77"/>
    <n v="0"/>
    <n v="0"/>
    <n v="373.13"/>
    <n v="42"/>
    <x v="4"/>
  </r>
  <r>
    <s v="O1021"/>
    <s v="28-02-2025"/>
    <x v="118"/>
    <s v="Bulk"/>
    <x v="2"/>
    <x v="1"/>
    <s v="572312"/>
    <s v="Wallet"/>
    <x v="18"/>
    <x v="18"/>
    <x v="6"/>
    <n v="1"/>
    <n v="1.19"/>
    <n v="0.18"/>
    <n v="1.01"/>
    <n v="0.05"/>
    <n v="10"/>
    <n v="5"/>
    <n v="16.059999999999999"/>
    <n v="22"/>
    <x v="1"/>
  </r>
  <r>
    <s v="O1022"/>
    <s v="26-02-2025"/>
    <x v="119"/>
    <s v="Bulk"/>
    <x v="0"/>
    <x v="0"/>
    <s v="335161"/>
    <s v="Cod"/>
    <x v="19"/>
    <x v="19"/>
    <x v="2"/>
    <n v="5"/>
    <n v="270.87"/>
    <n v="40.630000000000003"/>
    <n v="1313.72"/>
    <n v="65.69"/>
    <n v="0"/>
    <n v="20"/>
    <n v="1399.41"/>
    <n v="33"/>
    <x v="2"/>
  </r>
  <r>
    <s v="O1023"/>
    <s v="17-01-2025"/>
    <x v="120"/>
    <s v="Returning"/>
    <x v="4"/>
    <x v="1"/>
    <s v="605173"/>
    <s v="Card"/>
    <x v="20"/>
    <x v="20"/>
    <x v="2"/>
    <n v="4"/>
    <n v="175.37"/>
    <n v="8.77"/>
    <n v="692.71"/>
    <n v="34.64"/>
    <n v="20"/>
    <n v="0"/>
    <n v="747.35"/>
    <n v="20"/>
    <x v="1"/>
  </r>
  <r>
    <s v="O1024"/>
    <s v="17-02-2025"/>
    <x v="121"/>
    <s v="Bulk"/>
    <x v="1"/>
    <x v="1"/>
    <s v="805359"/>
    <s v="Upi"/>
    <x v="21"/>
    <x v="21"/>
    <x v="7"/>
    <n v="2"/>
    <n v="112.16"/>
    <n v="0"/>
    <n v="224.32"/>
    <n v="11.22"/>
    <n v="10"/>
    <n v="0"/>
    <n v="245.54"/>
    <n v="30"/>
    <x v="6"/>
  </r>
  <r>
    <s v="O1025"/>
    <s v="16-02-2025"/>
    <x v="122"/>
    <s v="Bulk"/>
    <x v="3"/>
    <x v="1"/>
    <s v="121576"/>
    <s v="Upi"/>
    <x v="22"/>
    <x v="22"/>
    <x v="7"/>
    <n v="1"/>
    <n v="123.86"/>
    <n v="12.39"/>
    <n v="111.47"/>
    <n v="5.57"/>
    <n v="0"/>
    <n v="15"/>
    <n v="132.04"/>
    <n v="19"/>
    <x v="5"/>
  </r>
  <r>
    <s v="O1026"/>
    <s v="23-01-2025"/>
    <x v="123"/>
    <s v="Bulk"/>
    <x v="2"/>
    <x v="2"/>
    <s v="794186"/>
    <s v="Upi"/>
    <x v="23"/>
    <x v="23"/>
    <x v="2"/>
    <n v="4"/>
    <n v="116.26"/>
    <n v="0"/>
    <n v="465.04"/>
    <n v="23.25"/>
    <n v="30"/>
    <n v="0"/>
    <n v="518.29"/>
    <n v="29"/>
    <x v="4"/>
  </r>
  <r>
    <s v="O1027"/>
    <s v="15-01-2025"/>
    <x v="124"/>
    <s v="New"/>
    <x v="4"/>
    <x v="1"/>
    <s v="881700"/>
    <s v="Cod"/>
    <x v="24"/>
    <x v="24"/>
    <x v="5"/>
    <n v="4"/>
    <n v="167.47"/>
    <n v="16.75"/>
    <n v="653.13"/>
    <n v="32.659999999999997"/>
    <n v="30"/>
    <n v="5"/>
    <n v="720.79"/>
    <n v="24.67"/>
    <x v="2"/>
  </r>
  <r>
    <s v="O1028"/>
    <s v="06-02-2025"/>
    <x v="125"/>
    <s v="Bulk"/>
    <x v="3"/>
    <x v="2"/>
    <s v="673722"/>
    <s v="Gpay"/>
    <x v="25"/>
    <x v="25"/>
    <x v="0"/>
    <n v="3"/>
    <n v="159.88999999999999"/>
    <n v="0"/>
    <n v="479.67"/>
    <n v="23.98"/>
    <n v="30"/>
    <n v="20"/>
    <n v="553.65"/>
    <n v="24.67"/>
    <x v="4"/>
  </r>
  <r>
    <s v="O1029"/>
    <s v="21-01-2025"/>
    <x v="126"/>
    <s v="Bulk"/>
    <x v="5"/>
    <x v="1"/>
    <s v="966164"/>
    <s v="Card"/>
    <x v="26"/>
    <x v="26"/>
    <x v="2"/>
    <n v="1"/>
    <n v="185.67"/>
    <n v="0"/>
    <n v="185.67"/>
    <n v="9.2799999999999994"/>
    <n v="20"/>
    <n v="0"/>
    <n v="214.95"/>
    <n v="24.67"/>
    <x v="3"/>
  </r>
  <r>
    <s v="O1030"/>
    <s v="14-01-2025"/>
    <x v="127"/>
    <s v="Bulk"/>
    <x v="0"/>
    <x v="2"/>
    <s v="619493"/>
    <s v="Gpay"/>
    <x v="27"/>
    <x v="27"/>
    <x v="0"/>
    <n v="1"/>
    <n v="131.78"/>
    <n v="13.18"/>
    <n v="118.6"/>
    <n v="5.93"/>
    <n v="20"/>
    <n v="10"/>
    <n v="154.53"/>
    <n v="28"/>
    <x v="3"/>
  </r>
  <r>
    <s v="O1031"/>
    <s v="02-01-2025"/>
    <x v="128"/>
    <s v="Bulk"/>
    <x v="2"/>
    <x v="2"/>
    <s v="985540"/>
    <s v="Upi"/>
    <x v="28"/>
    <x v="28"/>
    <x v="7"/>
    <n v="5"/>
    <n v="184.05"/>
    <n v="18.41"/>
    <n v="901.84"/>
    <n v="45.09"/>
    <n v="30"/>
    <n v="0"/>
    <n v="976.93000000000006"/>
    <n v="24.67"/>
    <x v="4"/>
  </r>
  <r>
    <s v="O1032"/>
    <s v="11-01-2025"/>
    <x v="129"/>
    <s v="Bulk"/>
    <x v="5"/>
    <x v="2"/>
    <s v="385248"/>
    <s v="Cod"/>
    <x v="29"/>
    <x v="29"/>
    <x v="0"/>
    <n v="4"/>
    <n v="158.82"/>
    <n v="15.88"/>
    <n v="619.4"/>
    <n v="30.97"/>
    <n v="20"/>
    <n v="10"/>
    <n v="680.37"/>
    <n v="24"/>
    <x v="0"/>
  </r>
  <r>
    <s v="O1033"/>
    <s v="20-02-2025"/>
    <x v="130"/>
    <s v="Bulk"/>
    <x v="1"/>
    <x v="2"/>
    <s v="566690"/>
    <s v="Upi"/>
    <x v="30"/>
    <x v="30"/>
    <x v="3"/>
    <n v="2"/>
    <n v="99.7"/>
    <n v="0"/>
    <n v="199.4"/>
    <n v="9.9700000000000006"/>
    <n v="10"/>
    <n v="5"/>
    <n v="224.37"/>
    <n v="25"/>
    <x v="4"/>
  </r>
  <r>
    <s v="O1034"/>
    <s v="08-02-2025"/>
    <x v="131"/>
    <s v="Bulk"/>
    <x v="1"/>
    <x v="2"/>
    <s v="271929"/>
    <s v="Upi"/>
    <x v="31"/>
    <x v="31"/>
    <x v="0"/>
    <n v="2"/>
    <n v="69.290000000000006"/>
    <n v="3.46"/>
    <n v="135.12"/>
    <n v="6.76"/>
    <n v="20"/>
    <n v="20"/>
    <n v="181.88"/>
    <n v="30"/>
    <x v="0"/>
  </r>
  <r>
    <s v="O1035"/>
    <s v="07-02-2025"/>
    <x v="132"/>
    <s v="Bulk"/>
    <x v="5"/>
    <x v="1"/>
    <s v="804463"/>
    <s v="Netbanking"/>
    <x v="32"/>
    <x v="32"/>
    <x v="7"/>
    <n v="2"/>
    <n v="119.31"/>
    <n v="5.97"/>
    <n v="232.65"/>
    <n v="11.63"/>
    <n v="10"/>
    <n v="20"/>
    <n v="274.27999999999997"/>
    <n v="25"/>
    <x v="1"/>
  </r>
  <r>
    <s v="O1036"/>
    <s v="01-03-2025"/>
    <x v="133"/>
    <s v="Bulk"/>
    <x v="1"/>
    <x v="0"/>
    <s v="344942"/>
    <s v="Cod"/>
    <x v="33"/>
    <x v="33"/>
    <x v="1"/>
    <n v="6"/>
    <n v="159.9"/>
    <n v="0"/>
    <n v="959.40000000000009"/>
    <n v="47.97"/>
    <n v="0"/>
    <n v="20"/>
    <n v="1027.3699999999999"/>
    <n v="17"/>
    <x v="0"/>
  </r>
  <r>
    <s v="O1037"/>
    <s v="03-02-2025"/>
    <x v="134"/>
    <s v="Bulk"/>
    <x v="0"/>
    <x v="0"/>
    <s v="150755"/>
    <s v="Upi"/>
    <x v="34"/>
    <x v="34"/>
    <x v="3"/>
    <n v="3"/>
    <n v="67.02"/>
    <n v="0"/>
    <n v="201.06"/>
    <n v="10.050000000000001"/>
    <n v="20"/>
    <n v="20"/>
    <n v="251.11"/>
    <n v="24"/>
    <x v="6"/>
  </r>
  <r>
    <s v="O1038"/>
    <s v="07-02-2025"/>
    <x v="135"/>
    <s v="New"/>
    <x v="4"/>
    <x v="2"/>
    <s v="641770"/>
    <s v="Wallet"/>
    <x v="35"/>
    <x v="35"/>
    <x v="9"/>
    <n v="5"/>
    <n v="10.18"/>
    <n v="1.02"/>
    <n v="49.88"/>
    <n v="2.4900000000000002"/>
    <n v="30"/>
    <n v="15"/>
    <n v="97.37"/>
    <n v="13"/>
    <x v="1"/>
  </r>
  <r>
    <s v="O1039"/>
    <s v="19-02-2025"/>
    <x v="136"/>
    <s v="Bulk"/>
    <x v="3"/>
    <x v="2"/>
    <s v="128930"/>
    <s v="Phonepe"/>
    <x v="36"/>
    <x v="36"/>
    <x v="9"/>
    <n v="1"/>
    <n v="57.38"/>
    <n v="5.74"/>
    <n v="51.64"/>
    <n v="2.58"/>
    <n v="30"/>
    <n v="10"/>
    <n v="94.22"/>
    <n v="9"/>
    <x v="2"/>
  </r>
  <r>
    <s v="O1040"/>
    <s v="03-02-2025"/>
    <x v="137"/>
    <s v="New"/>
    <x v="4"/>
    <x v="0"/>
    <s v="974340"/>
    <s v="Card"/>
    <x v="37"/>
    <x v="37"/>
    <x v="9"/>
    <n v="3"/>
    <n v="153.22999999999999"/>
    <n v="7.66"/>
    <n v="452.02999999999992"/>
    <n v="22.6"/>
    <n v="20"/>
    <n v="15"/>
    <n v="509.62999999999988"/>
    <n v="24.67"/>
    <x v="6"/>
  </r>
  <r>
    <s v="O1041"/>
    <s v="18-01-2025"/>
    <x v="138"/>
    <s v="New"/>
    <x v="4"/>
    <x v="2"/>
    <s v="110737"/>
    <s v="Upi"/>
    <x v="38"/>
    <x v="38"/>
    <x v="5"/>
    <n v="2"/>
    <n v="40.49"/>
    <n v="6.07"/>
    <n v="74.91"/>
    <n v="3.75"/>
    <n v="30"/>
    <n v="0"/>
    <n v="108.66"/>
    <n v="30"/>
    <x v="0"/>
  </r>
  <r>
    <s v="O1042"/>
    <s v="30-01-2025"/>
    <x v="139"/>
    <s v="Bulk"/>
    <x v="3"/>
    <x v="0"/>
    <s v="414368"/>
    <s v="Netbanking"/>
    <x v="39"/>
    <x v="39"/>
    <x v="0"/>
    <n v="1"/>
    <n v="155.08000000000001"/>
    <n v="7.75"/>
    <n v="147.33000000000001"/>
    <n v="7.37"/>
    <n v="30"/>
    <n v="15"/>
    <n v="199.7"/>
    <n v="24.67"/>
    <x v="4"/>
  </r>
  <r>
    <s v="O1043"/>
    <s v="15-01-2025"/>
    <x v="140"/>
    <s v="Bulk"/>
    <x v="2"/>
    <x v="2"/>
    <s v="396952"/>
    <s v="Wallet"/>
    <x v="40"/>
    <x v="40"/>
    <x v="3"/>
    <n v="1"/>
    <n v="116.65"/>
    <n v="0"/>
    <n v="116.65"/>
    <n v="5.83"/>
    <n v="30"/>
    <n v="20"/>
    <n v="172.48"/>
    <n v="24.67"/>
    <x v="2"/>
  </r>
  <r>
    <s v="O1044"/>
    <s v="27-01-2025"/>
    <x v="141"/>
    <s v="New"/>
    <x v="4"/>
    <x v="2"/>
    <s v="930997"/>
    <s v="Upi"/>
    <x v="41"/>
    <x v="41"/>
    <x v="0"/>
    <n v="4"/>
    <n v="281.54000000000002"/>
    <n v="42.23"/>
    <n v="1083.93"/>
    <n v="54.2"/>
    <n v="30"/>
    <n v="10"/>
    <n v="1178.1300000000001"/>
    <n v="20"/>
    <x v="6"/>
  </r>
  <r>
    <s v="O1045"/>
    <s v="20-02-2025"/>
    <x v="142"/>
    <s v="Bulk"/>
    <x v="0"/>
    <x v="2"/>
    <s v="950100"/>
    <s v="Card"/>
    <x v="42"/>
    <x v="42"/>
    <x v="9"/>
    <n v="3"/>
    <n v="221.18"/>
    <n v="11.06"/>
    <n v="652.48"/>
    <n v="32.619999999999997"/>
    <n v="10"/>
    <n v="15"/>
    <n v="710.1"/>
    <n v="21"/>
    <x v="4"/>
  </r>
  <r>
    <s v="O1046"/>
    <s v="03-02-2025"/>
    <x v="143"/>
    <s v="Bulk"/>
    <x v="0"/>
    <x v="2"/>
    <s v="353608"/>
    <s v="Upi"/>
    <x v="43"/>
    <x v="43"/>
    <x v="1"/>
    <n v="1"/>
    <n v="125.58"/>
    <n v="0"/>
    <n v="125.58"/>
    <n v="6.28"/>
    <n v="10"/>
    <n v="15"/>
    <n v="156.86000000000001"/>
    <n v="20"/>
    <x v="6"/>
  </r>
  <r>
    <s v="O1047"/>
    <s v="21-02-2025"/>
    <x v="144"/>
    <s v="Bulk"/>
    <x v="3"/>
    <x v="2"/>
    <s v="331807"/>
    <s v="Wallet"/>
    <x v="44"/>
    <x v="44"/>
    <x v="7"/>
    <n v="5"/>
    <n v="43.66"/>
    <n v="4.37"/>
    <n v="213.93"/>
    <n v="10.7"/>
    <n v="0"/>
    <n v="15"/>
    <n v="239.63"/>
    <n v="18"/>
    <x v="1"/>
  </r>
  <r>
    <s v="O1048"/>
    <s v="26-02-2025"/>
    <x v="145"/>
    <s v="Bulk"/>
    <x v="0"/>
    <x v="2"/>
    <s v="550400"/>
    <s v="Upi"/>
    <x v="45"/>
    <x v="45"/>
    <x v="8"/>
    <n v="3"/>
    <n v="46.45"/>
    <n v="0"/>
    <n v="139.35"/>
    <n v="6.97"/>
    <n v="20"/>
    <n v="0"/>
    <n v="166.32"/>
    <n v="30"/>
    <x v="2"/>
  </r>
  <r>
    <s v="O1049"/>
    <s v="07-02-2025"/>
    <x v="146"/>
    <s v="New"/>
    <x v="4"/>
    <x v="2"/>
    <s v="880498"/>
    <s v="Card"/>
    <x v="46"/>
    <x v="46"/>
    <x v="6"/>
    <n v="1"/>
    <n v="164.55"/>
    <n v="24.68"/>
    <n v="139.87"/>
    <n v="6.99"/>
    <n v="10"/>
    <n v="5"/>
    <n v="161.86000000000001"/>
    <n v="18"/>
    <x v="1"/>
  </r>
  <r>
    <s v="O1050"/>
    <s v="02-02-2025"/>
    <x v="147"/>
    <s v="Bulk"/>
    <x v="5"/>
    <x v="1"/>
    <s v="189846"/>
    <s v="Phonepe"/>
    <x v="47"/>
    <x v="47"/>
    <x v="0"/>
    <n v="3"/>
    <n v="139.22"/>
    <n v="0"/>
    <n v="417.66"/>
    <n v="20.88"/>
    <n v="10"/>
    <n v="0"/>
    <n v="448.54"/>
    <n v="14"/>
    <x v="5"/>
  </r>
  <r>
    <s v="O1051"/>
    <s v="24-01-2025"/>
    <x v="148"/>
    <s v="Bulk"/>
    <x v="1"/>
    <x v="0"/>
    <s v="707337"/>
    <s v="Netbanking"/>
    <x v="48"/>
    <x v="48"/>
    <x v="2"/>
    <n v="6"/>
    <n v="128.11000000000001"/>
    <n v="0"/>
    <n v="768.66000000000008"/>
    <n v="38.43"/>
    <n v="30"/>
    <n v="0"/>
    <n v="837.09"/>
    <n v="24.67"/>
    <x v="1"/>
  </r>
  <r>
    <s v="O1052"/>
    <s v="15-01-2025"/>
    <x v="149"/>
    <s v="Bulk"/>
    <x v="2"/>
    <x v="0"/>
    <s v="419849"/>
    <s v="Cod"/>
    <x v="49"/>
    <x v="49"/>
    <x v="0"/>
    <n v="1"/>
    <n v="161.32"/>
    <n v="16.13"/>
    <n v="145.19"/>
    <n v="7.26"/>
    <n v="10"/>
    <n v="10"/>
    <n v="172.45"/>
    <n v="24.67"/>
    <x v="2"/>
  </r>
  <r>
    <s v="O1053"/>
    <s v="01-03-2025"/>
    <x v="150"/>
    <s v="Returning"/>
    <x v="4"/>
    <x v="1"/>
    <s v="945457"/>
    <s v="Wallet"/>
    <x v="50"/>
    <x v="50"/>
    <x v="6"/>
    <n v="2"/>
    <n v="66.819999999999993"/>
    <n v="3.34"/>
    <n v="130.30000000000001"/>
    <n v="6.51"/>
    <n v="10"/>
    <n v="0"/>
    <n v="146.81"/>
    <n v="24.67"/>
    <x v="0"/>
  </r>
  <r>
    <s v="O1054"/>
    <s v="30-01-2025"/>
    <x v="151"/>
    <s v="Bulk"/>
    <x v="1"/>
    <x v="0"/>
    <s v="992017"/>
    <s v="Wallet"/>
    <x v="51"/>
    <x v="51"/>
    <x v="9"/>
    <n v="4"/>
    <n v="144.63"/>
    <n v="14.46"/>
    <n v="564.05999999999995"/>
    <n v="28.2"/>
    <n v="0"/>
    <n v="10"/>
    <n v="602.26"/>
    <n v="22"/>
    <x v="4"/>
  </r>
  <r>
    <s v="O1055"/>
    <s v="24-02-2025"/>
    <x v="152"/>
    <s v="Bulk"/>
    <x v="5"/>
    <x v="0"/>
    <s v="290545"/>
    <s v="Gpay"/>
    <x v="52"/>
    <x v="52"/>
    <x v="8"/>
    <n v="1"/>
    <n v="172.38"/>
    <n v="8.6199999999999992"/>
    <n v="163.76"/>
    <n v="8.19"/>
    <n v="10"/>
    <n v="10"/>
    <n v="191.95"/>
    <n v="31"/>
    <x v="6"/>
  </r>
  <r>
    <s v="O1056"/>
    <s v="11-02-2025"/>
    <x v="153"/>
    <s v="Bulk"/>
    <x v="3"/>
    <x v="1"/>
    <s v="821615"/>
    <s v="Cod"/>
    <x v="53"/>
    <x v="53"/>
    <x v="1"/>
    <n v="5"/>
    <n v="65.739999999999995"/>
    <n v="6.57"/>
    <n v="322.13"/>
    <n v="16.11"/>
    <n v="30"/>
    <n v="5"/>
    <n v="373.24"/>
    <n v="24"/>
    <x v="3"/>
  </r>
  <r>
    <s v="O1057"/>
    <s v="20-02-2025"/>
    <x v="154"/>
    <s v="Bulk"/>
    <x v="0"/>
    <x v="2"/>
    <s v="455288"/>
    <s v="Gpay"/>
    <x v="54"/>
    <x v="54"/>
    <x v="7"/>
    <n v="2"/>
    <n v="131.36000000000001"/>
    <n v="19.7"/>
    <n v="243.02"/>
    <n v="12.15"/>
    <n v="30"/>
    <n v="0"/>
    <n v="285.17000000000007"/>
    <n v="32"/>
    <x v="4"/>
  </r>
  <r>
    <s v="O1058"/>
    <s v="17-01-2025"/>
    <x v="155"/>
    <s v="Bulk"/>
    <x v="2"/>
    <x v="2"/>
    <s v="284100"/>
    <s v="Upi"/>
    <x v="55"/>
    <x v="55"/>
    <x v="7"/>
    <n v="1"/>
    <n v="223.85"/>
    <n v="11.19"/>
    <n v="212.66"/>
    <n v="10.63"/>
    <n v="10"/>
    <n v="0"/>
    <n v="233.29"/>
    <n v="16"/>
    <x v="1"/>
  </r>
  <r>
    <s v="O1059"/>
    <s v="05-01-2025"/>
    <x v="156"/>
    <s v="Returning"/>
    <x v="4"/>
    <x v="2"/>
    <s v="121058"/>
    <s v="Card"/>
    <x v="56"/>
    <x v="56"/>
    <x v="1"/>
    <n v="3"/>
    <n v="110.96"/>
    <n v="16.64"/>
    <n v="316.24"/>
    <n v="15.81"/>
    <n v="10"/>
    <n v="0"/>
    <n v="342.05"/>
    <n v="25"/>
    <x v="5"/>
  </r>
  <r>
    <s v="O1060"/>
    <s v="29-01-2025"/>
    <x v="157"/>
    <s v="Bulk"/>
    <x v="2"/>
    <x v="0"/>
    <s v="710777"/>
    <s v="Gpay"/>
    <x v="57"/>
    <x v="57"/>
    <x v="5"/>
    <n v="2"/>
    <n v="102.91"/>
    <n v="5.15"/>
    <n v="200.67"/>
    <n v="10.029999999999999"/>
    <n v="30"/>
    <n v="20"/>
    <n v="260.7"/>
    <n v="20"/>
    <x v="2"/>
  </r>
  <r>
    <s v="O1061"/>
    <s v="04-01-2025"/>
    <x v="158"/>
    <s v="Bulk"/>
    <x v="3"/>
    <x v="2"/>
    <s v="724152"/>
    <s v="Netbanking"/>
    <x v="58"/>
    <x v="58"/>
    <x v="4"/>
    <n v="1"/>
    <n v="106.71"/>
    <n v="0"/>
    <n v="106.71"/>
    <n v="5.34"/>
    <n v="20"/>
    <n v="10"/>
    <n v="142.05000000000001"/>
    <n v="25"/>
    <x v="0"/>
  </r>
  <r>
    <s v="O1062"/>
    <s v="10-01-2025"/>
    <x v="159"/>
    <s v="Bulk"/>
    <x v="2"/>
    <x v="0"/>
    <s v="307158"/>
    <s v="Upi"/>
    <x v="59"/>
    <x v="59"/>
    <x v="5"/>
    <n v="3"/>
    <n v="152.11000000000001"/>
    <n v="0"/>
    <n v="456.33"/>
    <n v="22.82"/>
    <n v="0"/>
    <n v="10"/>
    <n v="489.15"/>
    <n v="27"/>
    <x v="1"/>
  </r>
  <r>
    <s v="O1063"/>
    <s v="25-02-2025"/>
    <x v="160"/>
    <s v="Bulk"/>
    <x v="1"/>
    <x v="0"/>
    <s v="793201"/>
    <s v="Upi"/>
    <x v="60"/>
    <x v="60"/>
    <x v="6"/>
    <n v="3"/>
    <n v="65.260000000000005"/>
    <n v="9.7899999999999991"/>
    <n v="185.99"/>
    <n v="9.3000000000000007"/>
    <n v="0"/>
    <n v="10"/>
    <n v="205.29"/>
    <n v="32"/>
    <x v="3"/>
  </r>
  <r>
    <s v="O1064"/>
    <s v="17-01-2025"/>
    <x v="161"/>
    <s v="Bulk"/>
    <x v="1"/>
    <x v="0"/>
    <s v="475595"/>
    <s v="Phonepe"/>
    <x v="61"/>
    <x v="61"/>
    <x v="5"/>
    <n v="3"/>
    <n v="109.92"/>
    <n v="10.99"/>
    <n v="318.77"/>
    <n v="15.94"/>
    <n v="20"/>
    <n v="0"/>
    <n v="354.71"/>
    <n v="24.67"/>
    <x v="1"/>
  </r>
  <r>
    <s v="O1065"/>
    <s v="10-01-2025"/>
    <x v="162"/>
    <s v="Bulk"/>
    <x v="2"/>
    <x v="1"/>
    <s v="667256"/>
    <s v="Card"/>
    <x v="62"/>
    <x v="62"/>
    <x v="1"/>
    <n v="1"/>
    <n v="130.03"/>
    <n v="6.5"/>
    <n v="123.53"/>
    <n v="6.18"/>
    <n v="10"/>
    <n v="20"/>
    <n v="159.71"/>
    <n v="25"/>
    <x v="1"/>
  </r>
  <r>
    <s v="O1066"/>
    <s v="17-01-2025"/>
    <x v="163"/>
    <s v="Bulk"/>
    <x v="2"/>
    <x v="2"/>
    <s v="661548"/>
    <s v="Gpay"/>
    <x v="63"/>
    <x v="63"/>
    <x v="5"/>
    <n v="3"/>
    <n v="219.09"/>
    <n v="32.86"/>
    <n v="624.41"/>
    <n v="31.22"/>
    <n v="10"/>
    <n v="20"/>
    <n v="685.63"/>
    <n v="30"/>
    <x v="1"/>
  </r>
  <r>
    <s v="O1067"/>
    <s v="01-03-2025"/>
    <x v="164"/>
    <s v="Bulk"/>
    <x v="5"/>
    <x v="0"/>
    <s v="883924"/>
    <s v="Upi"/>
    <x v="64"/>
    <x v="64"/>
    <x v="5"/>
    <n v="1"/>
    <n v="125.88"/>
    <n v="12.59"/>
    <n v="113.29"/>
    <n v="5.66"/>
    <n v="10"/>
    <n v="15"/>
    <n v="143.94999999999999"/>
    <n v="21"/>
    <x v="0"/>
  </r>
  <r>
    <s v="O1068"/>
    <s v="20-01-2025"/>
    <x v="165"/>
    <s v="Bulk"/>
    <x v="5"/>
    <x v="2"/>
    <s v="342113"/>
    <s v="Gpay"/>
    <x v="65"/>
    <x v="65"/>
    <x v="2"/>
    <n v="1"/>
    <n v="23.63"/>
    <n v="3.54"/>
    <n v="20.09"/>
    <n v="1"/>
    <n v="20"/>
    <n v="0"/>
    <n v="41.09"/>
    <n v="22"/>
    <x v="6"/>
  </r>
  <r>
    <s v="O1069"/>
    <s v="24-01-2025"/>
    <x v="166"/>
    <s v="Bulk"/>
    <x v="3"/>
    <x v="0"/>
    <s v="207092"/>
    <s v="Netbanking"/>
    <x v="66"/>
    <x v="66"/>
    <x v="4"/>
    <n v="4"/>
    <n v="140.13"/>
    <n v="7.01"/>
    <n v="553.51"/>
    <n v="27.68"/>
    <n v="10"/>
    <n v="15"/>
    <n v="606.18999999999994"/>
    <n v="22"/>
    <x v="1"/>
  </r>
  <r>
    <s v="O1070"/>
    <s v="05-01-2025"/>
    <x v="167"/>
    <s v="Bulk"/>
    <x v="5"/>
    <x v="1"/>
    <s v="292180"/>
    <s v="Netbanking"/>
    <x v="67"/>
    <x v="67"/>
    <x v="7"/>
    <n v="2"/>
    <n v="124.87"/>
    <n v="6.24"/>
    <n v="243.5"/>
    <n v="12.18"/>
    <n v="20"/>
    <n v="10"/>
    <n v="285.68"/>
    <n v="24.67"/>
    <x v="5"/>
  </r>
  <r>
    <s v="O1071"/>
    <s v="03-02-2025"/>
    <x v="168"/>
    <s v="Bulk"/>
    <x v="3"/>
    <x v="1"/>
    <s v="699649"/>
    <s v="Wallet"/>
    <x v="68"/>
    <x v="68"/>
    <x v="9"/>
    <n v="1"/>
    <n v="79.81"/>
    <n v="11.97"/>
    <n v="67.84"/>
    <n v="3.39"/>
    <n v="0"/>
    <n v="10"/>
    <n v="81.23"/>
    <n v="29"/>
    <x v="6"/>
  </r>
  <r>
    <s v="O1072"/>
    <s v="06-01-2025"/>
    <x v="169"/>
    <s v="Bulk"/>
    <x v="2"/>
    <x v="2"/>
    <m/>
    <s v="Cod"/>
    <x v="69"/>
    <x v="69"/>
    <x v="1"/>
    <n v="1"/>
    <n v="206.52"/>
    <n v="10.33"/>
    <n v="196.19"/>
    <n v="9.81"/>
    <n v="10"/>
    <n v="5"/>
    <n v="221"/>
    <n v="19"/>
    <x v="6"/>
  </r>
  <r>
    <s v="O1073"/>
    <s v="22-02-2025"/>
    <x v="170"/>
    <s v="Bulk"/>
    <x v="3"/>
    <x v="1"/>
    <m/>
    <s v="Wallet"/>
    <x v="70"/>
    <x v="70"/>
    <x v="0"/>
    <n v="3"/>
    <n v="128.41999999999999"/>
    <n v="0"/>
    <n v="385.26"/>
    <n v="19.260000000000002"/>
    <n v="0"/>
    <n v="15"/>
    <n v="419.52"/>
    <n v="35"/>
    <x v="0"/>
  </r>
  <r>
    <s v="O1074"/>
    <s v="02-01-2025"/>
    <x v="171"/>
    <s v="Bulk"/>
    <x v="0"/>
    <x v="1"/>
    <s v="317256"/>
    <s v="Wallet"/>
    <x v="71"/>
    <x v="71"/>
    <x v="4"/>
    <n v="1"/>
    <n v="158.09"/>
    <n v="7.9"/>
    <n v="150.19"/>
    <n v="7.51"/>
    <n v="20"/>
    <n v="20"/>
    <n v="197.7"/>
    <n v="24.67"/>
    <x v="4"/>
  </r>
  <r>
    <s v="O1075"/>
    <s v="13-01-2025"/>
    <x v="172"/>
    <s v="Bulk"/>
    <x v="3"/>
    <x v="2"/>
    <m/>
    <s v="Upi"/>
    <x v="72"/>
    <x v="72"/>
    <x v="1"/>
    <n v="1"/>
    <n v="50.69"/>
    <n v="5.07"/>
    <n v="45.62"/>
    <n v="2.2799999999999998"/>
    <n v="20"/>
    <n v="10"/>
    <n v="77.900000000000006"/>
    <n v="20"/>
    <x v="6"/>
  </r>
  <r>
    <s v="O1076"/>
    <s v="12-02-2025"/>
    <x v="173"/>
    <s v="Bulk"/>
    <x v="3"/>
    <x v="0"/>
    <s v="393132"/>
    <s v="Cod"/>
    <x v="73"/>
    <x v="73"/>
    <x v="0"/>
    <n v="4"/>
    <n v="41.05"/>
    <n v="2.0499999999999998"/>
    <n v="162.15"/>
    <n v="8.11"/>
    <n v="0"/>
    <n v="0"/>
    <n v="170.26"/>
    <n v="9"/>
    <x v="2"/>
  </r>
  <r>
    <s v="O1077"/>
    <s v="12-02-2025"/>
    <x v="174"/>
    <s v="Bulk"/>
    <x v="2"/>
    <x v="0"/>
    <s v="560522"/>
    <s v="Upi"/>
    <x v="74"/>
    <x v="74"/>
    <x v="6"/>
    <n v="1"/>
    <n v="122.48"/>
    <n v="12.25"/>
    <n v="110.23"/>
    <n v="5.51"/>
    <n v="10"/>
    <n v="15"/>
    <n v="140.74"/>
    <n v="20"/>
    <x v="2"/>
  </r>
  <r>
    <s v="O1078"/>
    <s v="17-02-2025"/>
    <x v="175"/>
    <s v="Returning"/>
    <x v="4"/>
    <x v="1"/>
    <s v="529199"/>
    <s v="Upi"/>
    <x v="75"/>
    <x v="75"/>
    <x v="1"/>
    <n v="2"/>
    <n v="127.82"/>
    <n v="12.78"/>
    <n v="242.86"/>
    <n v="12.14"/>
    <n v="0"/>
    <n v="20"/>
    <n v="275"/>
    <n v="24.67"/>
    <x v="6"/>
  </r>
  <r>
    <s v="O1079"/>
    <s v="11-01-2025"/>
    <x v="176"/>
    <s v="Bulk"/>
    <x v="1"/>
    <x v="2"/>
    <s v="134160"/>
    <s v="Upi"/>
    <x v="76"/>
    <x v="76"/>
    <x v="1"/>
    <n v="3"/>
    <n v="234.1"/>
    <n v="11.71"/>
    <n v="690.58999999999992"/>
    <n v="34.53"/>
    <n v="10"/>
    <n v="10"/>
    <n v="745.11999999999989"/>
    <n v="52"/>
    <x v="0"/>
  </r>
  <r>
    <s v="O1080"/>
    <s v="20-02-2025"/>
    <x v="177"/>
    <s v="Bulk"/>
    <x v="3"/>
    <x v="1"/>
    <s v="396694"/>
    <s v="Upi"/>
    <x v="77"/>
    <x v="77"/>
    <x v="7"/>
    <n v="1"/>
    <n v="167.66"/>
    <n v="8.3800000000000008"/>
    <n v="159.28"/>
    <n v="7.96"/>
    <n v="20"/>
    <n v="15"/>
    <n v="202.24"/>
    <n v="39"/>
    <x v="4"/>
  </r>
  <r>
    <s v="O1081"/>
    <s v="16-02-2025"/>
    <x v="178"/>
    <s v="Bulk"/>
    <x v="5"/>
    <x v="1"/>
    <s v="437547"/>
    <s v="Upi"/>
    <x v="78"/>
    <x v="78"/>
    <x v="6"/>
    <n v="1"/>
    <n v="72.2"/>
    <n v="3.61"/>
    <n v="68.59"/>
    <n v="3.43"/>
    <n v="0"/>
    <n v="15"/>
    <n v="87.02000000000001"/>
    <n v="14"/>
    <x v="5"/>
  </r>
  <r>
    <s v="O1082"/>
    <s v="26-02-2025"/>
    <x v="179"/>
    <s v="Bulk"/>
    <x v="0"/>
    <x v="1"/>
    <s v="481382"/>
    <s v="Upi"/>
    <x v="79"/>
    <x v="79"/>
    <x v="5"/>
    <n v="1"/>
    <n v="162.21"/>
    <n v="16.22"/>
    <n v="145.99"/>
    <n v="7.3"/>
    <n v="0"/>
    <n v="10"/>
    <n v="163.29"/>
    <n v="46"/>
    <x v="2"/>
  </r>
  <r>
    <s v="O1083"/>
    <s v="23-01-2025"/>
    <x v="180"/>
    <s v="Bulk"/>
    <x v="2"/>
    <x v="0"/>
    <m/>
    <s v="Netbanking"/>
    <x v="80"/>
    <x v="80"/>
    <x v="5"/>
    <n v="1"/>
    <n v="109.73"/>
    <n v="10.97"/>
    <n v="98.76"/>
    <n v="4.9400000000000004"/>
    <n v="10"/>
    <n v="15"/>
    <n v="128.69999999999999"/>
    <n v="19"/>
    <x v="4"/>
  </r>
  <r>
    <s v="O1084"/>
    <s v="24-02-2025"/>
    <x v="181"/>
    <s v="Returning"/>
    <x v="4"/>
    <x v="1"/>
    <s v="883077"/>
    <s v="Netbanking"/>
    <x v="81"/>
    <x v="81"/>
    <x v="7"/>
    <n v="2"/>
    <n v="163.11000000000001"/>
    <n v="24.47"/>
    <n v="301.75"/>
    <n v="15.09"/>
    <n v="10"/>
    <n v="10"/>
    <n v="336.84"/>
    <n v="24.67"/>
    <x v="6"/>
  </r>
  <r>
    <s v="O1085"/>
    <s v="16-01-2025"/>
    <x v="182"/>
    <s v="Bulk"/>
    <x v="5"/>
    <x v="2"/>
    <s v="733669"/>
    <s v="Card"/>
    <x v="82"/>
    <x v="82"/>
    <x v="4"/>
    <n v="2"/>
    <n v="100.59"/>
    <n v="0"/>
    <n v="201.18"/>
    <n v="10.06"/>
    <n v="10"/>
    <n v="15"/>
    <n v="236.24"/>
    <n v="24"/>
    <x v="4"/>
  </r>
  <r>
    <s v="O1086"/>
    <s v="31-01-2025"/>
    <x v="183"/>
    <s v="Bulk"/>
    <x v="3"/>
    <x v="0"/>
    <s v="561122"/>
    <s v="Card"/>
    <x v="83"/>
    <x v="83"/>
    <x v="9"/>
    <n v="5"/>
    <n v="34.130000000000003"/>
    <n v="5.12"/>
    <n v="165.53"/>
    <n v="8.2799999999999994"/>
    <n v="30"/>
    <n v="20"/>
    <n v="223.81"/>
    <n v="24.67"/>
    <x v="1"/>
  </r>
  <r>
    <s v="O1087"/>
    <s v="11-01-2025"/>
    <x v="184"/>
    <s v="Bulk"/>
    <x v="3"/>
    <x v="0"/>
    <s v="237821"/>
    <s v="Phonepe"/>
    <x v="84"/>
    <x v="84"/>
    <x v="6"/>
    <n v="1"/>
    <n v="81.48"/>
    <n v="0"/>
    <n v="81.48"/>
    <n v="4.07"/>
    <n v="10"/>
    <n v="5"/>
    <n v="100.55"/>
    <n v="12"/>
    <x v="0"/>
  </r>
  <r>
    <s v="O1088"/>
    <s v="23-02-2025"/>
    <x v="185"/>
    <s v="Bulk"/>
    <x v="5"/>
    <x v="2"/>
    <s v="446140"/>
    <s v="Netbanking"/>
    <x v="85"/>
    <x v="85"/>
    <x v="0"/>
    <n v="4"/>
    <n v="148.09"/>
    <n v="7.4"/>
    <n v="584.96"/>
    <n v="29.25"/>
    <n v="0"/>
    <n v="5"/>
    <n v="619.21"/>
    <n v="24.67"/>
    <x v="5"/>
  </r>
  <r>
    <s v="O1089"/>
    <s v="16-01-2025"/>
    <x v="186"/>
    <s v="Bulk"/>
    <x v="0"/>
    <x v="1"/>
    <s v="551989"/>
    <s v="Upi"/>
    <x v="86"/>
    <x v="86"/>
    <x v="8"/>
    <n v="2"/>
    <n v="49.56"/>
    <n v="0"/>
    <n v="99.12"/>
    <n v="4.96"/>
    <n v="20"/>
    <n v="0"/>
    <n v="124.08"/>
    <n v="17"/>
    <x v="4"/>
  </r>
  <r>
    <s v="O1090"/>
    <s v="08-01-2025"/>
    <x v="187"/>
    <s v="Bulk"/>
    <x v="2"/>
    <x v="1"/>
    <s v="340270"/>
    <s v="Gpay"/>
    <x v="87"/>
    <x v="87"/>
    <x v="6"/>
    <n v="4"/>
    <n v="187.81"/>
    <n v="9.39"/>
    <n v="741.85"/>
    <n v="37.090000000000003"/>
    <n v="20"/>
    <n v="0"/>
    <n v="798.94"/>
    <n v="28"/>
    <x v="2"/>
  </r>
  <r>
    <s v="O1091"/>
    <s v="04-01-2025"/>
    <x v="188"/>
    <s v="Bulk"/>
    <x v="2"/>
    <x v="1"/>
    <s v="728431"/>
    <s v="Upi"/>
    <x v="88"/>
    <x v="88"/>
    <x v="6"/>
    <n v="5"/>
    <n v="33.380000000000003"/>
    <n v="1.67"/>
    <n v="165.23"/>
    <n v="8.26"/>
    <n v="10"/>
    <n v="15"/>
    <n v="198.49"/>
    <n v="20"/>
    <x v="0"/>
  </r>
  <r>
    <s v="O1092"/>
    <s v="09-02-2025"/>
    <x v="189"/>
    <s v="Bulk"/>
    <x v="3"/>
    <x v="1"/>
    <s v="289773"/>
    <s v="Gpay"/>
    <x v="89"/>
    <x v="89"/>
    <x v="2"/>
    <n v="1"/>
    <n v="45.16"/>
    <n v="2.2599999999999998"/>
    <n v="42.9"/>
    <n v="2.15"/>
    <n v="0"/>
    <n v="5"/>
    <n v="50.05"/>
    <n v="27"/>
    <x v="5"/>
  </r>
  <r>
    <s v="O1093"/>
    <s v="04-01-2025"/>
    <x v="190"/>
    <s v="Bulk"/>
    <x v="0"/>
    <x v="2"/>
    <s v="995781"/>
    <s v="Upi"/>
    <x v="90"/>
    <x v="90"/>
    <x v="2"/>
    <n v="2"/>
    <n v="138.69"/>
    <n v="0"/>
    <n v="277.38"/>
    <n v="13.87"/>
    <n v="0"/>
    <n v="10"/>
    <n v="301.25"/>
    <n v="24.67"/>
    <x v="0"/>
  </r>
  <r>
    <s v="O1094"/>
    <s v="25-02-2025"/>
    <x v="191"/>
    <s v="New"/>
    <x v="4"/>
    <x v="1"/>
    <s v="923578"/>
    <s v="Gpay"/>
    <x v="91"/>
    <x v="91"/>
    <x v="7"/>
    <n v="1"/>
    <n v="159.97999999999999"/>
    <n v="16"/>
    <n v="143.97999999999999"/>
    <n v="7.2"/>
    <n v="10"/>
    <n v="10"/>
    <n v="171.18"/>
    <n v="30"/>
    <x v="3"/>
  </r>
  <r>
    <s v="O1095"/>
    <s v="25-01-2025"/>
    <x v="192"/>
    <s v="Bulk"/>
    <x v="0"/>
    <x v="0"/>
    <s v="299294"/>
    <s v="Upi"/>
    <x v="92"/>
    <x v="92"/>
    <x v="3"/>
    <n v="2"/>
    <n v="155.29"/>
    <n v="7.76"/>
    <n v="302.82"/>
    <n v="15.14"/>
    <n v="20"/>
    <n v="5"/>
    <n v="342.96"/>
    <n v="34"/>
    <x v="0"/>
  </r>
  <r>
    <s v="O1096"/>
    <s v="03-01-2025"/>
    <x v="193"/>
    <s v="Bulk"/>
    <x v="1"/>
    <x v="2"/>
    <s v="509675"/>
    <s v="Phonepe"/>
    <x v="93"/>
    <x v="93"/>
    <x v="5"/>
    <n v="2"/>
    <n v="55.24"/>
    <n v="5.52"/>
    <n v="104.96"/>
    <n v="5.25"/>
    <n v="20"/>
    <n v="10"/>
    <n v="140.21"/>
    <n v="37"/>
    <x v="1"/>
  </r>
  <r>
    <s v="O1097"/>
    <s v="01-02-2025"/>
    <x v="194"/>
    <s v="Returning"/>
    <x v="4"/>
    <x v="0"/>
    <s v="477224"/>
    <s v="Upi"/>
    <x v="94"/>
    <x v="94"/>
    <x v="2"/>
    <n v="1"/>
    <n v="156.59"/>
    <n v="7.83"/>
    <n v="148.76"/>
    <n v="7.44"/>
    <n v="20"/>
    <n v="0"/>
    <n v="176.2"/>
    <n v="29"/>
    <x v="0"/>
  </r>
  <r>
    <s v="O1098"/>
    <s v="03-01-2025"/>
    <x v="195"/>
    <s v="Bulk"/>
    <x v="3"/>
    <x v="0"/>
    <s v="548934"/>
    <s v="Upi"/>
    <x v="95"/>
    <x v="95"/>
    <x v="4"/>
    <n v="3"/>
    <n v="1.38"/>
    <n v="0.14000000000000001"/>
    <n v="4"/>
    <n v="0.2"/>
    <n v="20"/>
    <n v="5"/>
    <n v="29.2"/>
    <n v="35"/>
    <x v="1"/>
  </r>
  <r>
    <s v="O1099"/>
    <s v="27-01-2025"/>
    <x v="196"/>
    <s v="Bulk"/>
    <x v="2"/>
    <x v="1"/>
    <s v="921939"/>
    <s v="Card"/>
    <x v="96"/>
    <x v="96"/>
    <x v="0"/>
    <n v="4"/>
    <n v="126.71"/>
    <n v="12.67"/>
    <n v="494.17"/>
    <n v="24.71"/>
    <n v="10"/>
    <n v="0"/>
    <n v="528.88"/>
    <n v="8"/>
    <x v="6"/>
  </r>
  <r>
    <s v="O1100"/>
    <s v="29-01-2025"/>
    <x v="197"/>
    <s v="Bulk"/>
    <x v="5"/>
    <x v="1"/>
    <s v="230364"/>
    <s v="Gpay"/>
    <x v="97"/>
    <x v="97"/>
    <x v="4"/>
    <n v="5"/>
    <n v="1.98"/>
    <n v="0.2"/>
    <n v="9.7000000000000011"/>
    <n v="0.49"/>
    <n v="0"/>
    <n v="0"/>
    <n v="10.19"/>
    <n v="46"/>
    <x v="2"/>
  </r>
  <r>
    <s v="O1101"/>
    <s v="01-02-2025"/>
    <x v="198"/>
    <s v="Bulk"/>
    <x v="5"/>
    <x v="0"/>
    <s v="961864"/>
    <s v="Gpay"/>
    <x v="98"/>
    <x v="98"/>
    <x v="2"/>
    <n v="3"/>
    <n v="90.69"/>
    <n v="9.07"/>
    <n v="263"/>
    <n v="13.15"/>
    <n v="20"/>
    <n v="20"/>
    <n v="316.14999999999998"/>
    <n v="17"/>
    <x v="0"/>
  </r>
  <r>
    <s v="O1102"/>
    <s v="19-02-2025"/>
    <x v="199"/>
    <s v="Bulk"/>
    <x v="1"/>
    <x v="2"/>
    <s v="432548"/>
    <s v="Gpay"/>
    <x v="99"/>
    <x v="99"/>
    <x v="7"/>
    <n v="4"/>
    <n v="144.4"/>
    <n v="0"/>
    <n v="577.6"/>
    <n v="28.88"/>
    <n v="20"/>
    <n v="5"/>
    <n v="631.48"/>
    <n v="15"/>
    <x v="2"/>
  </r>
  <r>
    <s v="O1103"/>
    <s v="27-02-2025"/>
    <x v="200"/>
    <s v="Bulk"/>
    <x v="1"/>
    <x v="0"/>
    <s v="720804"/>
    <s v="Upi"/>
    <x v="100"/>
    <x v="100"/>
    <x v="0"/>
    <n v="3"/>
    <n v="177.47"/>
    <n v="0"/>
    <n v="532.41"/>
    <n v="26.62"/>
    <n v="0"/>
    <n v="5"/>
    <n v="564.03"/>
    <n v="25"/>
    <x v="4"/>
  </r>
  <r>
    <s v="O1104"/>
    <s v="20-02-2025"/>
    <x v="201"/>
    <s v="Bulk"/>
    <x v="3"/>
    <x v="0"/>
    <s v="375381"/>
    <s v="Cod"/>
    <x v="101"/>
    <x v="101"/>
    <x v="9"/>
    <n v="4"/>
    <n v="25.75"/>
    <n v="0"/>
    <n v="103"/>
    <n v="5.15"/>
    <n v="30"/>
    <n v="10"/>
    <n v="148.15"/>
    <n v="30"/>
    <x v="4"/>
  </r>
  <r>
    <s v="O1105"/>
    <s v="19-01-2025"/>
    <x v="202"/>
    <s v="Bulk"/>
    <x v="2"/>
    <x v="1"/>
    <s v="728935"/>
    <s v="Netbanking"/>
    <x v="102"/>
    <x v="102"/>
    <x v="0"/>
    <n v="1"/>
    <n v="127.72"/>
    <n v="6.39"/>
    <n v="121.33"/>
    <n v="6.07"/>
    <n v="30"/>
    <n v="15"/>
    <n v="172.4"/>
    <n v="24.67"/>
    <x v="5"/>
  </r>
  <r>
    <s v="O1106"/>
    <s v="21-01-2025"/>
    <x v="203"/>
    <s v="Bulk"/>
    <x v="5"/>
    <x v="2"/>
    <s v="157196"/>
    <s v="Upi"/>
    <x v="103"/>
    <x v="103"/>
    <x v="3"/>
    <n v="7"/>
    <n v="135.24"/>
    <n v="13.52"/>
    <n v="933.16000000000008"/>
    <n v="46.66"/>
    <n v="10"/>
    <n v="20"/>
    <n v="1009.82"/>
    <n v="23"/>
    <x v="3"/>
  </r>
  <r>
    <s v="O1107"/>
    <s v="05-01-2025"/>
    <x v="204"/>
    <s v="Bulk"/>
    <x v="3"/>
    <x v="2"/>
    <s v="143822"/>
    <s v="Card"/>
    <x v="104"/>
    <x v="104"/>
    <x v="1"/>
    <n v="1"/>
    <n v="126.87"/>
    <n v="6.34"/>
    <n v="120.53"/>
    <n v="6.03"/>
    <n v="20"/>
    <n v="0"/>
    <n v="146.56"/>
    <n v="26"/>
    <x v="5"/>
  </r>
  <r>
    <s v="O1108"/>
    <s v="18-01-2025"/>
    <x v="205"/>
    <s v="Bulk"/>
    <x v="1"/>
    <x v="1"/>
    <s v="492575"/>
    <s v="Wallet"/>
    <x v="105"/>
    <x v="105"/>
    <x v="7"/>
    <n v="1"/>
    <n v="112.65"/>
    <n v="16.899999999999999"/>
    <n v="95.75"/>
    <n v="4.79"/>
    <n v="0"/>
    <n v="15"/>
    <n v="115.54"/>
    <n v="24.67"/>
    <x v="0"/>
  </r>
  <r>
    <s v="O1109"/>
    <s v="28-01-2025"/>
    <x v="206"/>
    <s v="New"/>
    <x v="4"/>
    <x v="1"/>
    <m/>
    <s v="Card"/>
    <x v="106"/>
    <x v="106"/>
    <x v="8"/>
    <n v="3"/>
    <n v="126.61"/>
    <n v="18.989999999999998"/>
    <n v="360.84"/>
    <n v="18.04"/>
    <n v="20"/>
    <n v="20"/>
    <n v="418.88"/>
    <n v="31"/>
    <x v="3"/>
  </r>
  <r>
    <s v="O1110"/>
    <s v="11-02-2025"/>
    <x v="207"/>
    <s v="Bulk"/>
    <x v="1"/>
    <x v="0"/>
    <s v="113265"/>
    <s v="Netbanking"/>
    <x v="107"/>
    <x v="107"/>
    <x v="4"/>
    <n v="1"/>
    <n v="166.87"/>
    <n v="0"/>
    <n v="166.87"/>
    <n v="8.34"/>
    <n v="10"/>
    <n v="15"/>
    <n v="200.21"/>
    <n v="15"/>
    <x v="3"/>
  </r>
  <r>
    <s v="O1111"/>
    <s v="22-01-2025"/>
    <x v="208"/>
    <s v="Bulk"/>
    <x v="1"/>
    <x v="1"/>
    <s v="711868"/>
    <s v="Phonepe"/>
    <x v="108"/>
    <x v="108"/>
    <x v="6"/>
    <n v="1"/>
    <n v="134.97"/>
    <n v="20.25"/>
    <n v="114.72"/>
    <n v="5.74"/>
    <n v="30"/>
    <n v="0"/>
    <n v="150.46"/>
    <n v="14"/>
    <x v="2"/>
  </r>
  <r>
    <s v="O1112"/>
    <s v="21-01-2025"/>
    <x v="209"/>
    <s v="Bulk"/>
    <x v="3"/>
    <x v="1"/>
    <s v="411072"/>
    <s v="Netbanking"/>
    <x v="109"/>
    <x v="109"/>
    <x v="7"/>
    <n v="2"/>
    <n v="95.75"/>
    <n v="14.36"/>
    <n v="177.14"/>
    <n v="8.86"/>
    <n v="30"/>
    <n v="0"/>
    <n v="216"/>
    <n v="27"/>
    <x v="3"/>
  </r>
  <r>
    <s v="O1113"/>
    <s v="06-01-2025"/>
    <x v="210"/>
    <s v="Returning"/>
    <x v="4"/>
    <x v="2"/>
    <s v="369670"/>
    <s v="Wallet"/>
    <x v="110"/>
    <x v="110"/>
    <x v="4"/>
    <n v="4"/>
    <n v="121.16"/>
    <n v="12.12"/>
    <n v="472.52"/>
    <n v="23.63"/>
    <n v="20"/>
    <n v="10"/>
    <n v="526.15"/>
    <n v="49"/>
    <x v="6"/>
  </r>
  <r>
    <s v="O1114"/>
    <s v="01-01-2025"/>
    <x v="211"/>
    <s v="Returning"/>
    <x v="4"/>
    <x v="0"/>
    <s v="552333"/>
    <s v="Cod"/>
    <x v="111"/>
    <x v="111"/>
    <x v="5"/>
    <n v="4"/>
    <n v="184.99"/>
    <n v="0"/>
    <n v="739.96"/>
    <n v="37"/>
    <n v="30"/>
    <n v="15"/>
    <n v="821.96"/>
    <n v="19"/>
    <x v="2"/>
  </r>
  <r>
    <s v="O1115"/>
    <s v="05-01-2025"/>
    <x v="212"/>
    <s v="Bulk"/>
    <x v="5"/>
    <x v="2"/>
    <s v="179888"/>
    <s v="Wallet"/>
    <x v="112"/>
    <x v="112"/>
    <x v="5"/>
    <n v="3"/>
    <n v="80.47"/>
    <n v="4.0199999999999996"/>
    <n v="237.39"/>
    <n v="11.87"/>
    <n v="30"/>
    <n v="5"/>
    <n v="284.26"/>
    <n v="23"/>
    <x v="5"/>
  </r>
  <r>
    <s v="O1116"/>
    <s v="10-02-2025"/>
    <x v="213"/>
    <s v="Bulk"/>
    <x v="0"/>
    <x v="1"/>
    <s v="354793"/>
    <s v="Netbanking"/>
    <x v="113"/>
    <x v="113"/>
    <x v="7"/>
    <n v="1"/>
    <n v="158.09"/>
    <n v="23.71"/>
    <n v="134.38"/>
    <n v="6.72"/>
    <n v="20"/>
    <n v="5"/>
    <n v="166.1"/>
    <n v="48"/>
    <x v="6"/>
  </r>
  <r>
    <s v="O1117"/>
    <s v="12-01-2025"/>
    <x v="214"/>
    <s v="Bulk"/>
    <x v="0"/>
    <x v="2"/>
    <s v="658086"/>
    <s v="Netbanking"/>
    <x v="114"/>
    <x v="114"/>
    <x v="0"/>
    <n v="1"/>
    <n v="88.76"/>
    <n v="4.4400000000000004"/>
    <n v="84.320000000000007"/>
    <n v="4.22"/>
    <n v="20"/>
    <n v="0"/>
    <n v="108.54"/>
    <n v="10"/>
    <x v="5"/>
  </r>
  <r>
    <s v="O1118"/>
    <s v="26-01-2025"/>
    <x v="215"/>
    <s v="Bulk"/>
    <x v="0"/>
    <x v="0"/>
    <s v="587947"/>
    <s v="Cod"/>
    <x v="115"/>
    <x v="115"/>
    <x v="7"/>
    <n v="2"/>
    <n v="149.16999999999999"/>
    <n v="22.38"/>
    <n v="275.95999999999998"/>
    <n v="13.8"/>
    <n v="0"/>
    <n v="10"/>
    <n v="299.76"/>
    <n v="24.67"/>
    <x v="5"/>
  </r>
  <r>
    <s v="O1119"/>
    <s v="15-02-2025"/>
    <x v="216"/>
    <s v="New"/>
    <x v="4"/>
    <x v="1"/>
    <s v="254607"/>
    <s v="Gpay"/>
    <x v="116"/>
    <x v="116"/>
    <x v="4"/>
    <n v="1"/>
    <n v="182.12"/>
    <n v="9.11"/>
    <n v="173.01"/>
    <n v="8.65"/>
    <n v="20"/>
    <n v="20"/>
    <n v="221.66"/>
    <n v="12"/>
    <x v="0"/>
  </r>
  <r>
    <s v="O1120"/>
    <s v="03-02-2025"/>
    <x v="217"/>
    <s v="Bulk"/>
    <x v="1"/>
    <x v="1"/>
    <s v="390395"/>
    <s v="Netbanking"/>
    <x v="117"/>
    <x v="117"/>
    <x v="7"/>
    <n v="1"/>
    <n v="71.34"/>
    <n v="7.13"/>
    <n v="64.210000000000008"/>
    <n v="3.21"/>
    <n v="30"/>
    <n v="0"/>
    <n v="97.42"/>
    <n v="17"/>
    <x v="6"/>
  </r>
  <r>
    <s v="O1121"/>
    <s v="18-02-2025"/>
    <x v="218"/>
    <s v="Bulk"/>
    <x v="2"/>
    <x v="1"/>
    <s v="572032"/>
    <s v="Upi"/>
    <x v="118"/>
    <x v="118"/>
    <x v="4"/>
    <n v="4"/>
    <n v="49.52"/>
    <n v="4.95"/>
    <n v="193.13"/>
    <n v="9.66"/>
    <n v="10"/>
    <n v="5"/>
    <n v="217.79"/>
    <n v="32"/>
    <x v="3"/>
  </r>
  <r>
    <s v="O1122"/>
    <s v="14-01-2025"/>
    <x v="219"/>
    <s v="Bulk"/>
    <x v="2"/>
    <x v="0"/>
    <s v="323457"/>
    <s v="Card"/>
    <x v="119"/>
    <x v="119"/>
    <x v="7"/>
    <n v="3"/>
    <n v="123.47"/>
    <n v="0"/>
    <n v="370.41"/>
    <n v="18.52"/>
    <n v="0"/>
    <n v="0"/>
    <n v="388.92999999999989"/>
    <n v="24.67"/>
    <x v="3"/>
  </r>
  <r>
    <s v="O1123"/>
    <s v="26-01-2025"/>
    <x v="220"/>
    <s v="Bulk"/>
    <x v="1"/>
    <x v="2"/>
    <s v="608670"/>
    <s v="Wallet"/>
    <x v="120"/>
    <x v="120"/>
    <x v="0"/>
    <n v="1"/>
    <n v="262.74"/>
    <n v="26.27"/>
    <n v="236.47"/>
    <n v="11.82"/>
    <n v="20"/>
    <n v="15"/>
    <n v="283.29000000000002"/>
    <n v="28"/>
    <x v="5"/>
  </r>
  <r>
    <s v="O1124"/>
    <s v="14-02-2025"/>
    <x v="221"/>
    <s v="Bulk"/>
    <x v="1"/>
    <x v="0"/>
    <s v="839945"/>
    <s v="Gpay"/>
    <x v="121"/>
    <x v="121"/>
    <x v="2"/>
    <n v="2"/>
    <n v="63.62"/>
    <n v="3.18"/>
    <n v="124.06"/>
    <n v="6.2"/>
    <n v="10"/>
    <n v="5"/>
    <n v="145.26"/>
    <n v="36"/>
    <x v="1"/>
  </r>
  <r>
    <s v="O1125"/>
    <s v="27-01-2025"/>
    <x v="222"/>
    <s v="Bulk"/>
    <x v="3"/>
    <x v="0"/>
    <s v="731121"/>
    <s v="Netbanking"/>
    <x v="122"/>
    <x v="122"/>
    <x v="9"/>
    <n v="3"/>
    <n v="15.57"/>
    <n v="0"/>
    <n v="46.71"/>
    <n v="2.34"/>
    <n v="20"/>
    <n v="20"/>
    <n v="89.05"/>
    <n v="31"/>
    <x v="6"/>
  </r>
  <r>
    <s v="O1126"/>
    <s v="09-01-2025"/>
    <x v="223"/>
    <s v="New"/>
    <x v="4"/>
    <x v="2"/>
    <s v="764467"/>
    <s v="Upi"/>
    <x v="123"/>
    <x v="123"/>
    <x v="6"/>
    <n v="2"/>
    <n v="62.87"/>
    <n v="9.43"/>
    <n v="116.31"/>
    <n v="5.82"/>
    <n v="20"/>
    <n v="20"/>
    <n v="162.13"/>
    <n v="20"/>
    <x v="4"/>
  </r>
  <r>
    <s v="O1127"/>
    <s v="26-01-2025"/>
    <x v="224"/>
    <s v="Bulk"/>
    <x v="5"/>
    <x v="1"/>
    <s v="116138"/>
    <s v="Gpay"/>
    <x v="124"/>
    <x v="124"/>
    <x v="2"/>
    <n v="3"/>
    <n v="224.85"/>
    <n v="22.48"/>
    <n v="652.06999999999994"/>
    <n v="32.6"/>
    <n v="30"/>
    <n v="10"/>
    <n v="724.67"/>
    <n v="22"/>
    <x v="5"/>
  </r>
  <r>
    <s v="O1128"/>
    <s v="26-02-2025"/>
    <x v="225"/>
    <s v="Bulk"/>
    <x v="3"/>
    <x v="0"/>
    <s v="178422"/>
    <s v="Upi"/>
    <x v="125"/>
    <x v="125"/>
    <x v="9"/>
    <n v="1"/>
    <n v="155.27000000000001"/>
    <n v="15.53"/>
    <n v="139.74"/>
    <n v="6.99"/>
    <n v="10"/>
    <n v="0"/>
    <n v="156.72999999999999"/>
    <n v="31"/>
    <x v="2"/>
  </r>
  <r>
    <s v="O1129"/>
    <s v="16-02-2025"/>
    <x v="226"/>
    <s v="Bulk"/>
    <x v="0"/>
    <x v="1"/>
    <s v="840970"/>
    <s v="Wallet"/>
    <x v="126"/>
    <x v="126"/>
    <x v="2"/>
    <n v="3"/>
    <n v="63.15"/>
    <n v="9.4700000000000006"/>
    <n v="179.98"/>
    <n v="9"/>
    <n v="10"/>
    <n v="15"/>
    <n v="213.98"/>
    <n v="27"/>
    <x v="5"/>
  </r>
  <r>
    <s v="O1130"/>
    <s v="26-02-2025"/>
    <x v="227"/>
    <s v="Bulk"/>
    <x v="0"/>
    <x v="2"/>
    <s v="938821"/>
    <s v="Gpay"/>
    <x v="127"/>
    <x v="127"/>
    <x v="2"/>
    <n v="2"/>
    <n v="108.09"/>
    <n v="0"/>
    <n v="216.18"/>
    <n v="10.81"/>
    <n v="30"/>
    <n v="0"/>
    <n v="256.99"/>
    <n v="16"/>
    <x v="2"/>
  </r>
  <r>
    <s v="O1131"/>
    <s v="22-01-2025"/>
    <x v="228"/>
    <s v="Bulk"/>
    <x v="3"/>
    <x v="0"/>
    <s v="718119"/>
    <s v="Upi"/>
    <x v="128"/>
    <x v="128"/>
    <x v="9"/>
    <n v="5"/>
    <n v="151.86000000000001"/>
    <n v="0"/>
    <n v="759.30000000000007"/>
    <n v="37.97"/>
    <n v="10"/>
    <n v="0"/>
    <n v="807.2700000000001"/>
    <n v="28"/>
    <x v="2"/>
  </r>
  <r>
    <s v="O1132"/>
    <s v="16-02-2025"/>
    <x v="229"/>
    <s v="Bulk"/>
    <x v="0"/>
    <x v="3"/>
    <s v="246429"/>
    <s v="Upi"/>
    <x v="129"/>
    <x v="129"/>
    <x v="5"/>
    <n v="2"/>
    <n v="137.76"/>
    <n v="20.66"/>
    <n v="254.86"/>
    <n v="12.74"/>
    <n v="10"/>
    <n v="10"/>
    <n v="287.60000000000002"/>
    <n v="28"/>
    <x v="5"/>
  </r>
  <r>
    <s v="O1133"/>
    <s v="25-02-2025"/>
    <x v="230"/>
    <s v="Returning"/>
    <x v="4"/>
    <x v="1"/>
    <s v="341474"/>
    <s v="Gpay"/>
    <x v="130"/>
    <x v="130"/>
    <x v="8"/>
    <n v="1"/>
    <n v="272.94"/>
    <n v="40.94"/>
    <n v="232"/>
    <n v="11.6"/>
    <n v="30"/>
    <n v="5"/>
    <n v="278.60000000000002"/>
    <n v="30"/>
    <x v="3"/>
  </r>
  <r>
    <s v="O1134"/>
    <s v="30-01-2025"/>
    <x v="231"/>
    <s v="Bulk"/>
    <x v="0"/>
    <x v="2"/>
    <s v="628943"/>
    <s v="Cod"/>
    <x v="131"/>
    <x v="131"/>
    <x v="5"/>
    <n v="1"/>
    <n v="172.24"/>
    <n v="17.22"/>
    <n v="155.02000000000001"/>
    <n v="7.75"/>
    <n v="30"/>
    <n v="10"/>
    <n v="202.77"/>
    <n v="34"/>
    <x v="4"/>
  </r>
  <r>
    <s v="O1135"/>
    <s v="12-02-2025"/>
    <x v="232"/>
    <s v="Bulk"/>
    <x v="2"/>
    <x v="0"/>
    <s v="207779"/>
    <s v="Card"/>
    <x v="132"/>
    <x v="132"/>
    <x v="6"/>
    <n v="2"/>
    <n v="136.12"/>
    <n v="20.420000000000002"/>
    <n v="251.82"/>
    <n v="12.59"/>
    <n v="10"/>
    <n v="5"/>
    <n v="279.41000000000003"/>
    <n v="18"/>
    <x v="2"/>
  </r>
  <r>
    <s v="O1136"/>
    <s v="17-02-2025"/>
    <x v="233"/>
    <s v="New"/>
    <x v="4"/>
    <x v="1"/>
    <m/>
    <s v="Cod"/>
    <x v="133"/>
    <x v="133"/>
    <x v="2"/>
    <n v="1"/>
    <n v="115.19"/>
    <n v="17.28"/>
    <n v="97.91"/>
    <n v="4.9000000000000004"/>
    <n v="10"/>
    <n v="15"/>
    <n v="127.81"/>
    <n v="17"/>
    <x v="6"/>
  </r>
  <r>
    <s v="O1137"/>
    <s v="17-01-2025"/>
    <x v="234"/>
    <s v="Bulk"/>
    <x v="2"/>
    <x v="0"/>
    <s v="773166"/>
    <s v="Wallet"/>
    <x v="134"/>
    <x v="134"/>
    <x v="7"/>
    <n v="1"/>
    <n v="129.05000000000001"/>
    <n v="6.45"/>
    <n v="122.6"/>
    <n v="6.13"/>
    <n v="0"/>
    <n v="15"/>
    <n v="143.72999999999999"/>
    <n v="6"/>
    <x v="1"/>
  </r>
  <r>
    <s v="O1138"/>
    <s v="26-01-2025"/>
    <x v="235"/>
    <s v="Bulk"/>
    <x v="1"/>
    <x v="1"/>
    <s v="249725"/>
    <s v="Phonepe"/>
    <x v="135"/>
    <x v="135"/>
    <x v="0"/>
    <n v="4"/>
    <n v="39.6"/>
    <n v="5.94"/>
    <n v="152.46"/>
    <n v="7.62"/>
    <n v="30"/>
    <n v="20"/>
    <n v="210.08"/>
    <n v="29"/>
    <x v="5"/>
  </r>
  <r>
    <s v="O1139"/>
    <s v="05-02-2025"/>
    <x v="236"/>
    <s v="Bulk"/>
    <x v="5"/>
    <x v="1"/>
    <s v="812932"/>
    <s v="Wallet"/>
    <x v="136"/>
    <x v="136"/>
    <x v="0"/>
    <n v="4"/>
    <n v="156.83000000000001"/>
    <n v="15.68"/>
    <n v="611.6400000000001"/>
    <n v="30.58"/>
    <n v="30"/>
    <n v="15"/>
    <n v="687.22000000000014"/>
    <n v="22"/>
    <x v="2"/>
  </r>
  <r>
    <s v="O1140"/>
    <s v="01-01-2025"/>
    <x v="237"/>
    <s v="Bulk"/>
    <x v="2"/>
    <x v="0"/>
    <s v="241002"/>
    <s v="Phonepe"/>
    <x v="137"/>
    <x v="137"/>
    <x v="8"/>
    <n v="2"/>
    <n v="118.71"/>
    <n v="11.87"/>
    <n v="225.55"/>
    <n v="11.28"/>
    <n v="10"/>
    <n v="10"/>
    <n v="256.83"/>
    <n v="24"/>
    <x v="2"/>
  </r>
  <r>
    <s v="O1141"/>
    <s v="08-01-2025"/>
    <x v="238"/>
    <s v="Bulk"/>
    <x v="2"/>
    <x v="2"/>
    <s v="153915"/>
    <s v="Cod"/>
    <x v="138"/>
    <x v="138"/>
    <x v="1"/>
    <n v="1"/>
    <n v="142.16"/>
    <n v="21.32"/>
    <n v="120.84"/>
    <n v="6.04"/>
    <n v="0"/>
    <n v="10"/>
    <n v="136.88"/>
    <n v="20"/>
    <x v="2"/>
  </r>
  <r>
    <s v="O1142"/>
    <s v="18-02-2025"/>
    <x v="239"/>
    <s v="Bulk"/>
    <x v="5"/>
    <x v="0"/>
    <s v="473410"/>
    <s v="Gpay"/>
    <x v="139"/>
    <x v="139"/>
    <x v="3"/>
    <n v="3"/>
    <n v="123.21"/>
    <n v="12.32"/>
    <n v="357.31"/>
    <n v="17.87"/>
    <n v="10"/>
    <n v="20"/>
    <n v="405.18"/>
    <n v="34"/>
    <x v="3"/>
  </r>
  <r>
    <s v="O1143"/>
    <s v="04-02-2025"/>
    <x v="240"/>
    <s v="Bulk"/>
    <x v="2"/>
    <x v="2"/>
    <s v="217996"/>
    <s v="Phonepe"/>
    <x v="140"/>
    <x v="140"/>
    <x v="2"/>
    <n v="1"/>
    <n v="109.47"/>
    <n v="16.420000000000002"/>
    <n v="93.05"/>
    <n v="4.6500000000000004"/>
    <n v="30"/>
    <n v="20"/>
    <n v="147.69999999999999"/>
    <n v="24"/>
    <x v="3"/>
  </r>
  <r>
    <s v="O1144"/>
    <s v="21-02-2025"/>
    <x v="241"/>
    <s v="Bulk"/>
    <x v="1"/>
    <x v="0"/>
    <s v="679844"/>
    <s v="Upi"/>
    <x v="141"/>
    <x v="141"/>
    <x v="2"/>
    <n v="1"/>
    <n v="56.04"/>
    <n v="0"/>
    <n v="56.04"/>
    <n v="2.8"/>
    <n v="30"/>
    <n v="15"/>
    <n v="103.84"/>
    <n v="24.67"/>
    <x v="1"/>
  </r>
  <r>
    <s v="O1145"/>
    <s v="15-01-2025"/>
    <x v="242"/>
    <s v="Bulk"/>
    <x v="5"/>
    <x v="0"/>
    <s v="512774"/>
    <s v="Netbanking"/>
    <x v="142"/>
    <x v="142"/>
    <x v="5"/>
    <n v="4"/>
    <n v="102.06"/>
    <n v="10.210000000000001"/>
    <n v="398.03"/>
    <n v="19.899999999999999"/>
    <n v="20"/>
    <n v="15"/>
    <n v="452.93"/>
    <n v="19"/>
    <x v="2"/>
  </r>
  <r>
    <s v="O1146"/>
    <s v="16-02-2025"/>
    <x v="243"/>
    <s v="Bulk"/>
    <x v="5"/>
    <x v="1"/>
    <s v="588161"/>
    <s v="Gpay"/>
    <x v="143"/>
    <x v="143"/>
    <x v="9"/>
    <n v="2"/>
    <n v="122.39"/>
    <n v="12.24"/>
    <n v="232.54"/>
    <n v="11.63"/>
    <n v="10"/>
    <n v="15"/>
    <n v="269.17"/>
    <n v="24.67"/>
    <x v="5"/>
  </r>
  <r>
    <s v="O1147"/>
    <s v="25-02-2025"/>
    <x v="244"/>
    <s v="Bulk"/>
    <x v="2"/>
    <x v="2"/>
    <s v="671238"/>
    <s v="Phonepe"/>
    <x v="144"/>
    <x v="144"/>
    <x v="6"/>
    <n v="1"/>
    <n v="15.92"/>
    <n v="2.39"/>
    <n v="13.53"/>
    <n v="0.68"/>
    <n v="0"/>
    <n v="10"/>
    <n v="24.21"/>
    <n v="24.67"/>
    <x v="3"/>
  </r>
  <r>
    <s v="O1148"/>
    <s v="22-01-2025"/>
    <x v="245"/>
    <s v="Bulk"/>
    <x v="3"/>
    <x v="2"/>
    <s v="601477"/>
    <s v="Netbanking"/>
    <x v="145"/>
    <x v="145"/>
    <x v="0"/>
    <n v="3"/>
    <n v="70.59"/>
    <n v="0"/>
    <n v="211.77"/>
    <n v="10.59"/>
    <n v="20"/>
    <n v="10"/>
    <n v="252.36"/>
    <n v="25"/>
    <x v="2"/>
  </r>
  <r>
    <s v="O1149"/>
    <s v="14-01-2025"/>
    <x v="246"/>
    <s v="Bulk"/>
    <x v="5"/>
    <x v="0"/>
    <s v="277129"/>
    <s v="Wallet"/>
    <x v="146"/>
    <x v="146"/>
    <x v="9"/>
    <n v="1"/>
    <n v="126.76"/>
    <n v="19.010000000000002"/>
    <n v="107.75"/>
    <n v="5.39"/>
    <n v="30"/>
    <n v="0"/>
    <n v="143.13999999999999"/>
    <n v="33"/>
    <x v="3"/>
  </r>
  <r>
    <s v="O1150"/>
    <s v="26-01-2025"/>
    <x v="247"/>
    <s v="Bulk"/>
    <x v="5"/>
    <x v="2"/>
    <s v="233177"/>
    <s v="Upi"/>
    <x v="147"/>
    <x v="147"/>
    <x v="3"/>
    <n v="1"/>
    <n v="9.8699999999999992"/>
    <n v="0.99"/>
    <n v="8.879999999999999"/>
    <n v="0.44"/>
    <n v="20"/>
    <n v="5"/>
    <n v="34.32"/>
    <n v="25"/>
    <x v="5"/>
  </r>
  <r>
    <s v="O1151"/>
    <s v="28-01-2025"/>
    <x v="248"/>
    <s v="Bulk"/>
    <x v="2"/>
    <x v="0"/>
    <s v="268751"/>
    <s v="Gpay"/>
    <x v="148"/>
    <x v="148"/>
    <x v="7"/>
    <n v="1"/>
    <n v="39.82"/>
    <n v="5.97"/>
    <n v="33.85"/>
    <n v="1.69"/>
    <n v="10"/>
    <n v="5"/>
    <n v="50.54"/>
    <n v="25"/>
    <x v="3"/>
  </r>
  <r>
    <s v="O1152"/>
    <s v="23-01-2025"/>
    <x v="249"/>
    <s v="Bulk"/>
    <x v="0"/>
    <x v="1"/>
    <s v="163079"/>
    <s v="Wallet"/>
    <x v="149"/>
    <x v="149"/>
    <x v="0"/>
    <n v="3"/>
    <n v="67.87"/>
    <n v="3.39"/>
    <n v="200.22"/>
    <n v="10.01"/>
    <n v="20"/>
    <n v="10"/>
    <n v="240.23"/>
    <n v="19"/>
    <x v="4"/>
  </r>
  <r>
    <s v="O1153"/>
    <s v="14-01-2025"/>
    <x v="250"/>
    <s v="Bulk"/>
    <x v="3"/>
    <x v="2"/>
    <s v="949662"/>
    <s v="Upi"/>
    <x v="150"/>
    <x v="150"/>
    <x v="4"/>
    <n v="1"/>
    <n v="104.24"/>
    <n v="0"/>
    <n v="104.24"/>
    <n v="5.21"/>
    <n v="20"/>
    <n v="15"/>
    <n v="144.44999999999999"/>
    <n v="15"/>
    <x v="3"/>
  </r>
  <r>
    <s v="O1154"/>
    <s v="24-01-2025"/>
    <x v="251"/>
    <s v="Bulk"/>
    <x v="3"/>
    <x v="2"/>
    <s v="760501"/>
    <s v="Netbanking"/>
    <x v="151"/>
    <x v="151"/>
    <x v="7"/>
    <n v="3"/>
    <n v="155.19"/>
    <n v="23.28"/>
    <n v="442.29"/>
    <n v="22.11"/>
    <n v="10"/>
    <n v="15"/>
    <n v="489.4"/>
    <n v="21"/>
    <x v="1"/>
  </r>
  <r>
    <s v="O1155"/>
    <s v="02-01-2025"/>
    <x v="252"/>
    <s v="Bulk"/>
    <x v="0"/>
    <x v="0"/>
    <s v="234917"/>
    <s v="Card"/>
    <x v="152"/>
    <x v="152"/>
    <x v="7"/>
    <n v="2"/>
    <n v="120.19"/>
    <n v="6.01"/>
    <n v="234.37"/>
    <n v="11.72"/>
    <n v="20"/>
    <n v="5"/>
    <n v="271.08999999999997"/>
    <n v="37"/>
    <x v="4"/>
  </r>
  <r>
    <s v="O1156"/>
    <s v="14-02-2025"/>
    <x v="253"/>
    <s v="Bulk"/>
    <x v="5"/>
    <x v="0"/>
    <s v="603150"/>
    <s v="Cod"/>
    <x v="153"/>
    <x v="153"/>
    <x v="5"/>
    <n v="2"/>
    <n v="84.35"/>
    <n v="8.44"/>
    <n v="160.26"/>
    <n v="8.01"/>
    <n v="30"/>
    <n v="0"/>
    <n v="198.27"/>
    <n v="26"/>
    <x v="1"/>
  </r>
  <r>
    <s v="O1157"/>
    <s v="26-01-2025"/>
    <x v="254"/>
    <s v="Bulk"/>
    <x v="2"/>
    <x v="0"/>
    <s v="903051"/>
    <s v="Phonepe"/>
    <x v="154"/>
    <x v="154"/>
    <x v="9"/>
    <n v="3"/>
    <n v="124.97"/>
    <n v="0"/>
    <n v="374.91"/>
    <n v="18.75"/>
    <n v="20"/>
    <n v="0"/>
    <n v="413.66"/>
    <n v="17"/>
    <x v="5"/>
  </r>
  <r>
    <s v="O1158"/>
    <s v="14-01-2025"/>
    <x v="255"/>
    <s v="Bulk"/>
    <x v="0"/>
    <x v="2"/>
    <s v="908062"/>
    <s v="Cod"/>
    <x v="155"/>
    <x v="155"/>
    <x v="8"/>
    <n v="1"/>
    <n v="167.22"/>
    <n v="25.08"/>
    <n v="142.13999999999999"/>
    <n v="7.11"/>
    <n v="30"/>
    <n v="10"/>
    <n v="189.25"/>
    <n v="35"/>
    <x v="3"/>
  </r>
  <r>
    <s v="O1159"/>
    <s v="28-02-2025"/>
    <x v="256"/>
    <s v="Bulk"/>
    <x v="2"/>
    <x v="2"/>
    <s v="909216"/>
    <s v="Netbanking"/>
    <x v="156"/>
    <x v="156"/>
    <x v="6"/>
    <n v="3"/>
    <n v="134.41"/>
    <n v="0"/>
    <n v="403.23"/>
    <n v="20.16"/>
    <n v="20"/>
    <n v="15"/>
    <n v="458.39"/>
    <n v="37"/>
    <x v="1"/>
  </r>
  <r>
    <s v="O1160"/>
    <s v="25-02-2025"/>
    <x v="257"/>
    <s v="New"/>
    <x v="4"/>
    <x v="1"/>
    <s v="167359"/>
    <s v="Upi"/>
    <x v="157"/>
    <x v="157"/>
    <x v="3"/>
    <n v="1"/>
    <n v="160.19"/>
    <n v="24.03"/>
    <n v="136.16"/>
    <n v="6.81"/>
    <n v="30"/>
    <n v="15"/>
    <n v="187.97"/>
    <n v="24.67"/>
    <x v="3"/>
  </r>
  <r>
    <s v="O1161"/>
    <s v="20-02-2025"/>
    <x v="258"/>
    <s v="Bulk"/>
    <x v="3"/>
    <x v="2"/>
    <s v="884681"/>
    <s v="Upi"/>
    <x v="158"/>
    <x v="158"/>
    <x v="5"/>
    <n v="2"/>
    <n v="183.61"/>
    <n v="9.18"/>
    <n v="358.04"/>
    <n v="17.899999999999999"/>
    <n v="30"/>
    <n v="15"/>
    <n v="420.94"/>
    <n v="24.67"/>
    <x v="4"/>
  </r>
  <r>
    <s v="O1162"/>
    <s v="07-01-2025"/>
    <x v="259"/>
    <s v="Bulk"/>
    <x v="3"/>
    <x v="1"/>
    <s v="135757"/>
    <s v="Card"/>
    <x v="159"/>
    <x v="159"/>
    <x v="5"/>
    <n v="1"/>
    <n v="110.9"/>
    <n v="5.55"/>
    <n v="105.35"/>
    <n v="5.27"/>
    <n v="10"/>
    <n v="0"/>
    <n v="120.62"/>
    <n v="35"/>
    <x v="3"/>
  </r>
  <r>
    <s v="O1163"/>
    <s v="03-01-2025"/>
    <x v="260"/>
    <s v="Bulk"/>
    <x v="0"/>
    <x v="2"/>
    <s v="421199"/>
    <s v="Upi"/>
    <x v="160"/>
    <x v="160"/>
    <x v="8"/>
    <n v="1"/>
    <n v="63.63"/>
    <n v="6.36"/>
    <n v="57.27"/>
    <n v="2.86"/>
    <n v="20"/>
    <n v="20"/>
    <n v="100.13"/>
    <n v="36"/>
    <x v="1"/>
  </r>
  <r>
    <s v="O1164"/>
    <s v="16-02-2025"/>
    <x v="261"/>
    <s v="Bulk"/>
    <x v="1"/>
    <x v="0"/>
    <s v="129092"/>
    <s v="Netbanking"/>
    <x v="161"/>
    <x v="161"/>
    <x v="9"/>
    <n v="1"/>
    <n v="49.77"/>
    <n v="0"/>
    <n v="49.77"/>
    <n v="2.4900000000000002"/>
    <n v="10"/>
    <n v="15"/>
    <n v="77.260000000000005"/>
    <n v="27"/>
    <x v="5"/>
  </r>
  <r>
    <s v="O1165"/>
    <s v="23-01-2025"/>
    <x v="262"/>
    <s v="Bulk"/>
    <x v="5"/>
    <x v="2"/>
    <s v="172782"/>
    <s v="Card"/>
    <x v="162"/>
    <x v="162"/>
    <x v="5"/>
    <n v="1"/>
    <n v="31.68"/>
    <n v="0"/>
    <n v="31.68"/>
    <n v="1.58"/>
    <n v="0"/>
    <n v="15"/>
    <n v="48.26"/>
    <n v="24.67"/>
    <x v="4"/>
  </r>
  <r>
    <s v="O1166"/>
    <s v="15-02-2025"/>
    <x v="263"/>
    <s v="Returning"/>
    <x v="4"/>
    <x v="0"/>
    <s v="990733"/>
    <s v="Card"/>
    <x v="163"/>
    <x v="163"/>
    <x v="2"/>
    <n v="1"/>
    <n v="89.36"/>
    <n v="4.47"/>
    <n v="84.89"/>
    <n v="4.24"/>
    <n v="10"/>
    <n v="20"/>
    <n v="119.13"/>
    <n v="36"/>
    <x v="0"/>
  </r>
  <r>
    <s v="O1167"/>
    <s v="12-02-2025"/>
    <x v="264"/>
    <s v="Bulk"/>
    <x v="5"/>
    <x v="2"/>
    <s v="724416"/>
    <s v="Gpay"/>
    <x v="164"/>
    <x v="164"/>
    <x v="2"/>
    <n v="1"/>
    <n v="173.22"/>
    <n v="0"/>
    <n v="173.22"/>
    <n v="8.66"/>
    <n v="30"/>
    <n v="5"/>
    <n v="216.88"/>
    <n v="24.67"/>
    <x v="2"/>
  </r>
  <r>
    <s v="O1168"/>
    <s v="16-02-2025"/>
    <x v="265"/>
    <s v="Returning"/>
    <x v="4"/>
    <x v="2"/>
    <s v="923045"/>
    <s v="Card"/>
    <x v="165"/>
    <x v="165"/>
    <x v="2"/>
    <n v="3"/>
    <n v="136.86000000000001"/>
    <n v="0"/>
    <n v="410.58"/>
    <n v="20.53"/>
    <n v="30"/>
    <n v="15"/>
    <n v="476.11"/>
    <n v="19"/>
    <x v="5"/>
  </r>
  <r>
    <s v="O1169"/>
    <s v="01-03-2025"/>
    <x v="266"/>
    <s v="Bulk"/>
    <x v="2"/>
    <x v="0"/>
    <s v="371635"/>
    <s v="Phonepe"/>
    <x v="166"/>
    <x v="166"/>
    <x v="5"/>
    <n v="2"/>
    <n v="131.56"/>
    <n v="6.58"/>
    <n v="256.54000000000002"/>
    <n v="12.83"/>
    <n v="0"/>
    <n v="0"/>
    <n v="269.37"/>
    <n v="24.67"/>
    <x v="0"/>
  </r>
  <r>
    <s v="O1170"/>
    <s v="14-02-2025"/>
    <x v="267"/>
    <s v="New"/>
    <x v="4"/>
    <x v="1"/>
    <s v="362512"/>
    <s v="Gpay"/>
    <x v="167"/>
    <x v="167"/>
    <x v="5"/>
    <n v="7"/>
    <n v="79.87"/>
    <n v="7.99"/>
    <n v="551.1"/>
    <n v="27.56"/>
    <n v="0"/>
    <n v="15"/>
    <n v="593.66"/>
    <n v="22"/>
    <x v="1"/>
  </r>
  <r>
    <s v="O1171"/>
    <s v="18-01-2025"/>
    <x v="268"/>
    <s v="Bulk"/>
    <x v="5"/>
    <x v="2"/>
    <s v="786296"/>
    <s v="Upi"/>
    <x v="168"/>
    <x v="168"/>
    <x v="2"/>
    <n v="5"/>
    <n v="50.94"/>
    <n v="0"/>
    <n v="254.7"/>
    <n v="12.73"/>
    <n v="0"/>
    <n v="0"/>
    <n v="267.43"/>
    <n v="24.67"/>
    <x v="0"/>
  </r>
  <r>
    <s v="O1172"/>
    <s v="27-02-2025"/>
    <x v="269"/>
    <s v="New"/>
    <x v="4"/>
    <x v="2"/>
    <s v="634580"/>
    <s v="Upi"/>
    <x v="169"/>
    <x v="169"/>
    <x v="6"/>
    <n v="3"/>
    <n v="226.95"/>
    <n v="0"/>
    <n v="680.84999999999991"/>
    <n v="34.04"/>
    <n v="30"/>
    <n v="5"/>
    <n v="749.88999999999987"/>
    <n v="24.67"/>
    <x v="4"/>
  </r>
  <r>
    <s v="O1173"/>
    <s v="07-02-2025"/>
    <x v="270"/>
    <s v="Bulk"/>
    <x v="1"/>
    <x v="2"/>
    <s v="811932"/>
    <s v="Cod"/>
    <x v="170"/>
    <x v="170"/>
    <x v="6"/>
    <n v="4"/>
    <n v="69.12"/>
    <n v="3.46"/>
    <n v="273.02"/>
    <n v="13.65"/>
    <n v="20"/>
    <n v="0"/>
    <n v="306.67"/>
    <n v="39"/>
    <x v="1"/>
  </r>
  <r>
    <s v="O1174"/>
    <s v="04-02-2025"/>
    <x v="271"/>
    <s v="Returning"/>
    <x v="4"/>
    <x v="0"/>
    <s v="721747"/>
    <s v="Netbanking"/>
    <x v="171"/>
    <x v="171"/>
    <x v="7"/>
    <n v="2"/>
    <n v="61.13"/>
    <n v="0"/>
    <n v="122.26"/>
    <n v="6.11"/>
    <n v="20"/>
    <n v="15"/>
    <n v="163.37"/>
    <n v="16"/>
    <x v="3"/>
  </r>
  <r>
    <s v="O1175"/>
    <s v="20-02-2025"/>
    <x v="272"/>
    <s v="New"/>
    <x v="4"/>
    <x v="1"/>
    <s v="329171"/>
    <s v="Gpay"/>
    <x v="172"/>
    <x v="172"/>
    <x v="7"/>
    <n v="5"/>
    <n v="149.27000000000001"/>
    <n v="22.39"/>
    <n v="723.96"/>
    <n v="36.200000000000003"/>
    <n v="0"/>
    <n v="10"/>
    <n v="770.16000000000008"/>
    <n v="24.67"/>
    <x v="4"/>
  </r>
  <r>
    <s v="O1176"/>
    <s v="15-01-2025"/>
    <x v="273"/>
    <s v="Bulk"/>
    <x v="5"/>
    <x v="2"/>
    <s v="574551"/>
    <s v="Upi"/>
    <x v="173"/>
    <x v="173"/>
    <x v="9"/>
    <n v="2"/>
    <n v="100.4"/>
    <n v="10.039999999999999"/>
    <n v="190.76"/>
    <n v="9.5399999999999991"/>
    <n v="20"/>
    <n v="5"/>
    <n v="225.3"/>
    <n v="24.67"/>
    <x v="2"/>
  </r>
  <r>
    <s v="O1177"/>
    <s v="25-01-2025"/>
    <x v="274"/>
    <s v="Bulk"/>
    <x v="2"/>
    <x v="1"/>
    <s v="698411"/>
    <s v="Upi"/>
    <x v="174"/>
    <x v="174"/>
    <x v="1"/>
    <n v="6"/>
    <n v="164.01"/>
    <n v="0"/>
    <n v="984.06"/>
    <n v="49.2"/>
    <n v="0"/>
    <n v="15"/>
    <n v="1048.26"/>
    <n v="24.67"/>
    <x v="0"/>
  </r>
  <r>
    <s v="O1178"/>
    <s v="24-02-2025"/>
    <x v="275"/>
    <s v="Bulk"/>
    <x v="1"/>
    <x v="0"/>
    <s v="928396"/>
    <s v="Upi"/>
    <x v="175"/>
    <x v="175"/>
    <x v="2"/>
    <n v="2"/>
    <n v="209.46"/>
    <n v="0"/>
    <n v="418.92"/>
    <n v="20.95"/>
    <n v="20"/>
    <n v="10"/>
    <n v="469.87"/>
    <n v="3"/>
    <x v="6"/>
  </r>
  <r>
    <s v="O1179"/>
    <s v="06-02-2025"/>
    <x v="276"/>
    <s v="Bulk"/>
    <x v="1"/>
    <x v="1"/>
    <s v="741687"/>
    <s v="Gpay"/>
    <x v="176"/>
    <x v="176"/>
    <x v="9"/>
    <n v="7"/>
    <n v="59.12"/>
    <n v="5.91"/>
    <n v="407.92999999999989"/>
    <n v="20.399999999999999"/>
    <n v="30"/>
    <n v="10"/>
    <n v="468.32999999999993"/>
    <n v="18"/>
    <x v="4"/>
  </r>
  <r>
    <s v="O1180"/>
    <s v="28-01-2025"/>
    <x v="277"/>
    <s v="New"/>
    <x v="4"/>
    <x v="2"/>
    <s v="448058"/>
    <s v="Wallet"/>
    <x v="177"/>
    <x v="177"/>
    <x v="6"/>
    <n v="3"/>
    <n v="173.78"/>
    <n v="26.07"/>
    <n v="495.27"/>
    <n v="24.76"/>
    <n v="10"/>
    <n v="10"/>
    <n v="540.03000000000009"/>
    <n v="47"/>
    <x v="3"/>
  </r>
  <r>
    <s v="O1181"/>
    <s v="10-01-2025"/>
    <x v="278"/>
    <s v="Bulk"/>
    <x v="3"/>
    <x v="1"/>
    <s v="635827"/>
    <s v="Wallet"/>
    <x v="178"/>
    <x v="178"/>
    <x v="8"/>
    <n v="1"/>
    <n v="123.68"/>
    <n v="12.37"/>
    <n v="111.31"/>
    <n v="5.57"/>
    <n v="0"/>
    <n v="15"/>
    <n v="131.88"/>
    <n v="48"/>
    <x v="1"/>
  </r>
  <r>
    <s v="O1182"/>
    <s v="08-02-2025"/>
    <x v="279"/>
    <s v="Bulk"/>
    <x v="0"/>
    <x v="1"/>
    <s v="491407"/>
    <s v="Card"/>
    <x v="179"/>
    <x v="179"/>
    <x v="1"/>
    <n v="3"/>
    <n v="164.33"/>
    <n v="0"/>
    <n v="492.99"/>
    <n v="24.65"/>
    <n v="10"/>
    <n v="5"/>
    <n v="532.64"/>
    <n v="32"/>
    <x v="0"/>
  </r>
  <r>
    <s v="O1183"/>
    <s v="26-02-2025"/>
    <x v="280"/>
    <s v="Bulk"/>
    <x v="1"/>
    <x v="1"/>
    <s v="419586"/>
    <s v="Gpay"/>
    <x v="180"/>
    <x v="180"/>
    <x v="7"/>
    <n v="4"/>
    <n v="152"/>
    <n v="22.8"/>
    <n v="585.20000000000005"/>
    <n v="29.26"/>
    <n v="20"/>
    <n v="15"/>
    <n v="649.46"/>
    <n v="15"/>
    <x v="2"/>
  </r>
  <r>
    <s v="O1184"/>
    <s v="17-01-2025"/>
    <x v="281"/>
    <s v="Bulk"/>
    <x v="1"/>
    <x v="0"/>
    <s v="889622"/>
    <s v="Upi"/>
    <x v="181"/>
    <x v="181"/>
    <x v="4"/>
    <n v="3"/>
    <n v="151.31"/>
    <n v="0"/>
    <n v="453.93"/>
    <n v="22.7"/>
    <n v="30"/>
    <n v="20"/>
    <n v="526.63"/>
    <n v="41"/>
    <x v="1"/>
  </r>
  <r>
    <s v="O1185"/>
    <s v="08-02-2025"/>
    <x v="282"/>
    <s v="Bulk"/>
    <x v="3"/>
    <x v="0"/>
    <s v="790778"/>
    <s v="Card"/>
    <x v="182"/>
    <x v="182"/>
    <x v="7"/>
    <n v="3"/>
    <n v="69.48"/>
    <n v="6.95"/>
    <n v="201.49"/>
    <n v="10.07"/>
    <n v="10"/>
    <n v="5"/>
    <n v="226.56"/>
    <n v="26"/>
    <x v="0"/>
  </r>
  <r>
    <s v="O1186"/>
    <s v="22-01-2025"/>
    <x v="283"/>
    <s v="Bulk"/>
    <x v="5"/>
    <x v="0"/>
    <s v="893327"/>
    <s v="Upi"/>
    <x v="183"/>
    <x v="183"/>
    <x v="2"/>
    <n v="1"/>
    <n v="141.54"/>
    <n v="7.08"/>
    <n v="134.46"/>
    <n v="6.72"/>
    <n v="0"/>
    <n v="20"/>
    <n v="161.18"/>
    <n v="24"/>
    <x v="2"/>
  </r>
  <r>
    <s v="O1187"/>
    <s v="26-01-2025"/>
    <x v="284"/>
    <s v="Bulk"/>
    <x v="2"/>
    <x v="1"/>
    <s v="645648"/>
    <s v="Card"/>
    <x v="184"/>
    <x v="184"/>
    <x v="6"/>
    <n v="1"/>
    <n v="168.8"/>
    <n v="0"/>
    <n v="168.8"/>
    <n v="8.44"/>
    <n v="10"/>
    <n v="20"/>
    <n v="207.24"/>
    <n v="24.67"/>
    <x v="5"/>
  </r>
  <r>
    <s v="O1188"/>
    <s v="13-02-2025"/>
    <x v="285"/>
    <s v="Bulk"/>
    <x v="0"/>
    <x v="2"/>
    <s v="401075"/>
    <s v="Wallet"/>
    <x v="185"/>
    <x v="185"/>
    <x v="0"/>
    <n v="2"/>
    <n v="204.55"/>
    <n v="30.68"/>
    <n v="378.42"/>
    <n v="18.920000000000002"/>
    <n v="20"/>
    <n v="0"/>
    <n v="417.34"/>
    <n v="27"/>
    <x v="4"/>
  </r>
  <r>
    <s v="O1189"/>
    <s v="25-01-2025"/>
    <x v="286"/>
    <s v="Returning"/>
    <x v="4"/>
    <x v="2"/>
    <s v="763431"/>
    <s v="Gpay"/>
    <x v="186"/>
    <x v="186"/>
    <x v="0"/>
    <n v="3"/>
    <n v="138.13999999999999"/>
    <n v="6.91"/>
    <n v="407.50999999999988"/>
    <n v="20.38"/>
    <n v="0"/>
    <n v="20"/>
    <n v="447.88999999999987"/>
    <n v="24.67"/>
    <x v="0"/>
  </r>
  <r>
    <s v="O1190"/>
    <s v="17-01-2025"/>
    <x v="287"/>
    <s v="Bulk"/>
    <x v="3"/>
    <x v="1"/>
    <s v="709723"/>
    <s v="Upi"/>
    <x v="187"/>
    <x v="187"/>
    <x v="9"/>
    <n v="3"/>
    <n v="0.86"/>
    <n v="0.09"/>
    <n v="2.4900000000000002"/>
    <n v="0.12"/>
    <n v="10"/>
    <n v="5"/>
    <n v="17.61"/>
    <n v="17"/>
    <x v="1"/>
  </r>
  <r>
    <s v="O1191"/>
    <s v="13-01-2025"/>
    <x v="288"/>
    <s v="Bulk"/>
    <x v="3"/>
    <x v="2"/>
    <s v="872783"/>
    <s v="Card"/>
    <x v="188"/>
    <x v="188"/>
    <x v="0"/>
    <n v="4"/>
    <n v="101.69"/>
    <n v="0"/>
    <n v="406.76"/>
    <n v="20.34"/>
    <n v="30"/>
    <n v="5"/>
    <n v="462.1"/>
    <n v="24.67"/>
    <x v="6"/>
  </r>
  <r>
    <s v="O1192"/>
    <s v="20-01-2025"/>
    <x v="289"/>
    <s v="Bulk"/>
    <x v="3"/>
    <x v="1"/>
    <s v="661669"/>
    <s v="Netbanking"/>
    <x v="189"/>
    <x v="189"/>
    <x v="6"/>
    <n v="5"/>
    <n v="164.62"/>
    <n v="8.23"/>
    <n v="814.87"/>
    <n v="40.74"/>
    <n v="0"/>
    <n v="20"/>
    <n v="875.61"/>
    <n v="22"/>
    <x v="6"/>
  </r>
  <r>
    <s v="O1193"/>
    <s v="25-01-2025"/>
    <x v="290"/>
    <s v="Bulk"/>
    <x v="5"/>
    <x v="2"/>
    <s v="623512"/>
    <s v="Upi"/>
    <x v="190"/>
    <x v="190"/>
    <x v="0"/>
    <n v="2"/>
    <n v="137.35"/>
    <n v="0"/>
    <n v="274.7"/>
    <n v="13.73"/>
    <n v="30"/>
    <n v="20"/>
    <n v="338.43"/>
    <n v="34"/>
    <x v="0"/>
  </r>
  <r>
    <s v="O1194"/>
    <s v="04-01-2025"/>
    <x v="291"/>
    <s v="Bulk"/>
    <x v="3"/>
    <x v="1"/>
    <s v="158453"/>
    <s v="Wallet"/>
    <x v="191"/>
    <x v="191"/>
    <x v="9"/>
    <n v="1"/>
    <n v="73.66"/>
    <n v="3.68"/>
    <n v="69.97999999999999"/>
    <n v="3.5"/>
    <n v="10"/>
    <n v="5"/>
    <n v="88.47999999999999"/>
    <n v="33"/>
    <x v="0"/>
  </r>
  <r>
    <s v="O1195"/>
    <s v="10-01-2025"/>
    <x v="292"/>
    <s v="Bulk"/>
    <x v="0"/>
    <x v="1"/>
    <s v="671386"/>
    <s v="Cod"/>
    <x v="192"/>
    <x v="192"/>
    <x v="8"/>
    <n v="1"/>
    <n v="170.98"/>
    <n v="0"/>
    <n v="170.98"/>
    <n v="8.5500000000000007"/>
    <n v="30"/>
    <n v="0"/>
    <n v="209.53"/>
    <n v="40"/>
    <x v="1"/>
  </r>
  <r>
    <s v="O1196"/>
    <s v="03-01-2025"/>
    <x v="293"/>
    <s v="Bulk"/>
    <x v="5"/>
    <x v="1"/>
    <s v="791898"/>
    <s v="Upi"/>
    <x v="193"/>
    <x v="193"/>
    <x v="5"/>
    <n v="3"/>
    <n v="53.19"/>
    <n v="0"/>
    <n v="159.57"/>
    <n v="7.98"/>
    <n v="10"/>
    <n v="10"/>
    <n v="187.55"/>
    <n v="40"/>
    <x v="1"/>
  </r>
  <r>
    <s v="O1197"/>
    <s v="10-02-2025"/>
    <x v="294"/>
    <s v="Bulk"/>
    <x v="2"/>
    <x v="1"/>
    <s v="663889"/>
    <s v="Upi"/>
    <x v="194"/>
    <x v="194"/>
    <x v="7"/>
    <n v="3"/>
    <n v="161.34"/>
    <n v="8.07"/>
    <n v="475.95"/>
    <n v="23.8"/>
    <n v="20"/>
    <n v="0"/>
    <n v="519.75"/>
    <n v="25"/>
    <x v="6"/>
  </r>
  <r>
    <s v="O1198"/>
    <s v="14-02-2025"/>
    <x v="295"/>
    <s v="Bulk"/>
    <x v="5"/>
    <x v="1"/>
    <s v="241553"/>
    <s v="Gpay"/>
    <x v="195"/>
    <x v="195"/>
    <x v="7"/>
    <n v="2"/>
    <n v="17.420000000000002"/>
    <n v="2.61"/>
    <n v="32.229999999999997"/>
    <n v="1.61"/>
    <n v="0"/>
    <n v="20"/>
    <n v="53.84"/>
    <n v="19"/>
    <x v="1"/>
  </r>
  <r>
    <s v="O1199"/>
    <s v="18-01-2025"/>
    <x v="296"/>
    <s v="Bulk"/>
    <x v="3"/>
    <x v="1"/>
    <s v="832154"/>
    <s v="Gpay"/>
    <x v="196"/>
    <x v="196"/>
    <x v="8"/>
    <n v="4"/>
    <n v="103.38"/>
    <n v="10.34"/>
    <n v="403.18"/>
    <n v="20.16"/>
    <n v="20"/>
    <n v="15"/>
    <n v="458.34"/>
    <n v="26"/>
    <x v="0"/>
  </r>
  <r>
    <s v="O1200"/>
    <s v="16-02-2025"/>
    <x v="297"/>
    <s v="Returning"/>
    <x v="4"/>
    <x v="0"/>
    <s v="907039"/>
    <s v="Wallet"/>
    <x v="197"/>
    <x v="197"/>
    <x v="4"/>
    <n v="2"/>
    <n v="113.09"/>
    <n v="11.31"/>
    <n v="214.87"/>
    <n v="10.74"/>
    <n v="20"/>
    <n v="15"/>
    <n v="260.61"/>
    <n v="21"/>
    <x v="5"/>
  </r>
  <r>
    <s v="O1201"/>
    <s v="05-02-2025"/>
    <x v="0"/>
    <s v="New"/>
    <x v="4"/>
    <x v="2"/>
    <s v="798412"/>
    <s v="Upi"/>
    <x v="0"/>
    <x v="0"/>
    <x v="5"/>
    <n v="3"/>
    <n v="127.79"/>
    <n v="6.39"/>
    <n v="376.98"/>
    <n v="18.850000000000001"/>
    <n v="0"/>
    <n v="20"/>
    <n v="415.83"/>
    <n v="43"/>
    <x v="2"/>
  </r>
  <r>
    <s v="O1202"/>
    <s v="16-02-2025"/>
    <x v="1"/>
    <s v="Bulk"/>
    <x v="3"/>
    <x v="1"/>
    <s v="380752"/>
    <s v="Card"/>
    <x v="1"/>
    <x v="1"/>
    <x v="7"/>
    <n v="2"/>
    <n v="73.989999999999995"/>
    <n v="11.1"/>
    <n v="136.88"/>
    <n v="6.84"/>
    <n v="30"/>
    <n v="10"/>
    <n v="183.72"/>
    <n v="25"/>
    <x v="5"/>
  </r>
  <r>
    <s v="O1203"/>
    <s v="22-01-2025"/>
    <x v="298"/>
    <s v="Bulk"/>
    <x v="2"/>
    <x v="0"/>
    <s v="489821"/>
    <s v="Upi"/>
    <x v="198"/>
    <x v="198"/>
    <x v="2"/>
    <n v="4"/>
    <n v="191.44"/>
    <n v="9.57"/>
    <n v="756.18999999999994"/>
    <n v="37.81"/>
    <n v="10"/>
    <n v="10"/>
    <n v="814"/>
    <n v="27"/>
    <x v="2"/>
  </r>
  <r>
    <s v="O1204"/>
    <s v="03-02-2025"/>
    <x v="299"/>
    <s v="New"/>
    <x v="4"/>
    <x v="1"/>
    <s v="619911"/>
    <s v="Upi"/>
    <x v="199"/>
    <x v="199"/>
    <x v="5"/>
    <n v="3"/>
    <n v="195.1"/>
    <n v="19.510000000000002"/>
    <n v="565.79"/>
    <n v="28.29"/>
    <n v="20"/>
    <n v="5"/>
    <n v="619.07999999999993"/>
    <n v="32"/>
    <x v="6"/>
  </r>
  <r>
    <s v="O1205"/>
    <s v="16-02-2025"/>
    <x v="2"/>
    <s v="Bulk"/>
    <x v="5"/>
    <x v="2"/>
    <s v="172178"/>
    <s v="Gpay"/>
    <x v="2"/>
    <x v="2"/>
    <x v="6"/>
    <n v="6"/>
    <n v="135.71"/>
    <n v="6.79"/>
    <n v="807.47"/>
    <n v="40.369999999999997"/>
    <n v="10"/>
    <n v="15"/>
    <n v="872.84"/>
    <n v="20"/>
    <x v="5"/>
  </r>
  <r>
    <s v="O1206"/>
    <s v="08-01-2025"/>
    <x v="3"/>
    <s v="Bulk"/>
    <x v="3"/>
    <x v="1"/>
    <s v="613223"/>
    <s v="Gpay"/>
    <x v="3"/>
    <x v="3"/>
    <x v="9"/>
    <n v="8"/>
    <n v="143.91"/>
    <n v="7.2"/>
    <n v="1144.08"/>
    <n v="57.2"/>
    <n v="20"/>
    <n v="15"/>
    <n v="1236.28"/>
    <n v="24"/>
    <x v="2"/>
  </r>
  <r>
    <s v="O1207"/>
    <s v="09-02-2025"/>
    <x v="4"/>
    <s v="Bulk"/>
    <x v="2"/>
    <x v="0"/>
    <s v="241707"/>
    <s v="Card"/>
    <x v="4"/>
    <x v="4"/>
    <x v="8"/>
    <n v="2"/>
    <n v="14.79"/>
    <n v="2.2200000000000002"/>
    <n v="27.36"/>
    <n v="1.37"/>
    <n v="20"/>
    <n v="0"/>
    <n v="48.73"/>
    <n v="41"/>
    <x v="5"/>
  </r>
  <r>
    <s v="O1208"/>
    <s v="18-02-2025"/>
    <x v="5"/>
    <s v="Bulk"/>
    <x v="5"/>
    <x v="0"/>
    <s v="832288"/>
    <s v="Gpay"/>
    <x v="5"/>
    <x v="5"/>
    <x v="9"/>
    <n v="1"/>
    <n v="130.24"/>
    <n v="13.02"/>
    <n v="117.22"/>
    <n v="5.86"/>
    <n v="10"/>
    <n v="5"/>
    <n v="138.08000000000001"/>
    <n v="24.67"/>
    <x v="3"/>
  </r>
  <r>
    <s v="O1209"/>
    <s v="13-02-2025"/>
    <x v="6"/>
    <s v="Bulk"/>
    <x v="5"/>
    <x v="2"/>
    <s v="145591"/>
    <s v="Gpay"/>
    <x v="6"/>
    <x v="6"/>
    <x v="0"/>
    <n v="2"/>
    <n v="56.19"/>
    <n v="8.43"/>
    <n v="103.95"/>
    <n v="5.2"/>
    <n v="20"/>
    <n v="0"/>
    <n v="129.15"/>
    <n v="3"/>
    <x v="4"/>
  </r>
  <r>
    <s v="O1210"/>
    <s v="19-01-2025"/>
    <x v="7"/>
    <s v="Bulk"/>
    <x v="3"/>
    <x v="2"/>
    <s v="477721"/>
    <s v="Phonepe"/>
    <x v="7"/>
    <x v="7"/>
    <x v="1"/>
    <n v="1"/>
    <n v="103.73"/>
    <n v="5.19"/>
    <n v="98.54"/>
    <n v="4.93"/>
    <n v="30"/>
    <n v="15"/>
    <n v="148.47"/>
    <n v="18"/>
    <x v="5"/>
  </r>
  <r>
    <s v="O1211"/>
    <s v="11-02-2025"/>
    <x v="8"/>
    <s v="Bulk"/>
    <x v="0"/>
    <x v="0"/>
    <s v="528472"/>
    <s v="Netbanking"/>
    <x v="8"/>
    <x v="8"/>
    <x v="9"/>
    <n v="4"/>
    <n v="43.39"/>
    <n v="4.34"/>
    <n v="169.22"/>
    <n v="8.4600000000000009"/>
    <n v="10"/>
    <n v="10"/>
    <n v="197.68"/>
    <n v="34"/>
    <x v="3"/>
  </r>
  <r>
    <s v="O1212"/>
    <s v="10-02-2025"/>
    <x v="9"/>
    <s v="Bulk"/>
    <x v="1"/>
    <x v="0"/>
    <s v="865598"/>
    <s v="Upi"/>
    <x v="9"/>
    <x v="9"/>
    <x v="6"/>
    <n v="1"/>
    <n v="41.69"/>
    <n v="0"/>
    <n v="41.69"/>
    <n v="2.08"/>
    <n v="30"/>
    <n v="0"/>
    <n v="73.77"/>
    <n v="28"/>
    <x v="6"/>
  </r>
  <r>
    <s v="O1213"/>
    <s v="06-02-2025"/>
    <x v="10"/>
    <s v="Bulk"/>
    <x v="5"/>
    <x v="2"/>
    <s v="581153"/>
    <s v="Phonepe"/>
    <x v="10"/>
    <x v="10"/>
    <x v="7"/>
    <n v="3"/>
    <n v="141.93"/>
    <n v="21.29"/>
    <n v="404.5"/>
    <n v="20.23"/>
    <n v="20"/>
    <n v="0"/>
    <n v="444.73"/>
    <n v="34"/>
    <x v="4"/>
  </r>
  <r>
    <s v="O1214"/>
    <s v="06-01-2025"/>
    <x v="11"/>
    <s v="Bulk"/>
    <x v="0"/>
    <x v="3"/>
    <s v="437766"/>
    <s v="Card"/>
    <x v="11"/>
    <x v="11"/>
    <x v="9"/>
    <n v="3"/>
    <n v="32.96"/>
    <n v="3.3"/>
    <n v="95.58"/>
    <n v="4.78"/>
    <n v="30"/>
    <n v="20"/>
    <n v="150.36000000000001"/>
    <n v="24.67"/>
    <x v="6"/>
  </r>
  <r>
    <s v="O1215"/>
    <s v="21-02-2025"/>
    <x v="12"/>
    <s v="Bulk"/>
    <x v="2"/>
    <x v="2"/>
    <s v="246836"/>
    <s v="Wallet"/>
    <x v="12"/>
    <x v="12"/>
    <x v="7"/>
    <n v="1"/>
    <n v="255.79"/>
    <n v="38.369999999999997"/>
    <n v="217.42"/>
    <n v="10.87"/>
    <n v="30"/>
    <n v="0"/>
    <n v="258.29000000000002"/>
    <n v="31"/>
    <x v="1"/>
  </r>
  <r>
    <s v="O1216"/>
    <s v="26-01-2025"/>
    <x v="13"/>
    <s v="Bulk"/>
    <x v="3"/>
    <x v="0"/>
    <s v="185501"/>
    <s v="Upi"/>
    <x v="13"/>
    <x v="13"/>
    <x v="0"/>
    <n v="3"/>
    <n v="182.03"/>
    <n v="9.1"/>
    <n v="536.99"/>
    <n v="26.85"/>
    <n v="20"/>
    <n v="5"/>
    <n v="588.84"/>
    <n v="20"/>
    <x v="5"/>
  </r>
  <r>
    <s v="O1217"/>
    <s v="03-02-2025"/>
    <x v="14"/>
    <s v="Bulk"/>
    <x v="0"/>
    <x v="2"/>
    <s v="640997"/>
    <s v="Upi"/>
    <x v="14"/>
    <x v="14"/>
    <x v="0"/>
    <n v="2"/>
    <n v="74.97"/>
    <n v="11.25"/>
    <n v="138.69"/>
    <n v="6.93"/>
    <n v="0"/>
    <n v="15"/>
    <n v="160.62"/>
    <n v="23"/>
    <x v="6"/>
  </r>
  <r>
    <s v="O1218"/>
    <s v="28-02-2025"/>
    <x v="15"/>
    <s v="Bulk"/>
    <x v="3"/>
    <x v="2"/>
    <s v="269746"/>
    <s v="Netbanking"/>
    <x v="15"/>
    <x v="15"/>
    <x v="2"/>
    <n v="2"/>
    <n v="76.59"/>
    <n v="7.66"/>
    <n v="145.52000000000001"/>
    <n v="7.28"/>
    <n v="10"/>
    <n v="10"/>
    <n v="172.8"/>
    <n v="24"/>
    <x v="1"/>
  </r>
  <r>
    <s v="O1219"/>
    <s v="25-02-2025"/>
    <x v="16"/>
    <s v="Bulk"/>
    <x v="3"/>
    <x v="1"/>
    <s v="334622"/>
    <s v="Upi"/>
    <x v="16"/>
    <x v="16"/>
    <x v="1"/>
    <n v="3"/>
    <n v="125.04"/>
    <n v="6.25"/>
    <n v="368.87"/>
    <n v="18.440000000000001"/>
    <n v="30"/>
    <n v="20"/>
    <n v="437.31"/>
    <n v="16"/>
    <x v="3"/>
  </r>
  <r>
    <s v="O1220"/>
    <s v="28-02-2025"/>
    <x v="17"/>
    <s v="Bulk"/>
    <x v="5"/>
    <x v="2"/>
    <s v="837371"/>
    <s v="Upi"/>
    <x v="17"/>
    <x v="17"/>
    <x v="5"/>
    <n v="2"/>
    <n v="51.13"/>
    <n v="7.67"/>
    <n v="94.59"/>
    <n v="4.7300000000000004"/>
    <n v="0"/>
    <n v="10"/>
    <n v="109.32"/>
    <n v="32"/>
    <x v="1"/>
  </r>
  <r>
    <s v="O1221"/>
    <s v="14-02-2025"/>
    <x v="18"/>
    <s v="Bulk"/>
    <x v="1"/>
    <x v="1"/>
    <s v="184433"/>
    <s v="Cod"/>
    <x v="18"/>
    <x v="18"/>
    <x v="7"/>
    <n v="1"/>
    <n v="187.04"/>
    <n v="9.35"/>
    <n v="177.69"/>
    <n v="8.8800000000000008"/>
    <n v="10"/>
    <n v="5"/>
    <n v="201.57"/>
    <n v="24"/>
    <x v="1"/>
  </r>
  <r>
    <s v="O1222"/>
    <s v="06-01-2025"/>
    <x v="19"/>
    <s v="Bulk"/>
    <x v="0"/>
    <x v="0"/>
    <s v="264437"/>
    <s v="Upi"/>
    <x v="19"/>
    <x v="19"/>
    <x v="2"/>
    <n v="3"/>
    <n v="157.72999999999999"/>
    <n v="23.66"/>
    <n v="449.52999999999992"/>
    <n v="22.48"/>
    <n v="30"/>
    <n v="15"/>
    <n v="517.01"/>
    <n v="21"/>
    <x v="6"/>
  </r>
  <r>
    <s v="O1223"/>
    <s v="06-02-2025"/>
    <x v="20"/>
    <s v="New"/>
    <x v="4"/>
    <x v="2"/>
    <s v="346476"/>
    <s v="Upi"/>
    <x v="20"/>
    <x v="20"/>
    <x v="8"/>
    <n v="1"/>
    <n v="219.49"/>
    <n v="32.92"/>
    <n v="186.57"/>
    <n v="9.33"/>
    <n v="20"/>
    <n v="10"/>
    <n v="225.9"/>
    <n v="20"/>
    <x v="4"/>
  </r>
  <r>
    <s v="O1224"/>
    <s v="26-02-2025"/>
    <x v="21"/>
    <s v="Bulk"/>
    <x v="5"/>
    <x v="1"/>
    <s v="525910"/>
    <s v="Wallet"/>
    <x v="21"/>
    <x v="21"/>
    <x v="0"/>
    <n v="1"/>
    <n v="42.99"/>
    <n v="2.15"/>
    <n v="40.840000000000003"/>
    <n v="2.04"/>
    <n v="10"/>
    <n v="20"/>
    <n v="72.88"/>
    <n v="37"/>
    <x v="2"/>
  </r>
  <r>
    <s v="O1225"/>
    <s v="02-02-2025"/>
    <x v="22"/>
    <s v="Bulk"/>
    <x v="3"/>
    <x v="0"/>
    <s v="855027"/>
    <s v="Netbanking"/>
    <x v="22"/>
    <x v="22"/>
    <x v="5"/>
    <n v="1"/>
    <n v="242.03"/>
    <n v="24.2"/>
    <n v="217.83"/>
    <n v="10.89"/>
    <n v="0"/>
    <n v="20"/>
    <n v="248.72"/>
    <n v="29"/>
    <x v="5"/>
  </r>
  <r>
    <s v="O1226"/>
    <s v="22-02-2025"/>
    <x v="23"/>
    <s v="Bulk"/>
    <x v="3"/>
    <x v="2"/>
    <s v="603256"/>
    <s v="Upi"/>
    <x v="23"/>
    <x v="23"/>
    <x v="5"/>
    <n v="3"/>
    <n v="160.01"/>
    <n v="0"/>
    <n v="480.03"/>
    <n v="24"/>
    <n v="20"/>
    <n v="0"/>
    <n v="524.03"/>
    <n v="23"/>
    <x v="0"/>
  </r>
  <r>
    <s v="O1227"/>
    <s v="22-01-2025"/>
    <x v="24"/>
    <s v="Bulk"/>
    <x v="0"/>
    <x v="0"/>
    <s v="733389"/>
    <s v="Wallet"/>
    <x v="24"/>
    <x v="24"/>
    <x v="5"/>
    <n v="4"/>
    <n v="135.22"/>
    <n v="13.52"/>
    <n v="527.36"/>
    <n v="26.37"/>
    <n v="10"/>
    <n v="20"/>
    <n v="583.73"/>
    <n v="27"/>
    <x v="2"/>
  </r>
  <r>
    <s v="O1228"/>
    <s v="21-01-2025"/>
    <x v="25"/>
    <s v="Bulk"/>
    <x v="1"/>
    <x v="2"/>
    <s v="665836"/>
    <s v="Upi"/>
    <x v="25"/>
    <x v="25"/>
    <x v="5"/>
    <n v="1"/>
    <n v="195.69"/>
    <n v="29.35"/>
    <n v="166.34"/>
    <n v="8.32"/>
    <n v="0"/>
    <n v="20"/>
    <n v="194.66"/>
    <n v="15"/>
    <x v="3"/>
  </r>
  <r>
    <s v="O1229"/>
    <s v="06-01-2025"/>
    <x v="26"/>
    <s v="Bulk"/>
    <x v="1"/>
    <x v="1"/>
    <s v="912002"/>
    <s v="Wallet"/>
    <x v="26"/>
    <x v="26"/>
    <x v="3"/>
    <n v="2"/>
    <n v="206.33"/>
    <n v="20.63"/>
    <n v="392.03"/>
    <n v="19.600000000000001"/>
    <n v="0"/>
    <n v="10"/>
    <n v="421.63000000000011"/>
    <n v="34"/>
    <x v="6"/>
  </r>
  <r>
    <s v="O1230"/>
    <s v="06-01-2025"/>
    <x v="27"/>
    <s v="New"/>
    <x v="4"/>
    <x v="2"/>
    <s v="378187"/>
    <s v="Upi"/>
    <x v="27"/>
    <x v="27"/>
    <x v="5"/>
    <n v="6"/>
    <n v="84.85"/>
    <n v="4.24"/>
    <n v="504.86"/>
    <n v="25.24"/>
    <n v="10"/>
    <n v="10"/>
    <n v="550.09999999999991"/>
    <n v="24.67"/>
    <x v="6"/>
  </r>
  <r>
    <s v="O1231"/>
    <s v="24-02-2025"/>
    <x v="28"/>
    <s v="Bulk"/>
    <x v="1"/>
    <x v="1"/>
    <s v="758772"/>
    <s v="Cod"/>
    <x v="28"/>
    <x v="28"/>
    <x v="1"/>
    <n v="2"/>
    <n v="128.97"/>
    <n v="6.45"/>
    <n v="251.49"/>
    <n v="12.57"/>
    <n v="0"/>
    <n v="20"/>
    <n v="284.06"/>
    <n v="32"/>
    <x v="6"/>
  </r>
  <r>
    <s v="O1232"/>
    <s v="17-02-2025"/>
    <x v="29"/>
    <s v="New"/>
    <x v="4"/>
    <x v="0"/>
    <m/>
    <s v="Phonepe"/>
    <x v="29"/>
    <x v="29"/>
    <x v="2"/>
    <n v="1"/>
    <n v="193.79"/>
    <n v="0"/>
    <n v="193.79"/>
    <n v="9.69"/>
    <n v="0"/>
    <n v="20"/>
    <n v="223.48"/>
    <n v="24.67"/>
    <x v="6"/>
  </r>
  <r>
    <s v="O1233"/>
    <s v="04-01-2025"/>
    <x v="30"/>
    <s v="Bulk"/>
    <x v="0"/>
    <x v="2"/>
    <s v="300919"/>
    <s v="Cod"/>
    <x v="30"/>
    <x v="30"/>
    <x v="2"/>
    <n v="1"/>
    <n v="243.73"/>
    <n v="12.19"/>
    <n v="231.54"/>
    <n v="11.58"/>
    <n v="0"/>
    <n v="15"/>
    <n v="258.12"/>
    <n v="26"/>
    <x v="0"/>
  </r>
  <r>
    <s v="O1234"/>
    <s v="30-01-2025"/>
    <x v="31"/>
    <s v="Bulk"/>
    <x v="5"/>
    <x v="1"/>
    <s v="871257"/>
    <s v="Cod"/>
    <x v="31"/>
    <x v="31"/>
    <x v="5"/>
    <n v="1"/>
    <n v="82"/>
    <n v="12.3"/>
    <n v="69.7"/>
    <n v="3.49"/>
    <n v="0"/>
    <n v="0"/>
    <n v="73.19"/>
    <n v="30"/>
    <x v="4"/>
  </r>
  <r>
    <s v="O1235"/>
    <s v="11-01-2025"/>
    <x v="32"/>
    <s v="Bulk"/>
    <x v="3"/>
    <x v="0"/>
    <s v="988407"/>
    <s v="Gpay"/>
    <x v="32"/>
    <x v="32"/>
    <x v="7"/>
    <n v="1"/>
    <n v="128.51"/>
    <n v="12.85"/>
    <n v="115.66"/>
    <n v="5.78"/>
    <n v="20"/>
    <n v="0"/>
    <n v="141.44"/>
    <n v="27"/>
    <x v="0"/>
  </r>
  <r>
    <s v="O1236"/>
    <s v="30-01-2025"/>
    <x v="33"/>
    <s v="Bulk"/>
    <x v="3"/>
    <x v="1"/>
    <s v="263543"/>
    <s v="Card"/>
    <x v="33"/>
    <x v="33"/>
    <x v="3"/>
    <n v="1"/>
    <n v="26.36"/>
    <n v="1.32"/>
    <n v="25.04"/>
    <n v="1.25"/>
    <n v="30"/>
    <n v="5"/>
    <n v="61.29"/>
    <n v="24.67"/>
    <x v="4"/>
  </r>
  <r>
    <s v="O1237"/>
    <s v="31-01-2025"/>
    <x v="34"/>
    <s v="Bulk"/>
    <x v="3"/>
    <x v="0"/>
    <s v="899458"/>
    <s v="Gpay"/>
    <x v="34"/>
    <x v="34"/>
    <x v="7"/>
    <n v="6"/>
    <n v="106.51"/>
    <n v="15.98"/>
    <n v="623.08000000000004"/>
    <n v="31.15"/>
    <n v="10"/>
    <n v="15"/>
    <n v="679.23"/>
    <n v="24.67"/>
    <x v="1"/>
  </r>
  <r>
    <s v="O1238"/>
    <s v="24-01-2025"/>
    <x v="35"/>
    <s v="Bulk"/>
    <x v="3"/>
    <x v="2"/>
    <s v="945753"/>
    <s v="Gpay"/>
    <x v="35"/>
    <x v="35"/>
    <x v="9"/>
    <n v="1"/>
    <n v="199.25"/>
    <n v="0"/>
    <n v="199.25"/>
    <n v="9.9600000000000009"/>
    <n v="0"/>
    <n v="20"/>
    <n v="229.21"/>
    <n v="26"/>
    <x v="1"/>
  </r>
  <r>
    <s v="O1239"/>
    <s v="24-02-2025"/>
    <x v="36"/>
    <s v="Bulk"/>
    <x v="0"/>
    <x v="1"/>
    <s v="793539"/>
    <s v="Wallet"/>
    <x v="36"/>
    <x v="36"/>
    <x v="5"/>
    <n v="4"/>
    <n v="177.48"/>
    <n v="0"/>
    <n v="709.92"/>
    <n v="35.5"/>
    <n v="20"/>
    <n v="5"/>
    <n v="770.42"/>
    <n v="20"/>
    <x v="6"/>
  </r>
  <r>
    <s v="O1240"/>
    <s v="09-01-2025"/>
    <x v="37"/>
    <s v="Bulk"/>
    <x v="0"/>
    <x v="2"/>
    <m/>
    <s v="Upi"/>
    <x v="37"/>
    <x v="37"/>
    <x v="6"/>
    <n v="6"/>
    <n v="143.91"/>
    <n v="0"/>
    <n v="863.46"/>
    <n v="43.17"/>
    <n v="30"/>
    <n v="0"/>
    <n v="936.63"/>
    <n v="16"/>
    <x v="4"/>
  </r>
  <r>
    <s v="O1241"/>
    <s v="24-02-2025"/>
    <x v="38"/>
    <s v="Bulk"/>
    <x v="5"/>
    <x v="0"/>
    <s v="136069"/>
    <s v="Upi"/>
    <x v="38"/>
    <x v="38"/>
    <x v="2"/>
    <n v="7"/>
    <n v="66.760000000000005"/>
    <n v="3.34"/>
    <n v="463.98000000000008"/>
    <n v="23.2"/>
    <n v="10"/>
    <n v="0"/>
    <n v="497.18000000000012"/>
    <n v="23"/>
    <x v="6"/>
  </r>
  <r>
    <s v="O1242"/>
    <s v="03-01-2025"/>
    <x v="39"/>
    <s v="Returning"/>
    <x v="4"/>
    <x v="2"/>
    <s v="805591"/>
    <s v="Card"/>
    <x v="39"/>
    <x v="39"/>
    <x v="9"/>
    <n v="1"/>
    <n v="150.80000000000001"/>
    <n v="7.54"/>
    <n v="143.26"/>
    <n v="7.16"/>
    <n v="10"/>
    <n v="15"/>
    <n v="175.42"/>
    <n v="11"/>
    <x v="1"/>
  </r>
  <r>
    <s v="O1243"/>
    <s v="20-02-2025"/>
    <x v="40"/>
    <s v="Bulk"/>
    <x v="2"/>
    <x v="2"/>
    <s v="735960"/>
    <s v="Wallet"/>
    <x v="40"/>
    <x v="40"/>
    <x v="2"/>
    <n v="1"/>
    <n v="26.47"/>
    <n v="2.65"/>
    <n v="23.82"/>
    <n v="1.19"/>
    <n v="20"/>
    <n v="20"/>
    <n v="65.010000000000005"/>
    <n v="16"/>
    <x v="4"/>
  </r>
  <r>
    <s v="O1244"/>
    <s v="31-01-2025"/>
    <x v="41"/>
    <s v="Bulk"/>
    <x v="0"/>
    <x v="0"/>
    <s v="993441"/>
    <s v="Upi"/>
    <x v="41"/>
    <x v="41"/>
    <x v="2"/>
    <n v="4"/>
    <n v="95.95"/>
    <n v="9.6"/>
    <n v="374.2"/>
    <n v="18.71"/>
    <n v="30"/>
    <n v="20"/>
    <n v="442.91"/>
    <n v="24.67"/>
    <x v="1"/>
  </r>
  <r>
    <s v="O1245"/>
    <s v="09-02-2025"/>
    <x v="42"/>
    <s v="Returning"/>
    <x v="4"/>
    <x v="1"/>
    <s v="610790"/>
    <s v="Upi"/>
    <x v="42"/>
    <x v="42"/>
    <x v="5"/>
    <n v="4"/>
    <n v="91.99"/>
    <n v="4.5999999999999996"/>
    <n v="363.36"/>
    <n v="18.170000000000002"/>
    <n v="20"/>
    <n v="0"/>
    <n v="401.53"/>
    <n v="10"/>
    <x v="5"/>
  </r>
  <r>
    <s v="O1246"/>
    <s v="06-02-2025"/>
    <x v="43"/>
    <s v="Returning"/>
    <x v="4"/>
    <x v="0"/>
    <s v="135282"/>
    <s v="Upi"/>
    <x v="43"/>
    <x v="43"/>
    <x v="0"/>
    <n v="1"/>
    <n v="95.95"/>
    <n v="9.6"/>
    <n v="86.350000000000009"/>
    <n v="4.32"/>
    <n v="0"/>
    <n v="0"/>
    <n v="90.670000000000016"/>
    <n v="4"/>
    <x v="4"/>
  </r>
  <r>
    <s v="O1247"/>
    <s v="05-02-2025"/>
    <x v="44"/>
    <s v="Bulk"/>
    <x v="2"/>
    <x v="2"/>
    <s v="495412"/>
    <s v="Gpay"/>
    <x v="44"/>
    <x v="44"/>
    <x v="6"/>
    <n v="4"/>
    <n v="195.15"/>
    <n v="19.52"/>
    <n v="761.08"/>
    <n v="38.049999999999997"/>
    <n v="10"/>
    <n v="0"/>
    <n v="809.13"/>
    <n v="17"/>
    <x v="2"/>
  </r>
  <r>
    <s v="O1248"/>
    <s v="24-01-2025"/>
    <x v="45"/>
    <s v="Bulk"/>
    <x v="0"/>
    <x v="0"/>
    <m/>
    <s v="Upi"/>
    <x v="45"/>
    <x v="45"/>
    <x v="4"/>
    <n v="1"/>
    <n v="190.16"/>
    <n v="9.51"/>
    <n v="180.65"/>
    <n v="9.0299999999999994"/>
    <n v="10"/>
    <n v="0"/>
    <n v="199.68"/>
    <n v="24.67"/>
    <x v="1"/>
  </r>
  <r>
    <s v="O1249"/>
    <s v="31-01-2025"/>
    <x v="46"/>
    <s v="Bulk"/>
    <x v="0"/>
    <x v="0"/>
    <s v="144484"/>
    <s v="Gpay"/>
    <x v="46"/>
    <x v="46"/>
    <x v="4"/>
    <n v="5"/>
    <n v="91.98"/>
    <n v="0"/>
    <n v="459.9"/>
    <n v="23"/>
    <n v="0"/>
    <n v="10"/>
    <n v="492.9"/>
    <n v="35"/>
    <x v="1"/>
  </r>
  <r>
    <s v="O1250"/>
    <s v="06-01-2025"/>
    <x v="47"/>
    <s v="Bulk"/>
    <x v="5"/>
    <x v="0"/>
    <s v="217399"/>
    <s v="Card"/>
    <x v="47"/>
    <x v="47"/>
    <x v="1"/>
    <n v="1"/>
    <n v="236.38"/>
    <n v="23.64"/>
    <n v="212.74"/>
    <n v="10.64"/>
    <n v="30"/>
    <n v="5"/>
    <n v="258.38"/>
    <n v="24.67"/>
    <x v="6"/>
  </r>
  <r>
    <s v="O1251"/>
    <s v="02-01-2025"/>
    <x v="48"/>
    <s v="Bulk"/>
    <x v="0"/>
    <x v="1"/>
    <s v="723538"/>
    <s v="Upi"/>
    <x v="48"/>
    <x v="48"/>
    <x v="6"/>
    <n v="5"/>
    <n v="154.46"/>
    <n v="23.17"/>
    <n v="749.13000000000011"/>
    <n v="37.46"/>
    <n v="30"/>
    <n v="15"/>
    <n v="831.59000000000015"/>
    <n v="24.67"/>
    <x v="4"/>
  </r>
  <r>
    <s v="O1252"/>
    <s v="20-01-2025"/>
    <x v="49"/>
    <s v="Returning"/>
    <x v="4"/>
    <x v="1"/>
    <s v="148825"/>
    <s v="Netbanking"/>
    <x v="49"/>
    <x v="49"/>
    <x v="5"/>
    <n v="2"/>
    <n v="120.79"/>
    <n v="6.04"/>
    <n v="235.54"/>
    <n v="11.78"/>
    <n v="20"/>
    <n v="5"/>
    <n v="272.32000000000011"/>
    <n v="21"/>
    <x v="6"/>
  </r>
  <r>
    <s v="O1253"/>
    <s v="28-01-2025"/>
    <x v="50"/>
    <s v="Bulk"/>
    <x v="0"/>
    <x v="2"/>
    <s v="496474"/>
    <s v="Phonepe"/>
    <x v="50"/>
    <x v="50"/>
    <x v="2"/>
    <n v="1"/>
    <n v="72.95"/>
    <n v="10.94"/>
    <n v="62.010000000000012"/>
    <n v="3.1"/>
    <n v="0"/>
    <n v="0"/>
    <n v="65.11"/>
    <n v="17"/>
    <x v="3"/>
  </r>
  <r>
    <s v="O1254"/>
    <s v="11-01-2025"/>
    <x v="51"/>
    <s v="Returning"/>
    <x v="4"/>
    <x v="1"/>
    <s v="902207"/>
    <s v="Netbanking"/>
    <x v="51"/>
    <x v="51"/>
    <x v="4"/>
    <n v="3"/>
    <n v="98.01"/>
    <n v="9.8000000000000007"/>
    <n v="284.23"/>
    <n v="14.21"/>
    <n v="0"/>
    <n v="15"/>
    <n v="313.44"/>
    <n v="38"/>
    <x v="0"/>
  </r>
  <r>
    <s v="O1255"/>
    <s v="04-01-2025"/>
    <x v="52"/>
    <s v="Bulk"/>
    <x v="1"/>
    <x v="2"/>
    <s v="788233"/>
    <s v="Upi"/>
    <x v="52"/>
    <x v="52"/>
    <x v="1"/>
    <n v="6"/>
    <n v="144.94999999999999"/>
    <n v="7.25"/>
    <n v="862.44999999999993"/>
    <n v="43.12"/>
    <n v="20"/>
    <n v="10"/>
    <n v="935.56999999999994"/>
    <n v="37"/>
    <x v="0"/>
  </r>
  <r>
    <s v="O1256"/>
    <s v="15-01-2025"/>
    <x v="53"/>
    <s v="Bulk"/>
    <x v="3"/>
    <x v="1"/>
    <s v="133734"/>
    <s v="Upi"/>
    <x v="53"/>
    <x v="53"/>
    <x v="0"/>
    <n v="1"/>
    <n v="155.9"/>
    <n v="23.39"/>
    <n v="132.51"/>
    <n v="6.63"/>
    <n v="30"/>
    <n v="0"/>
    <n v="169.14"/>
    <n v="7"/>
    <x v="2"/>
  </r>
  <r>
    <s v="O1257"/>
    <s v="06-01-2025"/>
    <x v="54"/>
    <s v="New"/>
    <x v="4"/>
    <x v="1"/>
    <s v="423923"/>
    <s v="Wallet"/>
    <x v="54"/>
    <x v="54"/>
    <x v="7"/>
    <n v="1"/>
    <n v="64.91"/>
    <n v="0"/>
    <n v="64.91"/>
    <n v="3.25"/>
    <n v="10"/>
    <n v="10"/>
    <n v="88.16"/>
    <n v="28"/>
    <x v="6"/>
  </r>
  <r>
    <s v="O1258"/>
    <s v="23-02-2025"/>
    <x v="55"/>
    <s v="Bulk"/>
    <x v="3"/>
    <x v="0"/>
    <s v="641228"/>
    <s v="Wallet"/>
    <x v="55"/>
    <x v="55"/>
    <x v="1"/>
    <n v="3"/>
    <n v="240.82"/>
    <n v="0"/>
    <n v="722.46"/>
    <n v="36.119999999999997"/>
    <n v="20"/>
    <n v="5"/>
    <n v="783.58"/>
    <n v="30"/>
    <x v="5"/>
  </r>
  <r>
    <s v="O1259"/>
    <s v="18-02-2025"/>
    <x v="56"/>
    <s v="Bulk"/>
    <x v="2"/>
    <x v="0"/>
    <s v="643910"/>
    <s v="Wallet"/>
    <x v="56"/>
    <x v="56"/>
    <x v="3"/>
    <n v="2"/>
    <n v="101.24"/>
    <n v="5.0599999999999996"/>
    <n v="197.42"/>
    <n v="9.8699999999999992"/>
    <n v="10"/>
    <n v="5"/>
    <n v="222.29"/>
    <n v="20"/>
    <x v="3"/>
  </r>
  <r>
    <s v="O1260"/>
    <s v="30-01-2025"/>
    <x v="57"/>
    <s v="Bulk"/>
    <x v="0"/>
    <x v="1"/>
    <m/>
    <s v="Cod"/>
    <x v="57"/>
    <x v="57"/>
    <x v="7"/>
    <n v="2"/>
    <n v="70.709999999999994"/>
    <n v="7.07"/>
    <n v="134.35"/>
    <n v="6.72"/>
    <n v="30"/>
    <n v="10"/>
    <n v="181.07"/>
    <n v="23"/>
    <x v="4"/>
  </r>
  <r>
    <s v="O1261"/>
    <s v="25-02-2025"/>
    <x v="58"/>
    <s v="Bulk"/>
    <x v="2"/>
    <x v="2"/>
    <s v="601072"/>
    <s v="Card"/>
    <x v="58"/>
    <x v="58"/>
    <x v="5"/>
    <n v="2"/>
    <n v="23.19"/>
    <n v="3.48"/>
    <n v="42.900000000000013"/>
    <n v="2.15"/>
    <n v="10"/>
    <n v="0"/>
    <n v="55.05"/>
    <n v="22"/>
    <x v="3"/>
  </r>
  <r>
    <s v="O1262"/>
    <s v="07-02-2025"/>
    <x v="59"/>
    <s v="Returning"/>
    <x v="4"/>
    <x v="2"/>
    <s v="535132"/>
    <s v="Upi"/>
    <x v="59"/>
    <x v="59"/>
    <x v="0"/>
    <n v="5"/>
    <n v="203.98"/>
    <n v="20.399999999999999"/>
    <n v="999.5"/>
    <n v="49.98"/>
    <n v="30"/>
    <n v="20"/>
    <n v="1099.48"/>
    <n v="28"/>
    <x v="1"/>
  </r>
  <r>
    <s v="O1263"/>
    <s v="20-02-2025"/>
    <x v="60"/>
    <s v="Bulk"/>
    <x v="2"/>
    <x v="2"/>
    <s v="553112"/>
    <s v="Upi"/>
    <x v="60"/>
    <x v="60"/>
    <x v="4"/>
    <n v="5"/>
    <n v="129.41"/>
    <n v="6.47"/>
    <n v="640.57999999999993"/>
    <n v="32.03"/>
    <n v="20"/>
    <n v="10"/>
    <n v="702.6099999999999"/>
    <n v="9"/>
    <x v="4"/>
  </r>
  <r>
    <s v="O1264"/>
    <s v="26-02-2025"/>
    <x v="61"/>
    <s v="Bulk"/>
    <x v="1"/>
    <x v="1"/>
    <s v="856355"/>
    <s v="Cod"/>
    <x v="61"/>
    <x v="61"/>
    <x v="6"/>
    <n v="2"/>
    <n v="51.72"/>
    <n v="5.17"/>
    <n v="98.27"/>
    <n v="4.91"/>
    <n v="30"/>
    <n v="20"/>
    <n v="153.18"/>
    <n v="24.67"/>
    <x v="2"/>
  </r>
  <r>
    <s v="O1265"/>
    <s v="02-01-2025"/>
    <x v="62"/>
    <s v="Bulk"/>
    <x v="2"/>
    <x v="1"/>
    <s v="476826"/>
    <s v="Cod"/>
    <x v="62"/>
    <x v="62"/>
    <x v="1"/>
    <n v="2"/>
    <n v="68.23"/>
    <n v="10.23"/>
    <n v="126.23"/>
    <n v="6.31"/>
    <n v="20"/>
    <n v="5"/>
    <n v="157.54"/>
    <n v="30"/>
    <x v="4"/>
  </r>
  <r>
    <s v="O1266"/>
    <s v="15-01-2025"/>
    <x v="63"/>
    <s v="Bulk"/>
    <x v="5"/>
    <x v="2"/>
    <s v="217752"/>
    <s v="Netbanking"/>
    <x v="63"/>
    <x v="63"/>
    <x v="9"/>
    <n v="1"/>
    <n v="109.04"/>
    <n v="0"/>
    <n v="109.04"/>
    <n v="5.45"/>
    <n v="10"/>
    <n v="10"/>
    <n v="134.49"/>
    <n v="26"/>
    <x v="2"/>
  </r>
  <r>
    <s v="O1267"/>
    <s v="11-01-2025"/>
    <x v="64"/>
    <s v="Bulk"/>
    <x v="0"/>
    <x v="2"/>
    <s v="315432"/>
    <s v="Gpay"/>
    <x v="64"/>
    <x v="64"/>
    <x v="1"/>
    <n v="1"/>
    <n v="146.82"/>
    <n v="0"/>
    <n v="146.82"/>
    <n v="7.34"/>
    <n v="30"/>
    <n v="5"/>
    <n v="189.16"/>
    <n v="31"/>
    <x v="0"/>
  </r>
  <r>
    <s v="O1268"/>
    <s v="08-01-2025"/>
    <x v="65"/>
    <s v="Returning"/>
    <x v="4"/>
    <x v="2"/>
    <s v="565448"/>
    <s v="Phonepe"/>
    <x v="65"/>
    <x v="65"/>
    <x v="6"/>
    <n v="1"/>
    <n v="78.16"/>
    <n v="0"/>
    <n v="78.16"/>
    <n v="3.91"/>
    <n v="0"/>
    <n v="0"/>
    <n v="82.07"/>
    <n v="24.67"/>
    <x v="2"/>
  </r>
  <r>
    <s v="O1269"/>
    <s v="26-01-2025"/>
    <x v="66"/>
    <s v="Bulk"/>
    <x v="1"/>
    <x v="1"/>
    <s v="617400"/>
    <s v="Phonepe"/>
    <x v="66"/>
    <x v="66"/>
    <x v="9"/>
    <n v="1"/>
    <n v="139.5"/>
    <n v="0"/>
    <n v="139.5"/>
    <n v="6.98"/>
    <n v="20"/>
    <n v="5"/>
    <n v="171.48"/>
    <n v="24.67"/>
    <x v="5"/>
  </r>
  <r>
    <s v="O1270"/>
    <s v="20-02-2025"/>
    <x v="67"/>
    <s v="New"/>
    <x v="4"/>
    <x v="2"/>
    <s v="104677"/>
    <s v="Upi"/>
    <x v="67"/>
    <x v="67"/>
    <x v="6"/>
    <n v="2"/>
    <n v="94.6"/>
    <n v="14.19"/>
    <n v="175.01"/>
    <n v="8.75"/>
    <n v="30"/>
    <n v="20"/>
    <n v="233.76"/>
    <n v="17"/>
    <x v="4"/>
  </r>
  <r>
    <s v="O1271"/>
    <s v="14-02-2025"/>
    <x v="68"/>
    <s v="Bulk"/>
    <x v="0"/>
    <x v="1"/>
    <s v="580675"/>
    <s v="Gpay"/>
    <x v="68"/>
    <x v="68"/>
    <x v="6"/>
    <n v="2"/>
    <n v="253.44"/>
    <n v="25.34"/>
    <n v="481.54"/>
    <n v="24.08"/>
    <n v="20"/>
    <n v="10"/>
    <n v="535.62"/>
    <n v="41"/>
    <x v="1"/>
  </r>
  <r>
    <s v="O1272"/>
    <s v="13-02-2025"/>
    <x v="69"/>
    <s v="Bulk"/>
    <x v="2"/>
    <x v="0"/>
    <s v="717423"/>
    <s v="Upi"/>
    <x v="69"/>
    <x v="69"/>
    <x v="6"/>
    <n v="1"/>
    <n v="161.21"/>
    <n v="16.12"/>
    <n v="145.09"/>
    <n v="7.25"/>
    <n v="30"/>
    <n v="15"/>
    <n v="197.34"/>
    <n v="14"/>
    <x v="4"/>
  </r>
  <r>
    <s v="O1273"/>
    <s v="05-01-2025"/>
    <x v="70"/>
    <s v="Bulk"/>
    <x v="0"/>
    <x v="2"/>
    <s v="302268"/>
    <s v="Cod"/>
    <x v="70"/>
    <x v="70"/>
    <x v="1"/>
    <n v="3"/>
    <n v="94.25"/>
    <n v="4.71"/>
    <n v="278.04000000000002"/>
    <n v="13.9"/>
    <n v="30"/>
    <n v="0"/>
    <n v="321.94"/>
    <n v="28"/>
    <x v="5"/>
  </r>
  <r>
    <s v="O1274"/>
    <s v="06-01-2025"/>
    <x v="71"/>
    <s v="Bulk"/>
    <x v="5"/>
    <x v="2"/>
    <s v="975584"/>
    <s v="Upi"/>
    <x v="71"/>
    <x v="71"/>
    <x v="6"/>
    <n v="4"/>
    <n v="18.03"/>
    <n v="1.8"/>
    <n v="70.320000000000007"/>
    <n v="3.52"/>
    <n v="20"/>
    <n v="15"/>
    <n v="108.84"/>
    <n v="22"/>
    <x v="6"/>
  </r>
  <r>
    <s v="O1275"/>
    <s v="26-01-2025"/>
    <x v="72"/>
    <s v="Bulk"/>
    <x v="5"/>
    <x v="1"/>
    <s v="181238"/>
    <s v="Upi"/>
    <x v="72"/>
    <x v="72"/>
    <x v="0"/>
    <n v="1"/>
    <n v="27.52"/>
    <n v="2.75"/>
    <n v="24.77"/>
    <n v="1.24"/>
    <n v="10"/>
    <n v="20"/>
    <n v="56.01"/>
    <n v="31"/>
    <x v="5"/>
  </r>
  <r>
    <s v="O1276"/>
    <s v="23-02-2025"/>
    <x v="73"/>
    <s v="Bulk"/>
    <x v="3"/>
    <x v="2"/>
    <s v="928681"/>
    <s v="Cod"/>
    <x v="73"/>
    <x v="73"/>
    <x v="7"/>
    <n v="3"/>
    <n v="189.74"/>
    <n v="18.97"/>
    <n v="550.25"/>
    <n v="27.51"/>
    <n v="0"/>
    <n v="10"/>
    <n v="587.76"/>
    <n v="24.67"/>
    <x v="5"/>
  </r>
  <r>
    <s v="O1277"/>
    <s v="04-01-2025"/>
    <x v="74"/>
    <s v="Bulk"/>
    <x v="1"/>
    <x v="2"/>
    <s v="198843"/>
    <s v="Gpay"/>
    <x v="74"/>
    <x v="74"/>
    <x v="6"/>
    <n v="1"/>
    <n v="23.71"/>
    <n v="3.56"/>
    <n v="20.149999999999999"/>
    <n v="1.01"/>
    <n v="10"/>
    <n v="10"/>
    <n v="41.16"/>
    <n v="13"/>
    <x v="0"/>
  </r>
  <r>
    <s v="O1278"/>
    <s v="19-01-2025"/>
    <x v="75"/>
    <s v="Bulk"/>
    <x v="0"/>
    <x v="1"/>
    <s v="574768"/>
    <s v="Phonepe"/>
    <x v="75"/>
    <x v="75"/>
    <x v="5"/>
    <n v="4"/>
    <n v="117.22"/>
    <n v="17.579999999999998"/>
    <n v="451.3"/>
    <n v="22.57"/>
    <n v="0"/>
    <n v="15"/>
    <n v="488.87"/>
    <n v="26"/>
    <x v="5"/>
  </r>
  <r>
    <s v="O1279"/>
    <s v="20-01-2025"/>
    <x v="76"/>
    <s v="Bulk"/>
    <x v="3"/>
    <x v="0"/>
    <s v="155612"/>
    <s v="Wallet"/>
    <x v="76"/>
    <x v="76"/>
    <x v="6"/>
    <n v="1"/>
    <n v="122.51"/>
    <n v="12.25"/>
    <n v="110.26"/>
    <n v="5.51"/>
    <n v="0"/>
    <n v="5"/>
    <n v="120.77"/>
    <n v="10"/>
    <x v="6"/>
  </r>
  <r>
    <s v="O1280"/>
    <s v="02-02-2025"/>
    <x v="77"/>
    <s v="Bulk"/>
    <x v="5"/>
    <x v="2"/>
    <s v="737384"/>
    <s v="Gpay"/>
    <x v="77"/>
    <x v="77"/>
    <x v="4"/>
    <n v="5"/>
    <n v="201.79"/>
    <n v="0"/>
    <n v="1008.95"/>
    <n v="50.45"/>
    <n v="0"/>
    <n v="5"/>
    <n v="1064.4000000000001"/>
    <n v="21"/>
    <x v="5"/>
  </r>
  <r>
    <s v="O1281"/>
    <s v="20-01-2025"/>
    <x v="78"/>
    <s v="Returning"/>
    <x v="4"/>
    <x v="2"/>
    <s v="800975"/>
    <s v="Upi"/>
    <x v="78"/>
    <x v="78"/>
    <x v="4"/>
    <n v="1"/>
    <n v="71.12"/>
    <n v="3.56"/>
    <n v="67.56"/>
    <n v="3.38"/>
    <n v="30"/>
    <n v="0"/>
    <n v="100.94"/>
    <n v="26"/>
    <x v="6"/>
  </r>
  <r>
    <s v="O1282"/>
    <s v="18-02-2025"/>
    <x v="79"/>
    <s v="Bulk"/>
    <x v="5"/>
    <x v="1"/>
    <s v="401411"/>
    <s v="Phonepe"/>
    <x v="79"/>
    <x v="79"/>
    <x v="6"/>
    <n v="2"/>
    <n v="54.23"/>
    <n v="8.1300000000000008"/>
    <n v="100.33"/>
    <n v="5.0199999999999996"/>
    <n v="30"/>
    <n v="15"/>
    <n v="150.35"/>
    <n v="24"/>
    <x v="3"/>
  </r>
  <r>
    <s v="O1283"/>
    <s v="12-01-2025"/>
    <x v="80"/>
    <s v="Bulk"/>
    <x v="5"/>
    <x v="0"/>
    <s v="100801"/>
    <s v="Wallet"/>
    <x v="80"/>
    <x v="80"/>
    <x v="0"/>
    <n v="2"/>
    <n v="231.2"/>
    <n v="0"/>
    <n v="462.4"/>
    <n v="23.12"/>
    <n v="20"/>
    <n v="5"/>
    <n v="510.52"/>
    <n v="24.67"/>
    <x v="5"/>
  </r>
  <r>
    <s v="O1284"/>
    <s v="16-02-2025"/>
    <x v="81"/>
    <s v="Bulk"/>
    <x v="3"/>
    <x v="3"/>
    <s v="261792"/>
    <s v="Wallet"/>
    <x v="81"/>
    <x v="81"/>
    <x v="0"/>
    <n v="4"/>
    <n v="86.57"/>
    <n v="8.66"/>
    <n v="337.61999999999989"/>
    <n v="16.88"/>
    <n v="20"/>
    <n v="5"/>
    <n v="379.49999999999989"/>
    <n v="14"/>
    <x v="5"/>
  </r>
  <r>
    <s v="O1285"/>
    <s v="01-01-2025"/>
    <x v="82"/>
    <s v="Bulk"/>
    <x v="5"/>
    <x v="1"/>
    <m/>
    <s v="Wallet"/>
    <x v="82"/>
    <x v="82"/>
    <x v="5"/>
    <n v="3"/>
    <n v="161.19999999999999"/>
    <n v="8.06"/>
    <n v="475.54"/>
    <n v="23.78"/>
    <n v="10"/>
    <n v="5"/>
    <n v="514.31999999999994"/>
    <n v="23"/>
    <x v="2"/>
  </r>
  <r>
    <s v="O1286"/>
    <s v="26-01-2025"/>
    <x v="83"/>
    <s v="Bulk"/>
    <x v="5"/>
    <x v="2"/>
    <s v="277476"/>
    <s v="Upi"/>
    <x v="83"/>
    <x v="83"/>
    <x v="6"/>
    <n v="4"/>
    <n v="121.39"/>
    <n v="0"/>
    <n v="485.56"/>
    <n v="24.28"/>
    <n v="30"/>
    <n v="0"/>
    <n v="539.84"/>
    <n v="24.67"/>
    <x v="5"/>
  </r>
  <r>
    <s v="O1287"/>
    <s v="14-01-2025"/>
    <x v="84"/>
    <s v="Bulk"/>
    <x v="2"/>
    <x v="1"/>
    <s v="765491"/>
    <s v="Upi"/>
    <x v="84"/>
    <x v="84"/>
    <x v="9"/>
    <n v="2"/>
    <n v="58.19"/>
    <n v="2.91"/>
    <n v="113.47"/>
    <n v="5.67"/>
    <n v="30"/>
    <n v="0"/>
    <n v="149.13999999999999"/>
    <n v="12"/>
    <x v="3"/>
  </r>
  <r>
    <s v="O1288"/>
    <s v="07-02-2025"/>
    <x v="85"/>
    <s v="Returning"/>
    <x v="4"/>
    <x v="2"/>
    <s v="656357"/>
    <s v="Phonepe"/>
    <x v="85"/>
    <x v="85"/>
    <x v="0"/>
    <n v="4"/>
    <n v="40.159999999999997"/>
    <n v="2.0099999999999998"/>
    <n v="158.63"/>
    <n v="7.93"/>
    <n v="20"/>
    <n v="20"/>
    <n v="206.56"/>
    <n v="3"/>
    <x v="1"/>
  </r>
  <r>
    <s v="O1289"/>
    <s v="06-02-2025"/>
    <x v="86"/>
    <s v="Bulk"/>
    <x v="3"/>
    <x v="1"/>
    <s v="218104"/>
    <s v="Phonepe"/>
    <x v="86"/>
    <x v="86"/>
    <x v="1"/>
    <n v="5"/>
    <n v="31.41"/>
    <n v="4.71"/>
    <n v="152.34"/>
    <n v="7.62"/>
    <n v="0"/>
    <n v="5"/>
    <n v="164.96"/>
    <n v="12"/>
    <x v="4"/>
  </r>
  <r>
    <s v="O1290"/>
    <s v="11-01-2025"/>
    <x v="87"/>
    <s v="Bulk"/>
    <x v="1"/>
    <x v="0"/>
    <s v="145784"/>
    <s v="Wallet"/>
    <x v="87"/>
    <x v="87"/>
    <x v="1"/>
    <n v="1"/>
    <n v="6.43"/>
    <n v="0.64"/>
    <n v="5.79"/>
    <n v="0.28999999999999998"/>
    <n v="0"/>
    <n v="20"/>
    <n v="26.08"/>
    <n v="24.67"/>
    <x v="0"/>
  </r>
  <r>
    <s v="O1291"/>
    <s v="05-02-2025"/>
    <x v="88"/>
    <s v="Bulk"/>
    <x v="5"/>
    <x v="0"/>
    <s v="355564"/>
    <s v="Wallet"/>
    <x v="88"/>
    <x v="88"/>
    <x v="1"/>
    <n v="3"/>
    <n v="138.33000000000001"/>
    <n v="0"/>
    <n v="414.99"/>
    <n v="20.75"/>
    <n v="20"/>
    <n v="15"/>
    <n v="470.74"/>
    <n v="12"/>
    <x v="2"/>
  </r>
  <r>
    <s v="O1292"/>
    <s v="13-01-2025"/>
    <x v="89"/>
    <s v="Bulk"/>
    <x v="3"/>
    <x v="0"/>
    <s v="104922"/>
    <s v="Upi"/>
    <x v="89"/>
    <x v="89"/>
    <x v="7"/>
    <n v="1"/>
    <n v="120.38"/>
    <n v="6.02"/>
    <n v="114.36"/>
    <n v="5.72"/>
    <n v="30"/>
    <n v="0"/>
    <n v="150.08000000000001"/>
    <n v="12"/>
    <x v="6"/>
  </r>
  <r>
    <s v="O1293"/>
    <s v="12-02-2025"/>
    <x v="90"/>
    <s v="Bulk"/>
    <x v="5"/>
    <x v="1"/>
    <s v="250453"/>
    <s v="Netbanking"/>
    <x v="90"/>
    <x v="90"/>
    <x v="5"/>
    <n v="1"/>
    <n v="39.950000000000003"/>
    <n v="5.99"/>
    <n v="33.96"/>
    <n v="1.7"/>
    <n v="0"/>
    <n v="15"/>
    <n v="50.66"/>
    <n v="22"/>
    <x v="2"/>
  </r>
  <r>
    <s v="O1294"/>
    <s v="03-01-2025"/>
    <x v="91"/>
    <s v="Bulk"/>
    <x v="3"/>
    <x v="2"/>
    <s v="107086"/>
    <s v="Upi"/>
    <x v="91"/>
    <x v="91"/>
    <x v="0"/>
    <n v="1"/>
    <n v="172.57"/>
    <n v="8.6300000000000008"/>
    <n v="163.94"/>
    <n v="8.1999999999999993"/>
    <n v="20"/>
    <n v="20"/>
    <n v="212.14"/>
    <n v="36"/>
    <x v="1"/>
  </r>
  <r>
    <s v="O1295"/>
    <s v="02-02-2025"/>
    <x v="92"/>
    <s v="Bulk"/>
    <x v="3"/>
    <x v="2"/>
    <s v="863210"/>
    <s v="Gpay"/>
    <x v="92"/>
    <x v="92"/>
    <x v="9"/>
    <n v="3"/>
    <n v="61.21"/>
    <n v="6.12"/>
    <n v="177.51"/>
    <n v="8.8800000000000008"/>
    <n v="30"/>
    <n v="5"/>
    <n v="221.39"/>
    <n v="21"/>
    <x v="5"/>
  </r>
  <r>
    <s v="O1296"/>
    <s v="06-01-2025"/>
    <x v="93"/>
    <s v="New"/>
    <x v="4"/>
    <x v="0"/>
    <s v="884403"/>
    <s v="Gpay"/>
    <x v="93"/>
    <x v="93"/>
    <x v="3"/>
    <n v="4"/>
    <n v="114.54"/>
    <n v="11.45"/>
    <n v="446.71"/>
    <n v="22.34"/>
    <n v="10"/>
    <n v="0"/>
    <n v="479.05"/>
    <n v="24.67"/>
    <x v="6"/>
  </r>
  <r>
    <s v="O1297"/>
    <s v="19-02-2025"/>
    <x v="94"/>
    <s v="Bulk"/>
    <x v="3"/>
    <x v="2"/>
    <s v="717752"/>
    <s v="Card"/>
    <x v="94"/>
    <x v="94"/>
    <x v="4"/>
    <n v="2"/>
    <n v="24.37"/>
    <n v="0"/>
    <n v="48.74"/>
    <n v="2.44"/>
    <n v="20"/>
    <n v="5"/>
    <n v="76.180000000000007"/>
    <n v="26"/>
    <x v="2"/>
  </r>
  <r>
    <s v="O1298"/>
    <s v="25-02-2025"/>
    <x v="95"/>
    <s v="Bulk"/>
    <x v="1"/>
    <x v="2"/>
    <s v="354174"/>
    <s v="Upi"/>
    <x v="95"/>
    <x v="95"/>
    <x v="5"/>
    <n v="5"/>
    <n v="78.84"/>
    <n v="11.83"/>
    <n v="382.37000000000012"/>
    <n v="19.12"/>
    <n v="10"/>
    <n v="5"/>
    <n v="416.49000000000012"/>
    <n v="18"/>
    <x v="3"/>
  </r>
  <r>
    <s v="O1299"/>
    <s v="10-01-2025"/>
    <x v="96"/>
    <s v="Returning"/>
    <x v="4"/>
    <x v="0"/>
    <s v="195696"/>
    <s v="Phonepe"/>
    <x v="96"/>
    <x v="96"/>
    <x v="8"/>
    <n v="4"/>
    <n v="165.63"/>
    <n v="8.2799999999999994"/>
    <n v="654.24"/>
    <n v="32.71"/>
    <n v="0"/>
    <n v="0"/>
    <n v="686.95"/>
    <n v="24.67"/>
    <x v="1"/>
  </r>
  <r>
    <s v="O1300"/>
    <s v="05-01-2025"/>
    <x v="97"/>
    <s v="Returning"/>
    <x v="4"/>
    <x v="0"/>
    <s v="770397"/>
    <s v="Cod"/>
    <x v="97"/>
    <x v="97"/>
    <x v="5"/>
    <n v="4"/>
    <n v="81.64"/>
    <n v="8.16"/>
    <n v="318.39999999999998"/>
    <n v="15.92"/>
    <n v="20"/>
    <n v="20"/>
    <n v="374.32"/>
    <n v="24.67"/>
    <x v="5"/>
  </r>
  <r>
    <s v="O1301"/>
    <s v="23-01-2025"/>
    <x v="98"/>
    <s v="New"/>
    <x v="4"/>
    <x v="1"/>
    <s v="991907"/>
    <s v="Wallet"/>
    <x v="98"/>
    <x v="98"/>
    <x v="5"/>
    <n v="1"/>
    <n v="211.39"/>
    <n v="0"/>
    <n v="211.39"/>
    <n v="10.57"/>
    <n v="0"/>
    <n v="20"/>
    <n v="241.96"/>
    <n v="24.67"/>
    <x v="4"/>
  </r>
  <r>
    <s v="O1302"/>
    <s v="10-01-2025"/>
    <x v="99"/>
    <s v="Bulk"/>
    <x v="0"/>
    <x v="2"/>
    <s v="312826"/>
    <s v="Upi"/>
    <x v="99"/>
    <x v="99"/>
    <x v="2"/>
    <n v="3"/>
    <n v="165.99"/>
    <n v="0"/>
    <n v="497.97"/>
    <n v="24.9"/>
    <n v="10"/>
    <n v="20"/>
    <n v="552.87"/>
    <n v="27"/>
    <x v="1"/>
  </r>
  <r>
    <s v="O1303"/>
    <s v="13-02-2025"/>
    <x v="100"/>
    <s v="Bulk"/>
    <x v="2"/>
    <x v="2"/>
    <s v="581930"/>
    <s v="Upi"/>
    <x v="100"/>
    <x v="100"/>
    <x v="5"/>
    <n v="3"/>
    <n v="139.19999999999999"/>
    <n v="6.96"/>
    <n v="410.64"/>
    <n v="20.53"/>
    <n v="20"/>
    <n v="10"/>
    <n v="461.17"/>
    <n v="24.67"/>
    <x v="4"/>
  </r>
  <r>
    <s v="O1304"/>
    <s v="02-01-2025"/>
    <x v="101"/>
    <s v="Bulk"/>
    <x v="3"/>
    <x v="0"/>
    <s v="329192"/>
    <s v="Gpay"/>
    <x v="101"/>
    <x v="101"/>
    <x v="2"/>
    <n v="1"/>
    <n v="113.91"/>
    <n v="5.7"/>
    <n v="108.21"/>
    <n v="5.41"/>
    <n v="0"/>
    <n v="0"/>
    <n v="113.62"/>
    <n v="20"/>
    <x v="4"/>
  </r>
  <r>
    <s v="O1305"/>
    <s v="13-01-2025"/>
    <x v="102"/>
    <s v="Bulk"/>
    <x v="5"/>
    <x v="2"/>
    <m/>
    <s v="Gpay"/>
    <x v="102"/>
    <x v="102"/>
    <x v="0"/>
    <n v="4"/>
    <n v="203.97"/>
    <n v="10.199999999999999"/>
    <n v="805.68"/>
    <n v="40.28"/>
    <n v="0"/>
    <n v="10"/>
    <n v="855.95999999999992"/>
    <n v="26"/>
    <x v="6"/>
  </r>
  <r>
    <s v="O1306"/>
    <s v="09-02-2025"/>
    <x v="103"/>
    <s v="Bulk"/>
    <x v="1"/>
    <x v="0"/>
    <s v="919444"/>
    <s v="Card"/>
    <x v="103"/>
    <x v="103"/>
    <x v="7"/>
    <n v="7"/>
    <n v="82.95"/>
    <n v="0"/>
    <n v="580.65"/>
    <n v="29.03"/>
    <n v="20"/>
    <n v="5"/>
    <n v="634.67999999999995"/>
    <n v="24"/>
    <x v="5"/>
  </r>
  <r>
    <s v="O1307"/>
    <s v="02-01-2025"/>
    <x v="104"/>
    <s v="Bulk"/>
    <x v="2"/>
    <x v="1"/>
    <s v="772636"/>
    <s v="Card"/>
    <x v="104"/>
    <x v="104"/>
    <x v="0"/>
    <n v="5"/>
    <n v="82.4"/>
    <n v="0"/>
    <n v="412"/>
    <n v="20.6"/>
    <n v="0"/>
    <n v="0"/>
    <n v="432.6"/>
    <n v="27"/>
    <x v="4"/>
  </r>
  <r>
    <s v="O1308"/>
    <s v="20-01-2025"/>
    <x v="105"/>
    <s v="Bulk"/>
    <x v="5"/>
    <x v="2"/>
    <s v="766252"/>
    <s v="Upi"/>
    <x v="105"/>
    <x v="105"/>
    <x v="8"/>
    <n v="3"/>
    <n v="158.96"/>
    <n v="15.9"/>
    <n v="460.98"/>
    <n v="23.05"/>
    <n v="10"/>
    <n v="15"/>
    <n v="509.03"/>
    <n v="21"/>
    <x v="6"/>
  </r>
  <r>
    <s v="O1309"/>
    <s v="01-01-2025"/>
    <x v="106"/>
    <s v="Bulk"/>
    <x v="5"/>
    <x v="2"/>
    <s v="367531"/>
    <s v="Upi"/>
    <x v="106"/>
    <x v="106"/>
    <x v="5"/>
    <n v="1"/>
    <n v="165.27"/>
    <n v="0"/>
    <n v="165.27"/>
    <n v="8.26"/>
    <n v="20"/>
    <n v="20"/>
    <n v="213.53"/>
    <n v="23"/>
    <x v="2"/>
  </r>
  <r>
    <s v="O1310"/>
    <s v="06-02-2025"/>
    <x v="107"/>
    <s v="New"/>
    <x v="4"/>
    <x v="0"/>
    <s v="334484"/>
    <s v="Cod"/>
    <x v="107"/>
    <x v="107"/>
    <x v="6"/>
    <n v="2"/>
    <n v="138.03"/>
    <n v="0"/>
    <n v="276.06"/>
    <n v="13.8"/>
    <n v="20"/>
    <n v="5"/>
    <n v="314.86"/>
    <n v="24.67"/>
    <x v="4"/>
  </r>
  <r>
    <s v="O1311"/>
    <s v="09-01-2025"/>
    <x v="108"/>
    <s v="Bulk"/>
    <x v="0"/>
    <x v="0"/>
    <s v="486354"/>
    <s v="Cod"/>
    <x v="108"/>
    <x v="108"/>
    <x v="2"/>
    <n v="4"/>
    <n v="67.209999999999994"/>
    <n v="3.36"/>
    <n v="265.48"/>
    <n v="13.27"/>
    <n v="10"/>
    <n v="10"/>
    <n v="298.74999999999989"/>
    <n v="10"/>
    <x v="4"/>
  </r>
  <r>
    <s v="O1312"/>
    <s v="17-01-2025"/>
    <x v="109"/>
    <s v="Bulk"/>
    <x v="5"/>
    <x v="2"/>
    <s v="586598"/>
    <s v="Upi"/>
    <x v="109"/>
    <x v="109"/>
    <x v="8"/>
    <n v="6"/>
    <n v="77.33"/>
    <n v="11.6"/>
    <n v="452.38"/>
    <n v="22.62"/>
    <n v="0"/>
    <n v="0"/>
    <n v="475"/>
    <n v="39"/>
    <x v="1"/>
  </r>
  <r>
    <s v="O1313"/>
    <s v="09-01-2025"/>
    <x v="110"/>
    <s v="Bulk"/>
    <x v="2"/>
    <x v="1"/>
    <s v="248395"/>
    <s v="Upi"/>
    <x v="110"/>
    <x v="110"/>
    <x v="1"/>
    <n v="1"/>
    <n v="232.04"/>
    <n v="0"/>
    <n v="232.04"/>
    <n v="11.6"/>
    <n v="0"/>
    <n v="0"/>
    <n v="243.64"/>
    <n v="35"/>
    <x v="4"/>
  </r>
  <r>
    <s v="O1314"/>
    <s v="11-01-2025"/>
    <x v="111"/>
    <s v="Bulk"/>
    <x v="1"/>
    <x v="1"/>
    <s v="132583"/>
    <s v="Wallet"/>
    <x v="111"/>
    <x v="111"/>
    <x v="3"/>
    <n v="6"/>
    <n v="95.6"/>
    <n v="9.56"/>
    <n v="564.04"/>
    <n v="28.2"/>
    <n v="10"/>
    <n v="15"/>
    <n v="617.24"/>
    <n v="26"/>
    <x v="0"/>
  </r>
  <r>
    <s v="O1315"/>
    <s v="15-01-2025"/>
    <x v="112"/>
    <s v="Bulk"/>
    <x v="0"/>
    <x v="1"/>
    <s v="119510"/>
    <s v="Upi"/>
    <x v="112"/>
    <x v="112"/>
    <x v="0"/>
    <n v="1"/>
    <n v="38.83"/>
    <n v="5.82"/>
    <n v="33.01"/>
    <n v="1.65"/>
    <n v="20"/>
    <n v="15"/>
    <n v="69.66"/>
    <n v="13"/>
    <x v="2"/>
  </r>
  <r>
    <s v="O1316"/>
    <s v="24-01-2025"/>
    <x v="113"/>
    <s v="Bulk"/>
    <x v="5"/>
    <x v="0"/>
    <s v="645893"/>
    <s v="Phonepe"/>
    <x v="113"/>
    <x v="113"/>
    <x v="7"/>
    <n v="4"/>
    <n v="98.01"/>
    <n v="0"/>
    <n v="392.04"/>
    <n v="19.600000000000001"/>
    <n v="30"/>
    <n v="5"/>
    <n v="446.64"/>
    <n v="17"/>
    <x v="1"/>
  </r>
  <r>
    <s v="O1317"/>
    <s v="07-02-2025"/>
    <x v="114"/>
    <s v="Bulk"/>
    <x v="0"/>
    <x v="1"/>
    <s v="792272"/>
    <s v="Upi"/>
    <x v="114"/>
    <x v="114"/>
    <x v="5"/>
    <n v="1"/>
    <n v="56.89"/>
    <n v="8.5299999999999994"/>
    <n v="48.36"/>
    <n v="2.42"/>
    <n v="0"/>
    <n v="15"/>
    <n v="65.78"/>
    <n v="2"/>
    <x v="1"/>
  </r>
  <r>
    <s v="O1318"/>
    <s v="24-02-2025"/>
    <x v="115"/>
    <s v="Bulk"/>
    <x v="5"/>
    <x v="1"/>
    <m/>
    <s v="Phonepe"/>
    <x v="115"/>
    <x v="115"/>
    <x v="0"/>
    <n v="1"/>
    <n v="159.94999999999999"/>
    <n v="23.99"/>
    <n v="135.96"/>
    <n v="6.8"/>
    <n v="0"/>
    <n v="15"/>
    <n v="157.76"/>
    <n v="29"/>
    <x v="6"/>
  </r>
  <r>
    <s v="O1319"/>
    <s v="04-02-2025"/>
    <x v="116"/>
    <s v="Bulk"/>
    <x v="0"/>
    <x v="2"/>
    <s v="792494"/>
    <s v="Phonepe"/>
    <x v="116"/>
    <x v="116"/>
    <x v="3"/>
    <n v="2"/>
    <n v="78.88"/>
    <n v="7.89"/>
    <n v="149.87"/>
    <n v="7.49"/>
    <n v="10"/>
    <n v="0"/>
    <n v="167.36"/>
    <n v="37"/>
    <x v="3"/>
  </r>
  <r>
    <s v="O1320"/>
    <s v="30-01-2025"/>
    <x v="117"/>
    <s v="Bulk"/>
    <x v="0"/>
    <x v="1"/>
    <s v="364954"/>
    <s v="Wallet"/>
    <x v="117"/>
    <x v="117"/>
    <x v="9"/>
    <n v="1"/>
    <n v="80.31"/>
    <n v="12.05"/>
    <n v="68.260000000000005"/>
    <n v="3.41"/>
    <n v="30"/>
    <n v="15"/>
    <n v="116.67"/>
    <n v="40"/>
    <x v="4"/>
  </r>
  <r>
    <s v="O1321"/>
    <s v="31-01-2025"/>
    <x v="118"/>
    <s v="Bulk"/>
    <x v="0"/>
    <x v="2"/>
    <s v="697823"/>
    <s v="Upi"/>
    <x v="118"/>
    <x v="118"/>
    <x v="9"/>
    <n v="4"/>
    <n v="97.01"/>
    <n v="4.8499999999999996"/>
    <n v="383.19"/>
    <n v="19.16"/>
    <n v="20"/>
    <n v="0"/>
    <n v="422.35"/>
    <n v="24.67"/>
    <x v="1"/>
  </r>
  <r>
    <s v="O1322"/>
    <s v="18-02-2025"/>
    <x v="119"/>
    <s v="Bulk"/>
    <x v="5"/>
    <x v="1"/>
    <s v="799793"/>
    <s v="Cod"/>
    <x v="119"/>
    <x v="119"/>
    <x v="9"/>
    <n v="4"/>
    <n v="139.87"/>
    <n v="13.99"/>
    <n v="545.49"/>
    <n v="27.27"/>
    <n v="20"/>
    <n v="10"/>
    <n v="602.76"/>
    <n v="41"/>
    <x v="3"/>
  </r>
  <r>
    <s v="O1323"/>
    <s v="05-01-2025"/>
    <x v="120"/>
    <s v="Bulk"/>
    <x v="1"/>
    <x v="1"/>
    <s v="652355"/>
    <s v="Upi"/>
    <x v="120"/>
    <x v="120"/>
    <x v="6"/>
    <n v="2"/>
    <n v="270.05"/>
    <n v="0"/>
    <n v="540.1"/>
    <n v="27.01"/>
    <n v="30"/>
    <n v="20"/>
    <n v="617.11"/>
    <n v="24"/>
    <x v="5"/>
  </r>
  <r>
    <s v="O1324"/>
    <s v="01-03-2025"/>
    <x v="121"/>
    <s v="Bulk"/>
    <x v="5"/>
    <x v="0"/>
    <s v="843787"/>
    <s v="Cod"/>
    <x v="121"/>
    <x v="121"/>
    <x v="2"/>
    <n v="3"/>
    <n v="165.49"/>
    <n v="24.82"/>
    <n v="471.65"/>
    <n v="23.58"/>
    <n v="0"/>
    <n v="5"/>
    <n v="500.23"/>
    <n v="24.67"/>
    <x v="0"/>
  </r>
  <r>
    <s v="O1325"/>
    <s v="13-02-2025"/>
    <x v="122"/>
    <s v="Bulk"/>
    <x v="3"/>
    <x v="0"/>
    <s v="236984"/>
    <s v="Card"/>
    <x v="122"/>
    <x v="122"/>
    <x v="9"/>
    <n v="1"/>
    <n v="95.11"/>
    <n v="4.76"/>
    <n v="90.35"/>
    <n v="4.5199999999999996"/>
    <n v="10"/>
    <n v="20"/>
    <n v="124.87"/>
    <n v="31"/>
    <x v="4"/>
  </r>
  <r>
    <s v="O1326"/>
    <s v="19-02-2025"/>
    <x v="123"/>
    <s v="New"/>
    <x v="4"/>
    <x v="1"/>
    <s v="225555"/>
    <s v="Upi"/>
    <x v="123"/>
    <x v="123"/>
    <x v="7"/>
    <n v="2"/>
    <n v="120.27"/>
    <n v="0"/>
    <n v="240.54"/>
    <n v="12.03"/>
    <n v="10"/>
    <n v="15"/>
    <n v="277.57"/>
    <n v="23"/>
    <x v="2"/>
  </r>
  <r>
    <s v="O1327"/>
    <s v="14-01-2025"/>
    <x v="124"/>
    <s v="Bulk"/>
    <x v="3"/>
    <x v="0"/>
    <m/>
    <s v="Netbanking"/>
    <x v="124"/>
    <x v="124"/>
    <x v="6"/>
    <n v="4"/>
    <n v="158.37"/>
    <n v="0"/>
    <n v="633.48"/>
    <n v="31.67"/>
    <n v="30"/>
    <n v="10"/>
    <n v="705.15"/>
    <n v="31"/>
    <x v="3"/>
  </r>
  <r>
    <s v="O1328"/>
    <s v="22-02-2025"/>
    <x v="125"/>
    <s v="Bulk"/>
    <x v="0"/>
    <x v="1"/>
    <s v="911624"/>
    <s v="Cod"/>
    <x v="125"/>
    <x v="125"/>
    <x v="6"/>
    <n v="5"/>
    <n v="117.84"/>
    <n v="11.78"/>
    <n v="577.42000000000007"/>
    <n v="28.87"/>
    <n v="0"/>
    <n v="10"/>
    <n v="616.29000000000008"/>
    <n v="24.67"/>
    <x v="0"/>
  </r>
  <r>
    <s v="O1329"/>
    <s v="25-02-2025"/>
    <x v="126"/>
    <s v="Bulk"/>
    <x v="3"/>
    <x v="0"/>
    <s v="298017"/>
    <s v="Phonepe"/>
    <x v="126"/>
    <x v="126"/>
    <x v="8"/>
    <n v="2"/>
    <n v="166.51"/>
    <n v="8.33"/>
    <n v="324.69"/>
    <n v="16.23"/>
    <n v="20"/>
    <n v="10"/>
    <n v="370.92"/>
    <n v="34"/>
    <x v="3"/>
  </r>
  <r>
    <s v="O1330"/>
    <s v="11-01-2025"/>
    <x v="127"/>
    <s v="Bulk"/>
    <x v="2"/>
    <x v="2"/>
    <s v="771064"/>
    <s v="Gpay"/>
    <x v="127"/>
    <x v="127"/>
    <x v="6"/>
    <n v="2"/>
    <n v="143.88999999999999"/>
    <n v="21.58"/>
    <n v="266.2"/>
    <n v="13.31"/>
    <n v="30"/>
    <n v="10"/>
    <n v="319.51"/>
    <n v="24.67"/>
    <x v="0"/>
  </r>
  <r>
    <s v="O1331"/>
    <s v="09-01-2025"/>
    <x v="128"/>
    <s v="Bulk"/>
    <x v="0"/>
    <x v="2"/>
    <s v="350319"/>
    <s v="Upi"/>
    <x v="128"/>
    <x v="128"/>
    <x v="5"/>
    <n v="2"/>
    <n v="121.89"/>
    <n v="6.09"/>
    <n v="237.69"/>
    <n v="11.88"/>
    <n v="30"/>
    <n v="10"/>
    <n v="289.57"/>
    <n v="31"/>
    <x v="4"/>
  </r>
  <r>
    <s v="O1332"/>
    <s v="03-02-2025"/>
    <x v="129"/>
    <s v="Bulk"/>
    <x v="2"/>
    <x v="2"/>
    <s v="554529"/>
    <s v="Gpay"/>
    <x v="129"/>
    <x v="129"/>
    <x v="6"/>
    <n v="2"/>
    <n v="140.24"/>
    <n v="7.01"/>
    <n v="273.47000000000003"/>
    <n v="13.67"/>
    <n v="20"/>
    <n v="20"/>
    <n v="327.14"/>
    <n v="14"/>
    <x v="6"/>
  </r>
  <r>
    <s v="O1333"/>
    <s v="12-01-2025"/>
    <x v="130"/>
    <s v="New"/>
    <x v="4"/>
    <x v="0"/>
    <s v="375419"/>
    <s v="Upi"/>
    <x v="130"/>
    <x v="130"/>
    <x v="8"/>
    <n v="1"/>
    <n v="99.36"/>
    <n v="14.9"/>
    <n v="84.46"/>
    <n v="4.22"/>
    <n v="10"/>
    <n v="15"/>
    <n v="113.68"/>
    <n v="21"/>
    <x v="5"/>
  </r>
  <r>
    <s v="O1334"/>
    <s v="04-02-2025"/>
    <x v="131"/>
    <s v="Bulk"/>
    <x v="3"/>
    <x v="1"/>
    <s v="394768"/>
    <s v="Gpay"/>
    <x v="131"/>
    <x v="131"/>
    <x v="7"/>
    <n v="4"/>
    <n v="84.77"/>
    <n v="12.72"/>
    <n v="326.36"/>
    <n v="16.32"/>
    <n v="0"/>
    <n v="10"/>
    <n v="352.67999999999989"/>
    <n v="44"/>
    <x v="3"/>
  </r>
  <r>
    <s v="O1335"/>
    <s v="04-02-2025"/>
    <x v="132"/>
    <s v="Bulk"/>
    <x v="0"/>
    <x v="1"/>
    <s v="462355"/>
    <s v="Cod"/>
    <x v="132"/>
    <x v="132"/>
    <x v="5"/>
    <n v="5"/>
    <n v="109.52"/>
    <n v="5.48"/>
    <n v="542.12"/>
    <n v="27.11"/>
    <n v="0"/>
    <n v="5"/>
    <n v="574.23"/>
    <n v="25"/>
    <x v="3"/>
  </r>
  <r>
    <s v="O1336"/>
    <s v="01-01-2025"/>
    <x v="133"/>
    <s v="Bulk"/>
    <x v="1"/>
    <x v="2"/>
    <s v="305463"/>
    <s v="Gpay"/>
    <x v="133"/>
    <x v="133"/>
    <x v="6"/>
    <n v="1"/>
    <n v="44.35"/>
    <n v="0"/>
    <n v="44.35"/>
    <n v="2.2200000000000002"/>
    <n v="20"/>
    <n v="20"/>
    <n v="86.57"/>
    <n v="24.67"/>
    <x v="2"/>
  </r>
  <r>
    <s v="O1337"/>
    <s v="09-02-2025"/>
    <x v="134"/>
    <s v="Bulk"/>
    <x v="3"/>
    <x v="1"/>
    <s v="240302"/>
    <s v="Upi"/>
    <x v="134"/>
    <x v="134"/>
    <x v="8"/>
    <n v="4"/>
    <n v="270.18"/>
    <n v="0"/>
    <n v="1080.72"/>
    <n v="54.04"/>
    <n v="0"/>
    <n v="10"/>
    <n v="1144.76"/>
    <n v="24.67"/>
    <x v="5"/>
  </r>
  <r>
    <s v="O1338"/>
    <s v="22-01-2025"/>
    <x v="135"/>
    <s v="Bulk"/>
    <x v="1"/>
    <x v="3"/>
    <s v="742064"/>
    <s v="Card"/>
    <x v="135"/>
    <x v="135"/>
    <x v="0"/>
    <n v="6"/>
    <n v="113.12"/>
    <n v="0"/>
    <n v="678.72"/>
    <n v="33.94"/>
    <n v="30"/>
    <n v="5"/>
    <n v="747.66000000000008"/>
    <n v="24.67"/>
    <x v="2"/>
  </r>
  <r>
    <s v="O1339"/>
    <s v="01-03-2025"/>
    <x v="136"/>
    <s v="Bulk"/>
    <x v="2"/>
    <x v="2"/>
    <s v="626077"/>
    <s v="Upi"/>
    <x v="136"/>
    <x v="136"/>
    <x v="5"/>
    <n v="2"/>
    <n v="108.81"/>
    <n v="5.44"/>
    <n v="212.18"/>
    <n v="10.61"/>
    <n v="10"/>
    <n v="15"/>
    <n v="247.79"/>
    <n v="24.67"/>
    <x v="0"/>
  </r>
  <r>
    <s v="O1340"/>
    <s v="29-01-2025"/>
    <x v="137"/>
    <s v="Bulk"/>
    <x v="2"/>
    <x v="2"/>
    <s v="514750"/>
    <s v="Wallet"/>
    <x v="137"/>
    <x v="137"/>
    <x v="0"/>
    <n v="3"/>
    <n v="179.42"/>
    <n v="8.9700000000000006"/>
    <n v="529.29"/>
    <n v="26.46"/>
    <n v="10"/>
    <n v="10"/>
    <n v="575.75"/>
    <n v="10"/>
    <x v="2"/>
  </r>
  <r>
    <s v="O1341"/>
    <s v="08-01-2025"/>
    <x v="138"/>
    <s v="Bulk"/>
    <x v="2"/>
    <x v="1"/>
    <s v="693391"/>
    <s v="Wallet"/>
    <x v="138"/>
    <x v="138"/>
    <x v="4"/>
    <n v="4"/>
    <n v="246"/>
    <n v="36.9"/>
    <n v="947.1"/>
    <n v="47.36"/>
    <n v="0"/>
    <n v="20"/>
    <n v="1014.46"/>
    <n v="23"/>
    <x v="2"/>
  </r>
  <r>
    <s v="O1342"/>
    <s v="11-01-2025"/>
    <x v="139"/>
    <s v="Bulk"/>
    <x v="5"/>
    <x v="0"/>
    <s v="595054"/>
    <s v="Card"/>
    <x v="139"/>
    <x v="139"/>
    <x v="4"/>
    <n v="2"/>
    <n v="109.33"/>
    <n v="5.47"/>
    <n v="213.19"/>
    <n v="10.66"/>
    <n v="20"/>
    <n v="5"/>
    <n v="248.85"/>
    <n v="24.67"/>
    <x v="0"/>
  </r>
  <r>
    <s v="O1343"/>
    <s v="10-02-2025"/>
    <x v="140"/>
    <s v="Bulk"/>
    <x v="5"/>
    <x v="2"/>
    <s v="853772"/>
    <s v="Gpay"/>
    <x v="140"/>
    <x v="140"/>
    <x v="5"/>
    <n v="3"/>
    <n v="89.14"/>
    <n v="0"/>
    <n v="267.42"/>
    <n v="13.37"/>
    <n v="30"/>
    <n v="5"/>
    <n v="315.79000000000002"/>
    <n v="31"/>
    <x v="6"/>
  </r>
  <r>
    <s v="O1344"/>
    <s v="06-02-2025"/>
    <x v="141"/>
    <s v="Bulk"/>
    <x v="5"/>
    <x v="0"/>
    <s v="579673"/>
    <s v="Gpay"/>
    <x v="141"/>
    <x v="141"/>
    <x v="3"/>
    <n v="6"/>
    <n v="125.67"/>
    <n v="12.57"/>
    <n v="741.44999999999993"/>
    <n v="37.07"/>
    <n v="30"/>
    <n v="5"/>
    <n v="813.52"/>
    <n v="14"/>
    <x v="4"/>
  </r>
  <r>
    <s v="O1345"/>
    <s v="14-01-2025"/>
    <x v="142"/>
    <s v="Bulk"/>
    <x v="1"/>
    <x v="0"/>
    <s v="332298"/>
    <s v="Netbanking"/>
    <x v="142"/>
    <x v="142"/>
    <x v="5"/>
    <n v="3"/>
    <n v="109.76"/>
    <n v="0"/>
    <n v="329.28"/>
    <n v="16.46"/>
    <n v="20"/>
    <n v="0"/>
    <n v="365.74"/>
    <n v="15"/>
    <x v="3"/>
  </r>
  <r>
    <s v="O1346"/>
    <s v="01-03-2025"/>
    <x v="143"/>
    <s v="Bulk"/>
    <x v="2"/>
    <x v="2"/>
    <s v="795109"/>
    <s v="Wallet"/>
    <x v="143"/>
    <x v="143"/>
    <x v="5"/>
    <n v="1"/>
    <n v="139.15"/>
    <n v="0"/>
    <n v="139.15"/>
    <n v="6.96"/>
    <n v="0"/>
    <n v="15"/>
    <n v="161.11000000000001"/>
    <n v="26"/>
    <x v="0"/>
  </r>
  <r>
    <s v="O1347"/>
    <s v="30-01-2025"/>
    <x v="144"/>
    <s v="Bulk"/>
    <x v="3"/>
    <x v="2"/>
    <s v="265640"/>
    <s v="Wallet"/>
    <x v="144"/>
    <x v="144"/>
    <x v="5"/>
    <n v="6"/>
    <n v="129.77000000000001"/>
    <n v="0"/>
    <n v="778.62000000000012"/>
    <n v="38.93"/>
    <n v="10"/>
    <n v="0"/>
    <n v="827.55000000000007"/>
    <n v="31"/>
    <x v="4"/>
  </r>
  <r>
    <s v="O1348"/>
    <s v="04-02-2025"/>
    <x v="145"/>
    <s v="New"/>
    <x v="4"/>
    <x v="1"/>
    <m/>
    <s v="Wallet"/>
    <x v="145"/>
    <x v="145"/>
    <x v="0"/>
    <n v="3"/>
    <n v="160.28"/>
    <n v="24.04"/>
    <n v="456.8"/>
    <n v="22.84"/>
    <n v="20"/>
    <n v="10"/>
    <n v="509.64"/>
    <n v="36"/>
    <x v="3"/>
  </r>
  <r>
    <s v="O1349"/>
    <s v="21-01-2025"/>
    <x v="146"/>
    <s v="Bulk"/>
    <x v="3"/>
    <x v="2"/>
    <s v="475903"/>
    <s v="Netbanking"/>
    <x v="146"/>
    <x v="146"/>
    <x v="9"/>
    <n v="1"/>
    <n v="171.89"/>
    <n v="8.59"/>
    <n v="163.30000000000001"/>
    <n v="8.16"/>
    <n v="10"/>
    <n v="20"/>
    <n v="201.46"/>
    <n v="39"/>
    <x v="3"/>
  </r>
  <r>
    <s v="O1350"/>
    <s v="06-02-2025"/>
    <x v="147"/>
    <s v="Bulk"/>
    <x v="5"/>
    <x v="2"/>
    <s v="287167"/>
    <s v="Wallet"/>
    <x v="147"/>
    <x v="147"/>
    <x v="1"/>
    <n v="5"/>
    <n v="102.22"/>
    <n v="5.1100000000000003"/>
    <n v="505.99"/>
    <n v="25.3"/>
    <n v="20"/>
    <n v="15"/>
    <n v="566.29"/>
    <n v="24.67"/>
    <x v="4"/>
  </r>
  <r>
    <s v="O1351"/>
    <s v="05-01-2025"/>
    <x v="148"/>
    <s v="Bulk"/>
    <x v="2"/>
    <x v="1"/>
    <s v="143988"/>
    <s v="Card"/>
    <x v="148"/>
    <x v="148"/>
    <x v="3"/>
    <n v="1"/>
    <n v="99.61"/>
    <n v="14.94"/>
    <n v="84.67"/>
    <n v="4.2300000000000004"/>
    <n v="20"/>
    <n v="0"/>
    <n v="108.9"/>
    <n v="27"/>
    <x v="5"/>
  </r>
  <r>
    <s v="O1352"/>
    <s v="19-01-2025"/>
    <x v="149"/>
    <s v="Bulk"/>
    <x v="2"/>
    <x v="2"/>
    <s v="618728"/>
    <s v="Upi"/>
    <x v="149"/>
    <x v="149"/>
    <x v="0"/>
    <n v="2"/>
    <n v="152.57"/>
    <n v="22.89"/>
    <n v="282.25"/>
    <n v="14.11"/>
    <n v="30"/>
    <n v="5"/>
    <n v="331.36"/>
    <n v="4"/>
    <x v="5"/>
  </r>
  <r>
    <s v="O1353"/>
    <s v="28-02-2025"/>
    <x v="150"/>
    <s v="Bulk"/>
    <x v="0"/>
    <x v="3"/>
    <s v="269169"/>
    <s v="Cod"/>
    <x v="150"/>
    <x v="150"/>
    <x v="9"/>
    <n v="3"/>
    <n v="215.94"/>
    <n v="32.39"/>
    <n v="615.42999999999995"/>
    <n v="30.77"/>
    <n v="30"/>
    <n v="20"/>
    <n v="696.19999999999993"/>
    <n v="30"/>
    <x v="1"/>
  </r>
  <r>
    <s v="O1354"/>
    <s v="14-01-2025"/>
    <x v="151"/>
    <s v="Bulk"/>
    <x v="5"/>
    <x v="2"/>
    <s v="955738"/>
    <s v="Card"/>
    <x v="151"/>
    <x v="151"/>
    <x v="2"/>
    <n v="5"/>
    <n v="176.32"/>
    <n v="17.63"/>
    <n v="863.96999999999991"/>
    <n v="43.2"/>
    <n v="10"/>
    <n v="10"/>
    <n v="927.17"/>
    <n v="40"/>
    <x v="3"/>
  </r>
  <r>
    <s v="O1355"/>
    <s v="26-01-2025"/>
    <x v="152"/>
    <s v="Bulk"/>
    <x v="5"/>
    <x v="0"/>
    <s v="859036"/>
    <s v="Upi"/>
    <x v="152"/>
    <x v="152"/>
    <x v="1"/>
    <n v="5"/>
    <n v="19.100000000000001"/>
    <n v="2.87"/>
    <n v="92.63"/>
    <n v="4.63"/>
    <n v="0"/>
    <n v="5"/>
    <n v="102.26"/>
    <n v="22"/>
    <x v="5"/>
  </r>
  <r>
    <s v="O1356"/>
    <s v="04-01-2025"/>
    <x v="153"/>
    <s v="Bulk"/>
    <x v="1"/>
    <x v="1"/>
    <s v="624436"/>
    <s v="Wallet"/>
    <x v="153"/>
    <x v="153"/>
    <x v="6"/>
    <n v="5"/>
    <n v="117.34"/>
    <n v="11.73"/>
    <n v="574.97"/>
    <n v="28.75"/>
    <n v="20"/>
    <n v="15"/>
    <n v="638.72"/>
    <n v="24.67"/>
    <x v="0"/>
  </r>
  <r>
    <s v="O1357"/>
    <s v="25-01-2025"/>
    <x v="154"/>
    <s v="Bulk"/>
    <x v="1"/>
    <x v="2"/>
    <s v="292593"/>
    <s v="Upi"/>
    <x v="154"/>
    <x v="154"/>
    <x v="4"/>
    <n v="2"/>
    <n v="134.53"/>
    <n v="6.73"/>
    <n v="262.33"/>
    <n v="13.12"/>
    <n v="10"/>
    <n v="5"/>
    <n v="290.45"/>
    <n v="26"/>
    <x v="0"/>
  </r>
  <r>
    <s v="O1358"/>
    <s v="14-02-2025"/>
    <x v="155"/>
    <s v="Bulk"/>
    <x v="1"/>
    <x v="0"/>
    <s v="109795"/>
    <s v="Netbanking"/>
    <x v="155"/>
    <x v="155"/>
    <x v="4"/>
    <n v="3"/>
    <n v="120.44"/>
    <n v="18.07"/>
    <n v="343.25"/>
    <n v="17.16"/>
    <n v="0"/>
    <n v="20"/>
    <n v="380.41"/>
    <n v="10"/>
    <x v="1"/>
  </r>
  <r>
    <s v="O1359"/>
    <s v="11-02-2025"/>
    <x v="156"/>
    <s v="Bulk"/>
    <x v="0"/>
    <x v="0"/>
    <m/>
    <s v="Wallet"/>
    <x v="156"/>
    <x v="156"/>
    <x v="2"/>
    <n v="5"/>
    <n v="93.16"/>
    <n v="13.97"/>
    <n v="451.82999999999993"/>
    <n v="22.59"/>
    <n v="20"/>
    <n v="15"/>
    <n v="509.4199999999999"/>
    <n v="3"/>
    <x v="3"/>
  </r>
  <r>
    <s v="O1360"/>
    <s v="25-01-2025"/>
    <x v="157"/>
    <s v="Returning"/>
    <x v="4"/>
    <x v="0"/>
    <s v="653669"/>
    <s v="Netbanking"/>
    <x v="157"/>
    <x v="157"/>
    <x v="4"/>
    <n v="1"/>
    <n v="41.68"/>
    <n v="2.08"/>
    <n v="39.6"/>
    <n v="1.98"/>
    <n v="20"/>
    <n v="10"/>
    <n v="71.58"/>
    <n v="23"/>
    <x v="0"/>
  </r>
  <r>
    <s v="O1361"/>
    <s v="18-01-2025"/>
    <x v="158"/>
    <s v="Bulk"/>
    <x v="2"/>
    <x v="1"/>
    <s v="959375"/>
    <s v="Upi"/>
    <x v="158"/>
    <x v="158"/>
    <x v="9"/>
    <n v="5"/>
    <n v="244.2"/>
    <n v="12.21"/>
    <n v="1208.79"/>
    <n v="60.44"/>
    <n v="30"/>
    <n v="15"/>
    <n v="1314.23"/>
    <n v="32"/>
    <x v="0"/>
  </r>
  <r>
    <s v="O1362"/>
    <s v="09-02-2025"/>
    <x v="159"/>
    <s v="Returning"/>
    <x v="4"/>
    <x v="2"/>
    <s v="934212"/>
    <s v="Gpay"/>
    <x v="159"/>
    <x v="159"/>
    <x v="1"/>
    <n v="4"/>
    <n v="130.78"/>
    <n v="19.62"/>
    <n v="503.5"/>
    <n v="25.18"/>
    <n v="10"/>
    <n v="10"/>
    <n v="548.67999999999995"/>
    <n v="38"/>
    <x v="5"/>
  </r>
  <r>
    <s v="O1363"/>
    <s v="08-01-2025"/>
    <x v="160"/>
    <s v="Bulk"/>
    <x v="5"/>
    <x v="2"/>
    <s v="742216"/>
    <s v="Upi"/>
    <x v="160"/>
    <x v="160"/>
    <x v="1"/>
    <n v="2"/>
    <n v="150.52000000000001"/>
    <n v="22.58"/>
    <n v="278.45999999999998"/>
    <n v="13.92"/>
    <n v="30"/>
    <n v="5"/>
    <n v="327.38000000000011"/>
    <n v="14"/>
    <x v="2"/>
  </r>
  <r>
    <s v="O1364"/>
    <s v="08-02-2025"/>
    <x v="161"/>
    <s v="Bulk"/>
    <x v="1"/>
    <x v="2"/>
    <s v="711526"/>
    <s v="Upi"/>
    <x v="161"/>
    <x v="161"/>
    <x v="7"/>
    <n v="3"/>
    <n v="114.93"/>
    <n v="11.49"/>
    <n v="333.3"/>
    <n v="16.670000000000002"/>
    <n v="30"/>
    <n v="15"/>
    <n v="394.97"/>
    <n v="6"/>
    <x v="0"/>
  </r>
  <r>
    <s v="O1365"/>
    <s v="09-02-2025"/>
    <x v="162"/>
    <s v="Bulk"/>
    <x v="5"/>
    <x v="1"/>
    <s v="615631"/>
    <s v="Cod"/>
    <x v="162"/>
    <x v="162"/>
    <x v="2"/>
    <n v="2"/>
    <n v="209.47"/>
    <n v="0"/>
    <n v="418.94"/>
    <n v="20.95"/>
    <n v="20"/>
    <n v="20"/>
    <n v="479.89"/>
    <n v="12"/>
    <x v="5"/>
  </r>
  <r>
    <s v="O1366"/>
    <s v="14-01-2025"/>
    <x v="163"/>
    <s v="Bulk"/>
    <x v="1"/>
    <x v="1"/>
    <s v="541144"/>
    <s v="Gpay"/>
    <x v="163"/>
    <x v="163"/>
    <x v="8"/>
    <n v="2"/>
    <n v="103.71"/>
    <n v="0"/>
    <n v="207.42"/>
    <n v="10.37"/>
    <n v="20"/>
    <n v="10"/>
    <n v="247.79"/>
    <n v="26"/>
    <x v="3"/>
  </r>
  <r>
    <s v="O1367"/>
    <s v="01-02-2025"/>
    <x v="164"/>
    <s v="Returning"/>
    <x v="4"/>
    <x v="0"/>
    <s v="381941"/>
    <s v="Upi"/>
    <x v="164"/>
    <x v="164"/>
    <x v="2"/>
    <n v="3"/>
    <n v="122.73"/>
    <n v="6.14"/>
    <n v="362.05"/>
    <n v="18.100000000000001"/>
    <n v="30"/>
    <n v="5"/>
    <n v="415.15"/>
    <n v="21"/>
    <x v="0"/>
  </r>
  <r>
    <s v="O1368"/>
    <s v="20-02-2025"/>
    <x v="165"/>
    <s v="Bulk"/>
    <x v="0"/>
    <x v="1"/>
    <s v="763299"/>
    <s v="Phonepe"/>
    <x v="165"/>
    <x v="165"/>
    <x v="6"/>
    <n v="1"/>
    <n v="157.26"/>
    <n v="0"/>
    <n v="157.26"/>
    <n v="7.86"/>
    <n v="10"/>
    <n v="15"/>
    <n v="190.12"/>
    <n v="24.67"/>
    <x v="4"/>
  </r>
  <r>
    <s v="O1369"/>
    <s v="07-02-2025"/>
    <x v="166"/>
    <s v="Bulk"/>
    <x v="2"/>
    <x v="0"/>
    <s v="241519"/>
    <s v="Netbanking"/>
    <x v="166"/>
    <x v="166"/>
    <x v="2"/>
    <n v="2"/>
    <n v="6.52"/>
    <n v="0"/>
    <n v="13.04"/>
    <n v="0.65"/>
    <n v="30"/>
    <n v="5"/>
    <n v="48.69"/>
    <n v="33"/>
    <x v="1"/>
  </r>
  <r>
    <s v="O1370"/>
    <s v="02-02-2025"/>
    <x v="167"/>
    <s v="Bulk"/>
    <x v="0"/>
    <x v="2"/>
    <s v="738902"/>
    <s v="Upi"/>
    <x v="167"/>
    <x v="167"/>
    <x v="9"/>
    <n v="4"/>
    <n v="99.8"/>
    <n v="0"/>
    <n v="399.2"/>
    <n v="19.96"/>
    <n v="0"/>
    <n v="15"/>
    <n v="434.16"/>
    <n v="48"/>
    <x v="5"/>
  </r>
  <r>
    <s v="O1371"/>
    <s v="23-01-2025"/>
    <x v="168"/>
    <s v="Bulk"/>
    <x v="0"/>
    <x v="1"/>
    <s v="494775"/>
    <s v="Upi"/>
    <x v="168"/>
    <x v="168"/>
    <x v="2"/>
    <n v="1"/>
    <n v="150.11000000000001"/>
    <n v="7.51"/>
    <n v="142.6"/>
    <n v="7.13"/>
    <n v="30"/>
    <n v="15"/>
    <n v="194.73"/>
    <n v="18"/>
    <x v="4"/>
  </r>
  <r>
    <s v="O1372"/>
    <s v="15-01-2025"/>
    <x v="169"/>
    <s v="Bulk"/>
    <x v="1"/>
    <x v="1"/>
    <m/>
    <s v="Card"/>
    <x v="169"/>
    <x v="169"/>
    <x v="9"/>
    <n v="6"/>
    <n v="169.56"/>
    <n v="16.96"/>
    <n v="1000.4"/>
    <n v="50.02"/>
    <n v="0"/>
    <n v="20"/>
    <n v="1070.42"/>
    <n v="26"/>
    <x v="2"/>
  </r>
  <r>
    <s v="O1373"/>
    <s v="02-02-2025"/>
    <x v="170"/>
    <s v="Bulk"/>
    <x v="2"/>
    <x v="1"/>
    <s v="891043"/>
    <s v="Gpay"/>
    <x v="170"/>
    <x v="170"/>
    <x v="5"/>
    <n v="2"/>
    <n v="111.99"/>
    <n v="16.8"/>
    <n v="207.18"/>
    <n v="10.36"/>
    <n v="0"/>
    <n v="20"/>
    <n v="237.54"/>
    <n v="26"/>
    <x v="5"/>
  </r>
  <r>
    <s v="O1374"/>
    <s v="25-01-2025"/>
    <x v="171"/>
    <s v="Bulk"/>
    <x v="5"/>
    <x v="1"/>
    <s v="965847"/>
    <s v="Upi"/>
    <x v="171"/>
    <x v="171"/>
    <x v="3"/>
    <n v="3"/>
    <n v="104.29"/>
    <n v="5.21"/>
    <n v="307.66000000000003"/>
    <n v="15.38"/>
    <n v="0"/>
    <n v="10"/>
    <n v="333.04"/>
    <n v="10"/>
    <x v="0"/>
  </r>
  <r>
    <s v="O1375"/>
    <s v="17-01-2025"/>
    <x v="172"/>
    <s v="Bulk"/>
    <x v="3"/>
    <x v="0"/>
    <m/>
    <s v="Upi"/>
    <x v="172"/>
    <x v="172"/>
    <x v="7"/>
    <n v="1"/>
    <n v="22.58"/>
    <n v="3.39"/>
    <n v="19.190000000000001"/>
    <n v="0.96"/>
    <n v="30"/>
    <n v="0"/>
    <n v="50.15"/>
    <n v="21"/>
    <x v="1"/>
  </r>
  <r>
    <s v="O1376"/>
    <s v="02-02-2025"/>
    <x v="173"/>
    <s v="Bulk"/>
    <x v="3"/>
    <x v="0"/>
    <s v="452895"/>
    <s v="Upi"/>
    <x v="173"/>
    <x v="173"/>
    <x v="3"/>
    <n v="2"/>
    <n v="194.37"/>
    <n v="9.7200000000000006"/>
    <n v="379.02"/>
    <n v="18.95"/>
    <n v="20"/>
    <n v="20"/>
    <n v="437.97"/>
    <n v="20"/>
    <x v="5"/>
  </r>
  <r>
    <s v="O1377"/>
    <s v="16-02-2025"/>
    <x v="174"/>
    <s v="New"/>
    <x v="4"/>
    <x v="0"/>
    <s v="938569"/>
    <s v="Phonepe"/>
    <x v="174"/>
    <x v="174"/>
    <x v="6"/>
    <n v="1"/>
    <n v="37.92"/>
    <n v="5.69"/>
    <n v="32.229999999999997"/>
    <n v="1.61"/>
    <n v="0"/>
    <n v="15"/>
    <n v="48.84"/>
    <n v="13"/>
    <x v="5"/>
  </r>
  <r>
    <s v="O1378"/>
    <s v="24-02-2025"/>
    <x v="175"/>
    <s v="Bulk"/>
    <x v="0"/>
    <x v="3"/>
    <s v="403564"/>
    <s v="Upi"/>
    <x v="175"/>
    <x v="175"/>
    <x v="6"/>
    <n v="5"/>
    <n v="108.57"/>
    <n v="5.43"/>
    <n v="537.41999999999996"/>
    <n v="26.87"/>
    <n v="10"/>
    <n v="5"/>
    <n v="579.29"/>
    <n v="20"/>
    <x v="6"/>
  </r>
  <r>
    <s v="O1379"/>
    <s v="02-01-2025"/>
    <x v="176"/>
    <s v="Bulk"/>
    <x v="1"/>
    <x v="2"/>
    <s v="658888"/>
    <s v="Upi"/>
    <x v="176"/>
    <x v="176"/>
    <x v="0"/>
    <n v="3"/>
    <n v="140.30000000000001"/>
    <n v="0"/>
    <n v="420.9"/>
    <n v="21.05"/>
    <n v="20"/>
    <n v="20"/>
    <n v="481.95"/>
    <n v="15"/>
    <x v="4"/>
  </r>
  <r>
    <s v="O1380"/>
    <s v="14-01-2025"/>
    <x v="177"/>
    <s v="Bulk"/>
    <x v="0"/>
    <x v="2"/>
    <s v="958379"/>
    <s v="Phonepe"/>
    <x v="177"/>
    <x v="177"/>
    <x v="5"/>
    <n v="9"/>
    <n v="136.81"/>
    <n v="0"/>
    <n v="1231.29"/>
    <n v="61.56"/>
    <n v="30"/>
    <n v="15"/>
    <n v="1337.85"/>
    <n v="25"/>
    <x v="3"/>
  </r>
  <r>
    <s v="O1381"/>
    <s v="22-02-2025"/>
    <x v="178"/>
    <s v="Bulk"/>
    <x v="3"/>
    <x v="1"/>
    <s v="287840"/>
    <s v="Upi"/>
    <x v="178"/>
    <x v="178"/>
    <x v="7"/>
    <n v="4"/>
    <n v="96.97"/>
    <n v="4.8499999999999996"/>
    <n v="383.03"/>
    <n v="19.149999999999999"/>
    <n v="0"/>
    <n v="15"/>
    <n v="417.17999999999989"/>
    <n v="27"/>
    <x v="0"/>
  </r>
  <r>
    <s v="O1382"/>
    <s v="09-02-2025"/>
    <x v="179"/>
    <s v="Bulk"/>
    <x v="5"/>
    <x v="0"/>
    <s v="853642"/>
    <s v="Card"/>
    <x v="179"/>
    <x v="179"/>
    <x v="8"/>
    <n v="1"/>
    <n v="118.41"/>
    <n v="5.92"/>
    <n v="112.49"/>
    <n v="5.62"/>
    <n v="0"/>
    <n v="5"/>
    <n v="123.11"/>
    <n v="27"/>
    <x v="5"/>
  </r>
  <r>
    <s v="O1383"/>
    <s v="09-02-2025"/>
    <x v="180"/>
    <s v="Bulk"/>
    <x v="2"/>
    <x v="0"/>
    <s v="704091"/>
    <s v="Netbanking"/>
    <x v="180"/>
    <x v="180"/>
    <x v="9"/>
    <n v="4"/>
    <n v="203.46"/>
    <n v="20.350000000000001"/>
    <n v="793.49"/>
    <n v="39.67"/>
    <n v="30"/>
    <n v="10"/>
    <n v="873.16"/>
    <n v="11"/>
    <x v="5"/>
  </r>
  <r>
    <s v="O1384"/>
    <s v="20-02-2025"/>
    <x v="181"/>
    <s v="Bulk"/>
    <x v="3"/>
    <x v="2"/>
    <s v="313968"/>
    <s v="Phonepe"/>
    <x v="181"/>
    <x v="181"/>
    <x v="6"/>
    <n v="1"/>
    <n v="32.92"/>
    <n v="0"/>
    <n v="32.92"/>
    <n v="1.65"/>
    <n v="20"/>
    <n v="10"/>
    <n v="64.569999999999993"/>
    <n v="19"/>
    <x v="4"/>
  </r>
  <r>
    <s v="O1385"/>
    <s v="08-02-2025"/>
    <x v="182"/>
    <s v="Bulk"/>
    <x v="1"/>
    <x v="2"/>
    <s v="217907"/>
    <s v="Netbanking"/>
    <x v="182"/>
    <x v="182"/>
    <x v="1"/>
    <n v="4"/>
    <n v="5.7"/>
    <n v="0.56999999999999995"/>
    <n v="22.23"/>
    <n v="1.1100000000000001"/>
    <n v="30"/>
    <n v="5"/>
    <n v="58.34"/>
    <n v="27"/>
    <x v="0"/>
  </r>
  <r>
    <s v="O1386"/>
    <s v="20-02-2025"/>
    <x v="183"/>
    <s v="Bulk"/>
    <x v="2"/>
    <x v="2"/>
    <s v="727915"/>
    <s v="Upi"/>
    <x v="183"/>
    <x v="183"/>
    <x v="3"/>
    <n v="3"/>
    <n v="100.87"/>
    <n v="0"/>
    <n v="302.61"/>
    <n v="15.13"/>
    <n v="20"/>
    <n v="0"/>
    <n v="337.74"/>
    <n v="33"/>
    <x v="4"/>
  </r>
  <r>
    <s v="O1387"/>
    <s v="06-01-2025"/>
    <x v="184"/>
    <s v="Bulk"/>
    <x v="1"/>
    <x v="0"/>
    <m/>
    <s v="Cod"/>
    <x v="184"/>
    <x v="184"/>
    <x v="9"/>
    <n v="2"/>
    <n v="26.52"/>
    <n v="1.33"/>
    <n v="51.71"/>
    <n v="2.59"/>
    <n v="20"/>
    <n v="15"/>
    <n v="89.3"/>
    <n v="53"/>
    <x v="6"/>
  </r>
  <r>
    <s v="O1388"/>
    <s v="06-01-2025"/>
    <x v="185"/>
    <s v="Bulk"/>
    <x v="0"/>
    <x v="1"/>
    <s v="846714"/>
    <s v="Gpay"/>
    <x v="185"/>
    <x v="185"/>
    <x v="2"/>
    <n v="4"/>
    <n v="87.85"/>
    <n v="13.18"/>
    <n v="338.22"/>
    <n v="16.91"/>
    <n v="30"/>
    <n v="0"/>
    <n v="385.13"/>
    <n v="31"/>
    <x v="6"/>
  </r>
  <r>
    <s v="O1389"/>
    <s v="03-01-2025"/>
    <x v="186"/>
    <s v="Bulk"/>
    <x v="3"/>
    <x v="1"/>
    <s v="326280"/>
    <s v="Upi"/>
    <x v="186"/>
    <x v="186"/>
    <x v="9"/>
    <n v="1"/>
    <n v="129.99"/>
    <n v="19.5"/>
    <n v="110.49"/>
    <n v="5.52"/>
    <n v="30"/>
    <n v="20"/>
    <n v="166.01"/>
    <n v="16"/>
    <x v="1"/>
  </r>
  <r>
    <s v="O1390"/>
    <s v="07-01-2025"/>
    <x v="187"/>
    <s v="Bulk"/>
    <x v="0"/>
    <x v="1"/>
    <s v="148458"/>
    <s v="Netbanking"/>
    <x v="187"/>
    <x v="187"/>
    <x v="6"/>
    <n v="3"/>
    <n v="50.51"/>
    <n v="7.58"/>
    <n v="143.94999999999999"/>
    <n v="7.2"/>
    <n v="10"/>
    <n v="20"/>
    <n v="181.15"/>
    <n v="15"/>
    <x v="3"/>
  </r>
  <r>
    <s v="O1391"/>
    <s v="20-02-2025"/>
    <x v="188"/>
    <s v="Bulk"/>
    <x v="2"/>
    <x v="1"/>
    <s v="527562"/>
    <s v="Gpay"/>
    <x v="188"/>
    <x v="188"/>
    <x v="5"/>
    <n v="1"/>
    <n v="100.23"/>
    <n v="10.02"/>
    <n v="90.210000000000008"/>
    <n v="4.51"/>
    <n v="20"/>
    <n v="0"/>
    <n v="114.72"/>
    <n v="8"/>
    <x v="4"/>
  </r>
  <r>
    <s v="O1392"/>
    <s v="08-01-2025"/>
    <x v="189"/>
    <s v="Bulk"/>
    <x v="3"/>
    <x v="0"/>
    <s v="219119"/>
    <s v="Cod"/>
    <x v="189"/>
    <x v="189"/>
    <x v="0"/>
    <n v="3"/>
    <n v="208.68"/>
    <n v="10.43"/>
    <n v="615.61"/>
    <n v="30.78"/>
    <n v="0"/>
    <n v="5"/>
    <n v="651.39"/>
    <n v="24"/>
    <x v="2"/>
  </r>
  <r>
    <s v="O1393"/>
    <s v="11-02-2025"/>
    <x v="190"/>
    <s v="Bulk"/>
    <x v="1"/>
    <x v="1"/>
    <s v="463157"/>
    <s v="Phonepe"/>
    <x v="190"/>
    <x v="190"/>
    <x v="9"/>
    <n v="1"/>
    <n v="62.35"/>
    <n v="0"/>
    <n v="62.35"/>
    <n v="3.12"/>
    <n v="30"/>
    <n v="15"/>
    <n v="110.47"/>
    <n v="24.67"/>
    <x v="3"/>
  </r>
  <r>
    <s v="O1394"/>
    <s v="21-02-2025"/>
    <x v="191"/>
    <s v="Bulk"/>
    <x v="3"/>
    <x v="2"/>
    <s v="459267"/>
    <s v="Upi"/>
    <x v="191"/>
    <x v="191"/>
    <x v="2"/>
    <n v="4"/>
    <n v="60.26"/>
    <n v="6.03"/>
    <n v="235.01"/>
    <n v="11.75"/>
    <n v="20"/>
    <n v="10"/>
    <n v="276.76"/>
    <n v="32"/>
    <x v="1"/>
  </r>
  <r>
    <s v="O1395"/>
    <s v="15-01-2025"/>
    <x v="192"/>
    <s v="Bulk"/>
    <x v="3"/>
    <x v="0"/>
    <s v="221292"/>
    <s v="Cod"/>
    <x v="192"/>
    <x v="192"/>
    <x v="6"/>
    <n v="1"/>
    <n v="93.3"/>
    <n v="4.67"/>
    <n v="88.63"/>
    <n v="4.43"/>
    <n v="20"/>
    <n v="20"/>
    <n v="133.06"/>
    <n v="23"/>
    <x v="2"/>
  </r>
  <r>
    <s v="O1396"/>
    <s v="16-02-2025"/>
    <x v="193"/>
    <s v="Bulk"/>
    <x v="1"/>
    <x v="2"/>
    <s v="592545"/>
    <s v="Phonepe"/>
    <x v="193"/>
    <x v="193"/>
    <x v="2"/>
    <n v="1"/>
    <n v="61.65"/>
    <n v="0"/>
    <n v="61.65"/>
    <n v="3.08"/>
    <n v="0"/>
    <n v="20"/>
    <n v="84.73"/>
    <n v="25"/>
    <x v="5"/>
  </r>
  <r>
    <s v="O1397"/>
    <s v="29-01-2025"/>
    <x v="194"/>
    <s v="Bulk"/>
    <x v="3"/>
    <x v="0"/>
    <s v="462470"/>
    <s v="Netbanking"/>
    <x v="194"/>
    <x v="194"/>
    <x v="2"/>
    <n v="1"/>
    <n v="130.77000000000001"/>
    <n v="0"/>
    <n v="130.77000000000001"/>
    <n v="6.54"/>
    <n v="0"/>
    <n v="20"/>
    <n v="157.31"/>
    <n v="15"/>
    <x v="2"/>
  </r>
  <r>
    <s v="O1398"/>
    <s v="02-02-2025"/>
    <x v="195"/>
    <s v="Bulk"/>
    <x v="2"/>
    <x v="1"/>
    <s v="904114"/>
    <s v="Phonepe"/>
    <x v="195"/>
    <x v="195"/>
    <x v="5"/>
    <n v="3"/>
    <n v="94.38"/>
    <n v="4.72"/>
    <n v="278.42"/>
    <n v="13.92"/>
    <n v="10"/>
    <n v="5"/>
    <n v="307.33999999999997"/>
    <n v="14"/>
    <x v="5"/>
  </r>
  <r>
    <s v="O1399"/>
    <s v="21-02-2025"/>
    <x v="196"/>
    <s v="Returning"/>
    <x v="4"/>
    <x v="2"/>
    <s v="834750"/>
    <s v="Card"/>
    <x v="196"/>
    <x v="196"/>
    <x v="0"/>
    <n v="5"/>
    <n v="188.59"/>
    <n v="9.43"/>
    <n v="933.5200000000001"/>
    <n v="46.68"/>
    <n v="20"/>
    <n v="15"/>
    <n v="1015.2"/>
    <n v="43"/>
    <x v="1"/>
  </r>
  <r>
    <s v="O1400"/>
    <s v="30-01-2025"/>
    <x v="197"/>
    <s v="Bulk"/>
    <x v="3"/>
    <x v="2"/>
    <s v="148926"/>
    <s v="Netbanking"/>
    <x v="197"/>
    <x v="197"/>
    <x v="5"/>
    <n v="4"/>
    <n v="84.19"/>
    <n v="12.63"/>
    <n v="324.13"/>
    <n v="16.21"/>
    <n v="20"/>
    <n v="5"/>
    <n v="365.34"/>
    <n v="8"/>
    <x v="4"/>
  </r>
  <r>
    <s v="O1401"/>
    <s v="08-02-2025"/>
    <x v="198"/>
    <s v="Bulk"/>
    <x v="5"/>
    <x v="2"/>
    <s v="402553"/>
    <s v="Wallet"/>
    <x v="0"/>
    <x v="0"/>
    <x v="0"/>
    <n v="1"/>
    <n v="137.46"/>
    <n v="13.75"/>
    <n v="123.71"/>
    <n v="6.19"/>
    <n v="10"/>
    <n v="5"/>
    <n v="144.9"/>
    <n v="22"/>
    <x v="0"/>
  </r>
  <r>
    <s v="O1402"/>
    <s v="27-01-2025"/>
    <x v="199"/>
    <s v="Bulk"/>
    <x v="2"/>
    <x v="1"/>
    <m/>
    <s v="Upi"/>
    <x v="1"/>
    <x v="1"/>
    <x v="2"/>
    <n v="3"/>
    <n v="53.81"/>
    <n v="2.69"/>
    <n v="158.74"/>
    <n v="7.94"/>
    <n v="0"/>
    <n v="5"/>
    <n v="171.68"/>
    <n v="33"/>
    <x v="6"/>
  </r>
  <r>
    <s v="O1403"/>
    <s v="05-02-2025"/>
    <x v="200"/>
    <s v="Bulk"/>
    <x v="5"/>
    <x v="0"/>
    <s v="174723"/>
    <s v="Netbanking"/>
    <x v="198"/>
    <x v="198"/>
    <x v="3"/>
    <n v="1"/>
    <n v="142.18"/>
    <n v="21.33"/>
    <n v="120.85"/>
    <n v="6.04"/>
    <n v="10"/>
    <n v="0"/>
    <n v="136.88999999999999"/>
    <n v="7"/>
    <x v="2"/>
  </r>
  <r>
    <s v="O1404"/>
    <s v="29-01-2025"/>
    <x v="201"/>
    <s v="Bulk"/>
    <x v="1"/>
    <x v="0"/>
    <s v="865110"/>
    <s v="Upi"/>
    <x v="199"/>
    <x v="199"/>
    <x v="0"/>
    <n v="1"/>
    <n v="49.34"/>
    <n v="0"/>
    <n v="49.34"/>
    <n v="2.4700000000000002"/>
    <n v="10"/>
    <n v="5"/>
    <n v="66.81"/>
    <n v="60"/>
    <x v="2"/>
  </r>
  <r>
    <s v="O1405"/>
    <s v="07-02-2025"/>
    <x v="202"/>
    <s v="Bulk"/>
    <x v="0"/>
    <x v="2"/>
    <s v="928753"/>
    <s v="Upi"/>
    <x v="2"/>
    <x v="2"/>
    <x v="9"/>
    <n v="1"/>
    <n v="66.349999999999994"/>
    <n v="3.32"/>
    <n v="63.029999999999987"/>
    <n v="3.15"/>
    <n v="0"/>
    <n v="0"/>
    <n v="66.179999999999993"/>
    <n v="24"/>
    <x v="1"/>
  </r>
  <r>
    <s v="O1406"/>
    <s v="26-02-2025"/>
    <x v="203"/>
    <s v="Returning"/>
    <x v="4"/>
    <x v="2"/>
    <s v="133545"/>
    <s v="Netbanking"/>
    <x v="3"/>
    <x v="3"/>
    <x v="7"/>
    <n v="5"/>
    <n v="95.08"/>
    <n v="0"/>
    <n v="475.4"/>
    <n v="23.77"/>
    <n v="10"/>
    <n v="20"/>
    <n v="529.16999999999996"/>
    <n v="32"/>
    <x v="2"/>
  </r>
  <r>
    <s v="O1407"/>
    <s v="02-02-2025"/>
    <x v="204"/>
    <s v="Returning"/>
    <x v="4"/>
    <x v="2"/>
    <s v="887506"/>
    <s v="Upi"/>
    <x v="4"/>
    <x v="4"/>
    <x v="0"/>
    <n v="1"/>
    <n v="245.74"/>
    <n v="12.29"/>
    <n v="233.45"/>
    <n v="11.67"/>
    <n v="10"/>
    <n v="20"/>
    <n v="275.12"/>
    <n v="11"/>
    <x v="5"/>
  </r>
  <r>
    <s v="O1408"/>
    <s v="06-02-2025"/>
    <x v="205"/>
    <s v="New"/>
    <x v="4"/>
    <x v="2"/>
    <s v="364130"/>
    <s v="Upi"/>
    <x v="5"/>
    <x v="5"/>
    <x v="0"/>
    <n v="1"/>
    <n v="197.92"/>
    <n v="19.79"/>
    <n v="178.13"/>
    <n v="8.91"/>
    <n v="10"/>
    <n v="0"/>
    <n v="197.04"/>
    <n v="24.67"/>
    <x v="4"/>
  </r>
  <r>
    <s v="O1409"/>
    <s v="27-01-2025"/>
    <x v="206"/>
    <s v="Bulk"/>
    <x v="5"/>
    <x v="1"/>
    <s v="477332"/>
    <s v="Netbanking"/>
    <x v="6"/>
    <x v="6"/>
    <x v="9"/>
    <n v="8"/>
    <n v="61.47"/>
    <n v="9.2200000000000006"/>
    <n v="482.54"/>
    <n v="24.13"/>
    <n v="0"/>
    <n v="5"/>
    <n v="511.67"/>
    <n v="31"/>
    <x v="6"/>
  </r>
  <r>
    <s v="O1410"/>
    <s v="24-02-2025"/>
    <x v="207"/>
    <s v="Bulk"/>
    <x v="1"/>
    <x v="1"/>
    <s v="411896"/>
    <s v="Cod"/>
    <x v="7"/>
    <x v="7"/>
    <x v="8"/>
    <n v="5"/>
    <n v="103.42"/>
    <n v="10.34"/>
    <n v="506.76"/>
    <n v="25.34"/>
    <n v="20"/>
    <n v="0"/>
    <n v="552.1"/>
    <n v="23"/>
    <x v="6"/>
  </r>
  <r>
    <s v="O1411"/>
    <s v="02-02-2025"/>
    <x v="208"/>
    <s v="Bulk"/>
    <x v="2"/>
    <x v="1"/>
    <s v="896505"/>
    <s v="Cod"/>
    <x v="8"/>
    <x v="8"/>
    <x v="8"/>
    <n v="3"/>
    <n v="80.790000000000006"/>
    <n v="12.12"/>
    <n v="230.25"/>
    <n v="11.51"/>
    <n v="20"/>
    <n v="15"/>
    <n v="276.76"/>
    <n v="21"/>
    <x v="5"/>
  </r>
  <r>
    <s v="O1412"/>
    <s v="04-01-2025"/>
    <x v="209"/>
    <s v="Bulk"/>
    <x v="3"/>
    <x v="1"/>
    <s v="929716"/>
    <s v="Upi"/>
    <x v="9"/>
    <x v="9"/>
    <x v="5"/>
    <n v="1"/>
    <n v="193.67"/>
    <n v="0"/>
    <n v="193.67"/>
    <n v="9.68"/>
    <n v="10"/>
    <n v="5"/>
    <n v="218.35"/>
    <n v="29"/>
    <x v="0"/>
  </r>
  <r>
    <s v="O1413"/>
    <s v="22-01-2025"/>
    <x v="210"/>
    <s v="Bulk"/>
    <x v="2"/>
    <x v="0"/>
    <s v="685768"/>
    <s v="Phonepe"/>
    <x v="10"/>
    <x v="10"/>
    <x v="2"/>
    <n v="4"/>
    <n v="94.26"/>
    <n v="14.14"/>
    <n v="362.9"/>
    <n v="18.149999999999999"/>
    <n v="10"/>
    <n v="0"/>
    <n v="391.05"/>
    <n v="29"/>
    <x v="2"/>
  </r>
  <r>
    <s v="O1414"/>
    <s v="02-01-2025"/>
    <x v="211"/>
    <s v="Bulk"/>
    <x v="3"/>
    <x v="2"/>
    <s v="570076"/>
    <s v="Gpay"/>
    <x v="11"/>
    <x v="11"/>
    <x v="0"/>
    <n v="6"/>
    <n v="92.53"/>
    <n v="13.88"/>
    <n v="541.30000000000007"/>
    <n v="27.07"/>
    <n v="10"/>
    <n v="10"/>
    <n v="588.37000000000012"/>
    <n v="10"/>
    <x v="4"/>
  </r>
  <r>
    <s v="O1415"/>
    <s v="10-01-2025"/>
    <x v="212"/>
    <s v="Bulk"/>
    <x v="2"/>
    <x v="2"/>
    <s v="664365"/>
    <s v="Phonepe"/>
    <x v="12"/>
    <x v="12"/>
    <x v="1"/>
    <n v="6"/>
    <n v="140.77000000000001"/>
    <n v="14.08"/>
    <n v="830.54000000000008"/>
    <n v="41.53"/>
    <n v="20"/>
    <n v="15"/>
    <n v="907.07"/>
    <n v="24.67"/>
    <x v="1"/>
  </r>
  <r>
    <s v="O1416"/>
    <s v="05-01-2025"/>
    <x v="213"/>
    <s v="Bulk"/>
    <x v="3"/>
    <x v="1"/>
    <s v="961579"/>
    <s v="Gpay"/>
    <x v="13"/>
    <x v="13"/>
    <x v="5"/>
    <n v="5"/>
    <n v="127.78"/>
    <n v="19.170000000000002"/>
    <n v="619.73"/>
    <n v="30.99"/>
    <n v="20"/>
    <n v="20"/>
    <n v="690.72"/>
    <n v="34"/>
    <x v="5"/>
  </r>
  <r>
    <s v="O1417"/>
    <s v="28-02-2025"/>
    <x v="214"/>
    <s v="Bulk"/>
    <x v="2"/>
    <x v="1"/>
    <s v="613694"/>
    <s v="Upi"/>
    <x v="14"/>
    <x v="14"/>
    <x v="7"/>
    <n v="5"/>
    <n v="214.33"/>
    <n v="0"/>
    <n v="1071.6500000000001"/>
    <n v="53.58"/>
    <n v="30"/>
    <n v="15"/>
    <n v="1170.23"/>
    <n v="15"/>
    <x v="1"/>
  </r>
  <r>
    <s v="O1418"/>
    <s v="10-01-2025"/>
    <x v="215"/>
    <s v="Bulk"/>
    <x v="1"/>
    <x v="2"/>
    <s v="543232"/>
    <s v="Upi"/>
    <x v="15"/>
    <x v="15"/>
    <x v="5"/>
    <n v="1"/>
    <n v="122.25"/>
    <n v="18.34"/>
    <n v="103.91"/>
    <n v="5.2"/>
    <n v="20"/>
    <n v="15"/>
    <n v="144.11000000000001"/>
    <n v="35"/>
    <x v="1"/>
  </r>
  <r>
    <s v="O1419"/>
    <s v="02-02-2025"/>
    <x v="216"/>
    <s v="Bulk"/>
    <x v="2"/>
    <x v="1"/>
    <s v="628058"/>
    <s v="Cod"/>
    <x v="16"/>
    <x v="16"/>
    <x v="8"/>
    <n v="7"/>
    <n v="117.88"/>
    <n v="5.89"/>
    <n v="819.27"/>
    <n v="40.96"/>
    <n v="30"/>
    <n v="10"/>
    <n v="900.23"/>
    <n v="22"/>
    <x v="5"/>
  </r>
  <r>
    <s v="O1420"/>
    <s v="23-02-2025"/>
    <x v="217"/>
    <s v="Bulk"/>
    <x v="2"/>
    <x v="2"/>
    <s v="120946"/>
    <s v="Gpay"/>
    <x v="17"/>
    <x v="17"/>
    <x v="7"/>
    <n v="3"/>
    <n v="66.38"/>
    <n v="6.64"/>
    <n v="192.5"/>
    <n v="9.6199999999999992"/>
    <n v="10"/>
    <n v="20"/>
    <n v="232.12"/>
    <n v="21"/>
    <x v="5"/>
  </r>
  <r>
    <s v="O1421"/>
    <s v="07-02-2025"/>
    <x v="218"/>
    <s v="New"/>
    <x v="4"/>
    <x v="2"/>
    <s v="385815"/>
    <s v="Upi"/>
    <x v="18"/>
    <x v="18"/>
    <x v="2"/>
    <n v="1"/>
    <n v="114.13"/>
    <n v="5.71"/>
    <n v="108.42"/>
    <n v="5.42"/>
    <n v="10"/>
    <n v="10"/>
    <n v="133.84"/>
    <n v="26"/>
    <x v="1"/>
  </r>
  <r>
    <s v="O1422"/>
    <s v="13-01-2025"/>
    <x v="219"/>
    <s v="Bulk"/>
    <x v="1"/>
    <x v="2"/>
    <s v="419957"/>
    <s v="Netbanking"/>
    <x v="19"/>
    <x v="19"/>
    <x v="2"/>
    <n v="3"/>
    <n v="195.46"/>
    <n v="9.77"/>
    <n v="576.61"/>
    <n v="28.83"/>
    <n v="0"/>
    <n v="15"/>
    <n v="620.44000000000005"/>
    <n v="29"/>
    <x v="6"/>
  </r>
  <r>
    <s v="O1423"/>
    <s v="31-01-2025"/>
    <x v="220"/>
    <s v="Bulk"/>
    <x v="2"/>
    <x v="1"/>
    <s v="323687"/>
    <s v="Upi"/>
    <x v="20"/>
    <x v="20"/>
    <x v="2"/>
    <n v="1"/>
    <n v="151.46"/>
    <n v="15.15"/>
    <n v="136.31"/>
    <n v="6.82"/>
    <n v="20"/>
    <n v="5"/>
    <n v="168.13"/>
    <n v="21"/>
    <x v="1"/>
  </r>
  <r>
    <s v="O1424"/>
    <s v="16-02-2025"/>
    <x v="221"/>
    <s v="Bulk"/>
    <x v="1"/>
    <x v="0"/>
    <s v="719716"/>
    <s v="Upi"/>
    <x v="21"/>
    <x v="21"/>
    <x v="2"/>
    <n v="3"/>
    <n v="130.29"/>
    <n v="0"/>
    <n v="390.87"/>
    <n v="19.54"/>
    <n v="20"/>
    <n v="10"/>
    <n v="440.41"/>
    <n v="24.67"/>
    <x v="5"/>
  </r>
  <r>
    <s v="O1425"/>
    <s v="05-02-2025"/>
    <x v="222"/>
    <s v="Bulk"/>
    <x v="1"/>
    <x v="0"/>
    <s v="971171"/>
    <s v="Upi"/>
    <x v="22"/>
    <x v="22"/>
    <x v="6"/>
    <n v="1"/>
    <n v="81.45"/>
    <n v="12.22"/>
    <n v="69.23"/>
    <n v="3.46"/>
    <n v="20"/>
    <n v="20"/>
    <n v="112.69"/>
    <n v="24.67"/>
    <x v="2"/>
  </r>
  <r>
    <s v="O1426"/>
    <s v="14-02-2025"/>
    <x v="223"/>
    <s v="Bulk"/>
    <x v="2"/>
    <x v="2"/>
    <s v="223168"/>
    <s v="Upi"/>
    <x v="23"/>
    <x v="23"/>
    <x v="8"/>
    <n v="4"/>
    <n v="150.63999999999999"/>
    <n v="7.53"/>
    <n v="595.03"/>
    <n v="29.75"/>
    <n v="10"/>
    <n v="0"/>
    <n v="634.78"/>
    <n v="21"/>
    <x v="1"/>
  </r>
  <r>
    <s v="O1427"/>
    <s v="24-01-2025"/>
    <x v="224"/>
    <s v="Bulk"/>
    <x v="2"/>
    <x v="1"/>
    <s v="478355"/>
    <s v="Upi"/>
    <x v="24"/>
    <x v="24"/>
    <x v="0"/>
    <n v="1"/>
    <n v="81.790000000000006"/>
    <n v="8.18"/>
    <n v="73.610000000000014"/>
    <n v="3.68"/>
    <n v="20"/>
    <n v="10"/>
    <n v="107.29"/>
    <n v="36"/>
    <x v="1"/>
  </r>
  <r>
    <s v="O1428"/>
    <s v="21-02-2025"/>
    <x v="225"/>
    <s v="Bulk"/>
    <x v="1"/>
    <x v="0"/>
    <s v="726683"/>
    <s v="Card"/>
    <x v="25"/>
    <x v="25"/>
    <x v="6"/>
    <n v="3"/>
    <n v="217.09"/>
    <n v="21.71"/>
    <n v="629.55999999999995"/>
    <n v="31.48"/>
    <n v="20"/>
    <n v="5"/>
    <n v="686.04"/>
    <n v="24.67"/>
    <x v="1"/>
  </r>
  <r>
    <s v="O1429"/>
    <s v="25-02-2025"/>
    <x v="226"/>
    <s v="Bulk"/>
    <x v="1"/>
    <x v="2"/>
    <s v="649391"/>
    <s v="Wallet"/>
    <x v="26"/>
    <x v="26"/>
    <x v="8"/>
    <n v="3"/>
    <n v="126.18"/>
    <n v="0"/>
    <n v="378.54"/>
    <n v="18.93"/>
    <n v="20"/>
    <n v="0"/>
    <n v="417.47"/>
    <n v="24.67"/>
    <x v="3"/>
  </r>
  <r>
    <s v="O1430"/>
    <s v="15-01-2025"/>
    <x v="227"/>
    <s v="Bulk"/>
    <x v="2"/>
    <x v="0"/>
    <s v="125825"/>
    <s v="Upi"/>
    <x v="27"/>
    <x v="27"/>
    <x v="9"/>
    <n v="1"/>
    <n v="69.63"/>
    <n v="3.48"/>
    <n v="66.149999999999991"/>
    <n v="3.31"/>
    <n v="20"/>
    <n v="15"/>
    <n v="104.46"/>
    <n v="38"/>
    <x v="2"/>
  </r>
  <r>
    <s v="O1431"/>
    <s v="29-01-2025"/>
    <x v="228"/>
    <s v="Bulk"/>
    <x v="0"/>
    <x v="2"/>
    <s v="166433"/>
    <s v="Upi"/>
    <x v="28"/>
    <x v="28"/>
    <x v="2"/>
    <n v="5"/>
    <n v="253.89"/>
    <n v="25.39"/>
    <n v="1244.06"/>
    <n v="62.2"/>
    <n v="30"/>
    <n v="10"/>
    <n v="1346.26"/>
    <n v="24.67"/>
    <x v="2"/>
  </r>
  <r>
    <s v="O1432"/>
    <s v="08-01-2025"/>
    <x v="229"/>
    <s v="Bulk"/>
    <x v="1"/>
    <x v="2"/>
    <s v="546880"/>
    <s v="Upi"/>
    <x v="29"/>
    <x v="29"/>
    <x v="9"/>
    <n v="2"/>
    <n v="107.84"/>
    <n v="5.39"/>
    <n v="210.29"/>
    <n v="10.51"/>
    <n v="20"/>
    <n v="20"/>
    <n v="260.8"/>
    <n v="22"/>
    <x v="2"/>
  </r>
  <r>
    <s v="O1433"/>
    <s v="05-01-2025"/>
    <x v="230"/>
    <s v="Bulk"/>
    <x v="2"/>
    <x v="2"/>
    <s v="913439"/>
    <s v="Phonepe"/>
    <x v="30"/>
    <x v="30"/>
    <x v="2"/>
    <n v="3"/>
    <n v="149.57"/>
    <n v="22.44"/>
    <n v="426.27"/>
    <n v="21.31"/>
    <n v="0"/>
    <n v="0"/>
    <n v="447.58"/>
    <n v="33"/>
    <x v="5"/>
  </r>
  <r>
    <s v="O1434"/>
    <s v="29-01-2025"/>
    <x v="231"/>
    <s v="Bulk"/>
    <x v="2"/>
    <x v="1"/>
    <s v="333746"/>
    <s v="Cod"/>
    <x v="31"/>
    <x v="31"/>
    <x v="8"/>
    <n v="1"/>
    <n v="16.97"/>
    <n v="2.5499999999999998"/>
    <n v="14.42"/>
    <n v="0.72"/>
    <n v="0"/>
    <n v="15"/>
    <n v="30.14"/>
    <n v="31"/>
    <x v="2"/>
  </r>
  <r>
    <s v="O1435"/>
    <s v="16-02-2025"/>
    <x v="232"/>
    <s v="Bulk"/>
    <x v="2"/>
    <x v="3"/>
    <s v="757116"/>
    <s v="Wallet"/>
    <x v="32"/>
    <x v="32"/>
    <x v="6"/>
    <n v="2"/>
    <n v="128.19999999999999"/>
    <n v="0"/>
    <n v="256.39999999999998"/>
    <n v="12.82"/>
    <n v="0"/>
    <n v="5"/>
    <n v="274.22000000000003"/>
    <n v="25"/>
    <x v="5"/>
  </r>
  <r>
    <s v="O1436"/>
    <s v="04-01-2025"/>
    <x v="233"/>
    <s v="Bulk"/>
    <x v="5"/>
    <x v="2"/>
    <s v="497751"/>
    <s v="Netbanking"/>
    <x v="33"/>
    <x v="33"/>
    <x v="9"/>
    <n v="4"/>
    <n v="88.34"/>
    <n v="13.25"/>
    <n v="340.11"/>
    <n v="17.010000000000002"/>
    <n v="30"/>
    <n v="5"/>
    <n v="392.12"/>
    <n v="26"/>
    <x v="0"/>
  </r>
  <r>
    <s v="O1437"/>
    <s v="12-01-2025"/>
    <x v="234"/>
    <s v="Bulk"/>
    <x v="0"/>
    <x v="1"/>
    <s v="553028"/>
    <s v="Card"/>
    <x v="34"/>
    <x v="34"/>
    <x v="9"/>
    <n v="1"/>
    <n v="93.26"/>
    <n v="9.33"/>
    <n v="83.93"/>
    <n v="4.2"/>
    <n v="0"/>
    <n v="10"/>
    <n v="98.13000000000001"/>
    <n v="45"/>
    <x v="5"/>
  </r>
  <r>
    <s v="O1438"/>
    <s v="14-02-2025"/>
    <x v="235"/>
    <s v="Bulk"/>
    <x v="0"/>
    <x v="1"/>
    <s v="110207"/>
    <s v="Wallet"/>
    <x v="35"/>
    <x v="35"/>
    <x v="8"/>
    <n v="1"/>
    <n v="106.99"/>
    <n v="0"/>
    <n v="106.99"/>
    <n v="5.35"/>
    <n v="10"/>
    <n v="5"/>
    <n v="127.34"/>
    <n v="29"/>
    <x v="1"/>
  </r>
  <r>
    <s v="O1439"/>
    <s v="02-01-2025"/>
    <x v="236"/>
    <s v="Bulk"/>
    <x v="5"/>
    <x v="2"/>
    <s v="775616"/>
    <s v="Phonepe"/>
    <x v="36"/>
    <x v="36"/>
    <x v="5"/>
    <n v="1"/>
    <n v="171.07"/>
    <n v="25.66"/>
    <n v="145.41"/>
    <n v="7.27"/>
    <n v="10"/>
    <n v="5"/>
    <n v="167.68"/>
    <n v="37"/>
    <x v="4"/>
  </r>
  <r>
    <s v="O1440"/>
    <s v="27-01-2025"/>
    <x v="237"/>
    <s v="Bulk"/>
    <x v="0"/>
    <x v="0"/>
    <s v="929783"/>
    <s v="Netbanking"/>
    <x v="37"/>
    <x v="37"/>
    <x v="2"/>
    <n v="1"/>
    <n v="27.03"/>
    <n v="1.35"/>
    <n v="25.68"/>
    <n v="1.28"/>
    <n v="0"/>
    <n v="10"/>
    <n v="36.96"/>
    <n v="24.67"/>
    <x v="6"/>
  </r>
  <r>
    <s v="O1441"/>
    <s v="31-01-2025"/>
    <x v="238"/>
    <s v="Bulk"/>
    <x v="2"/>
    <x v="0"/>
    <s v="373363"/>
    <s v="Upi"/>
    <x v="38"/>
    <x v="38"/>
    <x v="7"/>
    <n v="1"/>
    <n v="166.56"/>
    <n v="16.66"/>
    <n v="149.9"/>
    <n v="7.5"/>
    <n v="20"/>
    <n v="10"/>
    <n v="187.4"/>
    <n v="23"/>
    <x v="1"/>
  </r>
  <r>
    <s v="O1442"/>
    <s v="20-02-2025"/>
    <x v="239"/>
    <s v="New"/>
    <x v="4"/>
    <x v="0"/>
    <s v="331615"/>
    <s v="Gpay"/>
    <x v="39"/>
    <x v="39"/>
    <x v="2"/>
    <n v="2"/>
    <n v="208.43"/>
    <n v="20.84"/>
    <n v="396.02"/>
    <n v="19.8"/>
    <n v="20"/>
    <n v="5"/>
    <n v="440.82000000000011"/>
    <n v="33"/>
    <x v="4"/>
  </r>
  <r>
    <s v="O1443"/>
    <s v="20-02-2025"/>
    <x v="240"/>
    <s v="Bulk"/>
    <x v="3"/>
    <x v="0"/>
    <s v="848979"/>
    <s v="Upi"/>
    <x v="40"/>
    <x v="40"/>
    <x v="0"/>
    <n v="1"/>
    <n v="93.13"/>
    <n v="13.97"/>
    <n v="79.16"/>
    <n v="3.96"/>
    <n v="30"/>
    <n v="5"/>
    <n v="118.12"/>
    <n v="29"/>
    <x v="4"/>
  </r>
  <r>
    <s v="O1444"/>
    <s v="05-02-2025"/>
    <x v="241"/>
    <s v="Bulk"/>
    <x v="3"/>
    <x v="2"/>
    <s v="373672"/>
    <s v="Wallet"/>
    <x v="41"/>
    <x v="41"/>
    <x v="2"/>
    <n v="3"/>
    <n v="74.239999999999995"/>
    <n v="0"/>
    <n v="222.72"/>
    <n v="11.14"/>
    <n v="0"/>
    <n v="10"/>
    <n v="243.86"/>
    <n v="38"/>
    <x v="2"/>
  </r>
  <r>
    <s v="O1445"/>
    <s v="05-02-2025"/>
    <x v="242"/>
    <s v="Bulk"/>
    <x v="1"/>
    <x v="2"/>
    <s v="674586"/>
    <s v="Wallet"/>
    <x v="42"/>
    <x v="42"/>
    <x v="0"/>
    <n v="5"/>
    <n v="181.12"/>
    <n v="27.17"/>
    <n v="878.43000000000006"/>
    <n v="43.92"/>
    <n v="0"/>
    <n v="15"/>
    <n v="937.35"/>
    <n v="40"/>
    <x v="2"/>
  </r>
  <r>
    <s v="O1446"/>
    <s v="26-01-2025"/>
    <x v="243"/>
    <s v="Bulk"/>
    <x v="2"/>
    <x v="2"/>
    <s v="763478"/>
    <s v="Phonepe"/>
    <x v="43"/>
    <x v="43"/>
    <x v="8"/>
    <n v="1"/>
    <n v="54.85"/>
    <n v="8.23"/>
    <n v="46.62"/>
    <n v="2.33"/>
    <n v="10"/>
    <n v="5"/>
    <n v="63.95"/>
    <n v="46"/>
    <x v="5"/>
  </r>
  <r>
    <s v="O1447"/>
    <s v="12-02-2025"/>
    <x v="244"/>
    <s v="Bulk"/>
    <x v="0"/>
    <x v="0"/>
    <s v="161394"/>
    <s v="Card"/>
    <x v="44"/>
    <x v="44"/>
    <x v="3"/>
    <n v="2"/>
    <n v="190.41"/>
    <n v="9.52"/>
    <n v="371.3"/>
    <n v="18.57"/>
    <n v="10"/>
    <n v="0"/>
    <n v="399.87"/>
    <n v="16"/>
    <x v="2"/>
  </r>
  <r>
    <s v="O1448"/>
    <s v="27-01-2025"/>
    <x v="245"/>
    <s v="Bulk"/>
    <x v="3"/>
    <x v="1"/>
    <s v="680206"/>
    <s v="Gpay"/>
    <x v="45"/>
    <x v="45"/>
    <x v="4"/>
    <n v="5"/>
    <n v="138.41999999999999"/>
    <n v="20.76"/>
    <n v="671.33999999999992"/>
    <n v="33.57"/>
    <n v="0"/>
    <n v="10"/>
    <n v="714.91"/>
    <n v="24.67"/>
    <x v="6"/>
  </r>
  <r>
    <s v="O1449"/>
    <s v="05-01-2025"/>
    <x v="246"/>
    <s v="Bulk"/>
    <x v="0"/>
    <x v="2"/>
    <m/>
    <s v="Cod"/>
    <x v="46"/>
    <x v="46"/>
    <x v="9"/>
    <n v="1"/>
    <n v="189.16"/>
    <n v="18.920000000000002"/>
    <n v="170.24"/>
    <n v="8.51"/>
    <n v="30"/>
    <n v="10"/>
    <n v="218.75"/>
    <n v="24.67"/>
    <x v="5"/>
  </r>
  <r>
    <s v="O1450"/>
    <s v="20-01-2025"/>
    <x v="247"/>
    <s v="Bulk"/>
    <x v="1"/>
    <x v="1"/>
    <s v="214310"/>
    <s v="Upi"/>
    <x v="47"/>
    <x v="47"/>
    <x v="8"/>
    <n v="1"/>
    <n v="145.22"/>
    <n v="0"/>
    <n v="145.22"/>
    <n v="7.26"/>
    <n v="0"/>
    <n v="10"/>
    <n v="162.47999999999999"/>
    <n v="27"/>
    <x v="6"/>
  </r>
  <r>
    <s v="O1451"/>
    <s v="11-01-2025"/>
    <x v="248"/>
    <s v="Bulk"/>
    <x v="0"/>
    <x v="2"/>
    <s v="796314"/>
    <s v="Phonepe"/>
    <x v="48"/>
    <x v="48"/>
    <x v="3"/>
    <n v="1"/>
    <n v="167.65"/>
    <n v="0"/>
    <n v="167.65"/>
    <n v="8.3800000000000008"/>
    <n v="20"/>
    <n v="0"/>
    <n v="196.03"/>
    <n v="22"/>
    <x v="0"/>
  </r>
  <r>
    <s v="O1452"/>
    <s v="10-01-2025"/>
    <x v="249"/>
    <s v="Bulk"/>
    <x v="1"/>
    <x v="1"/>
    <s v="248112"/>
    <s v="Upi"/>
    <x v="49"/>
    <x v="49"/>
    <x v="9"/>
    <n v="4"/>
    <n v="126.75"/>
    <n v="0"/>
    <n v="507"/>
    <n v="25.35"/>
    <n v="0"/>
    <n v="5"/>
    <n v="537.35"/>
    <n v="21"/>
    <x v="1"/>
  </r>
  <r>
    <s v="O1453"/>
    <s v="09-02-2025"/>
    <x v="250"/>
    <s v="Bulk"/>
    <x v="3"/>
    <x v="0"/>
    <s v="129048"/>
    <s v="Card"/>
    <x v="50"/>
    <x v="50"/>
    <x v="5"/>
    <n v="4"/>
    <n v="59.47"/>
    <n v="8.92"/>
    <n v="228.96"/>
    <n v="11.45"/>
    <n v="0"/>
    <n v="10"/>
    <n v="250.41"/>
    <n v="29"/>
    <x v="5"/>
  </r>
  <r>
    <s v="O1454"/>
    <s v="07-02-2025"/>
    <x v="251"/>
    <s v="Bulk"/>
    <x v="3"/>
    <x v="0"/>
    <s v="120968"/>
    <s v="Phonepe"/>
    <x v="51"/>
    <x v="51"/>
    <x v="2"/>
    <n v="1"/>
    <n v="57.73"/>
    <n v="2.89"/>
    <n v="54.84"/>
    <n v="2.74"/>
    <n v="10"/>
    <n v="15"/>
    <n v="82.58"/>
    <n v="24.67"/>
    <x v="1"/>
  </r>
  <r>
    <s v="O1455"/>
    <s v="06-01-2025"/>
    <x v="252"/>
    <s v="Bulk"/>
    <x v="3"/>
    <x v="1"/>
    <s v="441603"/>
    <s v="Upi"/>
    <x v="52"/>
    <x v="52"/>
    <x v="5"/>
    <n v="5"/>
    <n v="64.459999999999994"/>
    <n v="3.22"/>
    <n v="319.07999999999993"/>
    <n v="15.95"/>
    <n v="10"/>
    <n v="20"/>
    <n v="365.02999999999992"/>
    <n v="22"/>
    <x v="6"/>
  </r>
  <r>
    <s v="O1456"/>
    <s v="08-01-2025"/>
    <x v="253"/>
    <s v="New"/>
    <x v="4"/>
    <x v="1"/>
    <s v="200588"/>
    <s v="Phonepe"/>
    <x v="53"/>
    <x v="53"/>
    <x v="9"/>
    <n v="3"/>
    <n v="85.35"/>
    <n v="0"/>
    <n v="256.05"/>
    <n v="12.8"/>
    <n v="0"/>
    <n v="5"/>
    <n v="273.85000000000002"/>
    <n v="23"/>
    <x v="2"/>
  </r>
  <r>
    <s v="O1457"/>
    <s v="23-01-2025"/>
    <x v="254"/>
    <s v="Bulk"/>
    <x v="3"/>
    <x v="1"/>
    <m/>
    <s v="Netbanking"/>
    <x v="54"/>
    <x v="54"/>
    <x v="3"/>
    <n v="2"/>
    <n v="129.74"/>
    <n v="6.49"/>
    <n v="252.99"/>
    <n v="12.65"/>
    <n v="30"/>
    <n v="5"/>
    <n v="300.64"/>
    <n v="14"/>
    <x v="4"/>
  </r>
  <r>
    <s v="O1458"/>
    <s v="16-02-2025"/>
    <x v="255"/>
    <s v="Bulk"/>
    <x v="2"/>
    <x v="2"/>
    <s v="557301"/>
    <s v="Gpay"/>
    <x v="55"/>
    <x v="55"/>
    <x v="9"/>
    <n v="1"/>
    <n v="84.77"/>
    <n v="0"/>
    <n v="84.77"/>
    <n v="4.24"/>
    <n v="20"/>
    <n v="20"/>
    <n v="129.01"/>
    <n v="13"/>
    <x v="5"/>
  </r>
  <r>
    <s v="O1459"/>
    <s v="26-01-2025"/>
    <x v="256"/>
    <s v="Bulk"/>
    <x v="2"/>
    <x v="0"/>
    <s v="630992"/>
    <s v="Phonepe"/>
    <x v="56"/>
    <x v="56"/>
    <x v="5"/>
    <n v="1"/>
    <n v="129.07"/>
    <n v="0"/>
    <n v="129.07"/>
    <n v="6.45"/>
    <n v="0"/>
    <n v="20"/>
    <n v="155.52000000000001"/>
    <n v="44"/>
    <x v="5"/>
  </r>
  <r>
    <s v="O1460"/>
    <s v="15-02-2025"/>
    <x v="257"/>
    <s v="Bulk"/>
    <x v="3"/>
    <x v="0"/>
    <s v="429408"/>
    <s v="Card"/>
    <x v="57"/>
    <x v="57"/>
    <x v="3"/>
    <n v="4"/>
    <n v="18.3"/>
    <n v="1.83"/>
    <n v="71.37"/>
    <n v="3.57"/>
    <n v="10"/>
    <n v="10"/>
    <n v="94.94"/>
    <n v="38"/>
    <x v="0"/>
  </r>
  <r>
    <s v="O1461"/>
    <s v="12-02-2025"/>
    <x v="258"/>
    <s v="Bulk"/>
    <x v="1"/>
    <x v="2"/>
    <s v="895772"/>
    <s v="Netbanking"/>
    <x v="58"/>
    <x v="58"/>
    <x v="6"/>
    <n v="3"/>
    <n v="169.66"/>
    <n v="0"/>
    <n v="508.98"/>
    <n v="25.45"/>
    <n v="10"/>
    <n v="5"/>
    <n v="549.43000000000006"/>
    <n v="34"/>
    <x v="2"/>
  </r>
  <r>
    <s v="O1462"/>
    <s v="12-01-2025"/>
    <x v="259"/>
    <s v="Bulk"/>
    <x v="1"/>
    <x v="0"/>
    <s v="643447"/>
    <s v="Netbanking"/>
    <x v="59"/>
    <x v="59"/>
    <x v="9"/>
    <n v="3"/>
    <n v="108.3"/>
    <n v="0"/>
    <n v="324.89999999999998"/>
    <n v="16.25"/>
    <n v="20"/>
    <n v="10"/>
    <n v="371.15"/>
    <n v="24.67"/>
    <x v="5"/>
  </r>
  <r>
    <s v="O1463"/>
    <s v="26-01-2025"/>
    <x v="260"/>
    <s v="Bulk"/>
    <x v="0"/>
    <x v="2"/>
    <s v="866164"/>
    <s v="Card"/>
    <x v="60"/>
    <x v="60"/>
    <x v="6"/>
    <n v="2"/>
    <n v="169.81"/>
    <n v="8.49"/>
    <n v="331.13"/>
    <n v="16.559999999999999"/>
    <n v="10"/>
    <n v="0"/>
    <n v="357.69"/>
    <n v="11"/>
    <x v="5"/>
  </r>
  <r>
    <s v="O1464"/>
    <s v="13-01-2025"/>
    <x v="261"/>
    <s v="Bulk"/>
    <x v="0"/>
    <x v="2"/>
    <s v="316351"/>
    <s v="Card"/>
    <x v="61"/>
    <x v="61"/>
    <x v="6"/>
    <n v="1"/>
    <n v="165.04"/>
    <n v="8.25"/>
    <n v="156.79"/>
    <n v="7.84"/>
    <n v="20"/>
    <n v="20"/>
    <n v="204.63"/>
    <n v="24.67"/>
    <x v="6"/>
  </r>
  <r>
    <s v="O1465"/>
    <s v="09-02-2025"/>
    <x v="262"/>
    <s v="Bulk"/>
    <x v="0"/>
    <x v="1"/>
    <s v="100209"/>
    <s v="Card"/>
    <x v="62"/>
    <x v="62"/>
    <x v="1"/>
    <n v="3"/>
    <n v="179.75"/>
    <n v="8.99"/>
    <n v="530.26"/>
    <n v="26.51"/>
    <n v="0"/>
    <n v="5"/>
    <n v="561.77"/>
    <n v="26"/>
    <x v="5"/>
  </r>
  <r>
    <s v="O1466"/>
    <s v="18-01-2025"/>
    <x v="263"/>
    <s v="New"/>
    <x v="4"/>
    <x v="1"/>
    <s v="330144"/>
    <s v="Upi"/>
    <x v="63"/>
    <x v="63"/>
    <x v="0"/>
    <n v="8"/>
    <n v="155.88999999999999"/>
    <n v="15.59"/>
    <n v="1231.53"/>
    <n v="61.58"/>
    <n v="0"/>
    <n v="15"/>
    <n v="1308.1099999999999"/>
    <n v="6"/>
    <x v="0"/>
  </r>
  <r>
    <s v="O1467"/>
    <s v="25-01-2025"/>
    <x v="264"/>
    <s v="Bulk"/>
    <x v="5"/>
    <x v="2"/>
    <s v="614242"/>
    <s v="Card"/>
    <x v="64"/>
    <x v="64"/>
    <x v="6"/>
    <n v="3"/>
    <n v="259.26"/>
    <n v="25.93"/>
    <n v="751.85"/>
    <n v="37.590000000000003"/>
    <n v="30"/>
    <n v="15"/>
    <n v="834.44"/>
    <n v="31"/>
    <x v="0"/>
  </r>
  <r>
    <s v="O1468"/>
    <s v="02-02-2025"/>
    <x v="265"/>
    <s v="New"/>
    <x v="4"/>
    <x v="0"/>
    <s v="937056"/>
    <s v="Upi"/>
    <x v="65"/>
    <x v="65"/>
    <x v="2"/>
    <n v="3"/>
    <n v="103.62"/>
    <n v="5.18"/>
    <n v="305.68"/>
    <n v="15.28"/>
    <n v="0"/>
    <n v="20"/>
    <n v="340.96"/>
    <n v="29"/>
    <x v="5"/>
  </r>
  <r>
    <s v="O1469"/>
    <s v="16-02-2025"/>
    <x v="266"/>
    <s v="Bulk"/>
    <x v="3"/>
    <x v="1"/>
    <s v="726946"/>
    <s v="Wallet"/>
    <x v="66"/>
    <x v="66"/>
    <x v="9"/>
    <n v="1"/>
    <n v="216.39"/>
    <n v="21.64"/>
    <n v="194.75"/>
    <n v="9.74"/>
    <n v="10"/>
    <n v="20"/>
    <n v="234.49"/>
    <n v="29"/>
    <x v="5"/>
  </r>
  <r>
    <s v="O1470"/>
    <s v="09-02-2025"/>
    <x v="267"/>
    <s v="Bulk"/>
    <x v="0"/>
    <x v="1"/>
    <s v="104576"/>
    <s v="Card"/>
    <x v="67"/>
    <x v="67"/>
    <x v="5"/>
    <n v="4"/>
    <n v="128.47999999999999"/>
    <n v="0"/>
    <n v="513.91999999999996"/>
    <n v="25.7"/>
    <n v="30"/>
    <n v="15"/>
    <n v="584.62"/>
    <n v="42"/>
    <x v="5"/>
  </r>
  <r>
    <s v="O1471"/>
    <s v="01-03-2025"/>
    <x v="268"/>
    <s v="Bulk"/>
    <x v="2"/>
    <x v="2"/>
    <s v="114439"/>
    <s v="Wallet"/>
    <x v="68"/>
    <x v="68"/>
    <x v="1"/>
    <n v="1"/>
    <n v="164.33"/>
    <n v="24.65"/>
    <n v="139.68"/>
    <n v="6.98"/>
    <n v="0"/>
    <n v="15"/>
    <n v="161.66"/>
    <n v="37"/>
    <x v="0"/>
  </r>
  <r>
    <s v="O1472"/>
    <s v="12-02-2025"/>
    <x v="269"/>
    <s v="Bulk"/>
    <x v="1"/>
    <x v="1"/>
    <s v="841165"/>
    <s v="Card"/>
    <x v="69"/>
    <x v="69"/>
    <x v="5"/>
    <n v="6"/>
    <n v="139.21"/>
    <n v="6.96"/>
    <n v="828.3"/>
    <n v="41.41"/>
    <n v="30"/>
    <n v="5"/>
    <n v="904.70999999999992"/>
    <n v="18"/>
    <x v="2"/>
  </r>
  <r>
    <s v="O1473"/>
    <s v="12-01-2025"/>
    <x v="270"/>
    <s v="Bulk"/>
    <x v="3"/>
    <x v="2"/>
    <s v="308150"/>
    <s v="Card"/>
    <x v="70"/>
    <x v="70"/>
    <x v="7"/>
    <n v="1"/>
    <n v="74.06"/>
    <n v="7.41"/>
    <n v="66.650000000000006"/>
    <n v="3.33"/>
    <n v="20"/>
    <n v="0"/>
    <n v="89.98"/>
    <n v="24"/>
    <x v="5"/>
  </r>
  <r>
    <s v="O1474"/>
    <s v="13-02-2025"/>
    <x v="271"/>
    <s v="New"/>
    <x v="4"/>
    <x v="1"/>
    <s v="173631"/>
    <s v="Wallet"/>
    <x v="71"/>
    <x v="71"/>
    <x v="9"/>
    <n v="3"/>
    <n v="117.58"/>
    <n v="5.88"/>
    <n v="346.86"/>
    <n v="17.34"/>
    <n v="20"/>
    <n v="0"/>
    <n v="384.2"/>
    <n v="12"/>
    <x v="4"/>
  </r>
  <r>
    <s v="O1475"/>
    <s v="05-02-2025"/>
    <x v="272"/>
    <s v="Bulk"/>
    <x v="0"/>
    <x v="1"/>
    <s v="527557"/>
    <s v="Upi"/>
    <x v="72"/>
    <x v="72"/>
    <x v="2"/>
    <n v="2"/>
    <n v="143.91"/>
    <n v="14.39"/>
    <n v="273.43"/>
    <n v="13.67"/>
    <n v="10"/>
    <n v="20"/>
    <n v="317.10000000000002"/>
    <n v="27"/>
    <x v="2"/>
  </r>
  <r>
    <s v="O1476"/>
    <s v="17-02-2025"/>
    <x v="273"/>
    <s v="Bulk"/>
    <x v="5"/>
    <x v="0"/>
    <s v="277586"/>
    <s v="Wallet"/>
    <x v="73"/>
    <x v="73"/>
    <x v="0"/>
    <n v="2"/>
    <n v="67.73"/>
    <n v="10.16"/>
    <n v="125.3"/>
    <n v="6.27"/>
    <n v="0"/>
    <n v="5"/>
    <n v="136.57"/>
    <n v="24.67"/>
    <x v="6"/>
  </r>
  <r>
    <s v="O1477"/>
    <s v="04-01-2025"/>
    <x v="274"/>
    <s v="Bulk"/>
    <x v="1"/>
    <x v="1"/>
    <s v="172577"/>
    <s v="Netbanking"/>
    <x v="74"/>
    <x v="74"/>
    <x v="2"/>
    <n v="6"/>
    <n v="272.5"/>
    <n v="40.880000000000003"/>
    <n v="1594.12"/>
    <n v="79.709999999999994"/>
    <n v="10"/>
    <n v="5"/>
    <n v="1688.83"/>
    <n v="23"/>
    <x v="0"/>
  </r>
  <r>
    <s v="O1478"/>
    <s v="05-01-2025"/>
    <x v="275"/>
    <s v="Bulk"/>
    <x v="3"/>
    <x v="2"/>
    <s v="473337"/>
    <s v="Cod"/>
    <x v="75"/>
    <x v="75"/>
    <x v="9"/>
    <n v="3"/>
    <n v="133.97999999999999"/>
    <n v="0"/>
    <n v="401.93999999999988"/>
    <n v="20.100000000000001"/>
    <n v="10"/>
    <n v="0"/>
    <n v="432.04"/>
    <n v="17"/>
    <x v="5"/>
  </r>
  <r>
    <s v="O1479"/>
    <s v="25-02-2025"/>
    <x v="276"/>
    <s v="Bulk"/>
    <x v="0"/>
    <x v="0"/>
    <s v="821975"/>
    <s v="Wallet"/>
    <x v="76"/>
    <x v="76"/>
    <x v="0"/>
    <n v="4"/>
    <n v="53.94"/>
    <n v="8.09"/>
    <n v="207.67"/>
    <n v="10.38"/>
    <n v="30"/>
    <n v="10"/>
    <n v="258.05"/>
    <n v="29"/>
    <x v="3"/>
  </r>
  <r>
    <s v="O1480"/>
    <s v="06-02-2025"/>
    <x v="277"/>
    <s v="Bulk"/>
    <x v="2"/>
    <x v="1"/>
    <s v="917585"/>
    <s v="Netbanking"/>
    <x v="77"/>
    <x v="77"/>
    <x v="6"/>
    <n v="1"/>
    <n v="66.28"/>
    <n v="3.31"/>
    <n v="62.97"/>
    <n v="3.15"/>
    <n v="30"/>
    <n v="0"/>
    <n v="96.12"/>
    <n v="35"/>
    <x v="4"/>
  </r>
  <r>
    <s v="O1481"/>
    <s v="08-01-2025"/>
    <x v="278"/>
    <s v="Bulk"/>
    <x v="2"/>
    <x v="2"/>
    <s v="826179"/>
    <s v="Gpay"/>
    <x v="78"/>
    <x v="78"/>
    <x v="2"/>
    <n v="1"/>
    <n v="141.29"/>
    <n v="14.13"/>
    <n v="127.16"/>
    <n v="6.36"/>
    <n v="0"/>
    <n v="10"/>
    <n v="143.52000000000001"/>
    <n v="23"/>
    <x v="2"/>
  </r>
  <r>
    <s v="O1482"/>
    <s v="11-02-2025"/>
    <x v="279"/>
    <s v="Bulk"/>
    <x v="1"/>
    <x v="0"/>
    <s v="491337"/>
    <s v="Upi"/>
    <x v="79"/>
    <x v="79"/>
    <x v="6"/>
    <n v="1"/>
    <n v="107.58"/>
    <n v="0"/>
    <n v="107.58"/>
    <n v="5.38"/>
    <n v="0"/>
    <n v="5"/>
    <n v="117.96"/>
    <n v="14"/>
    <x v="3"/>
  </r>
  <r>
    <s v="O1483"/>
    <s v="18-02-2025"/>
    <x v="280"/>
    <s v="Bulk"/>
    <x v="2"/>
    <x v="1"/>
    <m/>
    <s v="Upi"/>
    <x v="80"/>
    <x v="80"/>
    <x v="6"/>
    <n v="1"/>
    <n v="172.99"/>
    <n v="0"/>
    <n v="172.99"/>
    <n v="8.65"/>
    <n v="30"/>
    <n v="10"/>
    <n v="221.64"/>
    <n v="37"/>
    <x v="3"/>
  </r>
  <r>
    <s v="O1484"/>
    <s v="28-01-2025"/>
    <x v="281"/>
    <s v="Returning"/>
    <x v="4"/>
    <x v="2"/>
    <s v="774502"/>
    <s v="Phonepe"/>
    <x v="81"/>
    <x v="81"/>
    <x v="2"/>
    <n v="7"/>
    <n v="161.11000000000001"/>
    <n v="8.06"/>
    <n v="1119.71"/>
    <n v="55.99"/>
    <n v="10"/>
    <n v="10"/>
    <n v="1195.7"/>
    <n v="26"/>
    <x v="3"/>
  </r>
  <r>
    <s v="O1485"/>
    <s v="31-01-2025"/>
    <x v="282"/>
    <s v="Bulk"/>
    <x v="5"/>
    <x v="0"/>
    <s v="644854"/>
    <s v="Phonepe"/>
    <x v="82"/>
    <x v="82"/>
    <x v="0"/>
    <n v="1"/>
    <n v="169.6"/>
    <n v="16.96"/>
    <n v="152.63999999999999"/>
    <n v="7.63"/>
    <n v="0"/>
    <n v="10"/>
    <n v="170.27"/>
    <n v="29"/>
    <x v="1"/>
  </r>
  <r>
    <s v="O1486"/>
    <s v="27-02-2025"/>
    <x v="283"/>
    <s v="Bulk"/>
    <x v="5"/>
    <x v="0"/>
    <s v="993724"/>
    <s v="Upi"/>
    <x v="83"/>
    <x v="83"/>
    <x v="6"/>
    <n v="5"/>
    <n v="232.12"/>
    <n v="23.21"/>
    <n v="1137.3900000000001"/>
    <n v="56.87"/>
    <n v="20"/>
    <n v="0"/>
    <n v="1214.26"/>
    <n v="24.67"/>
    <x v="4"/>
  </r>
  <r>
    <s v="O1487"/>
    <s v="09-01-2025"/>
    <x v="284"/>
    <s v="Returning"/>
    <x v="4"/>
    <x v="2"/>
    <s v="120169"/>
    <s v="Cod"/>
    <x v="84"/>
    <x v="84"/>
    <x v="5"/>
    <n v="3"/>
    <n v="49.71"/>
    <n v="7.46"/>
    <n v="141.66999999999999"/>
    <n v="7.08"/>
    <n v="0"/>
    <n v="0"/>
    <n v="148.75"/>
    <n v="12"/>
    <x v="4"/>
  </r>
  <r>
    <s v="O1488"/>
    <s v="23-02-2025"/>
    <x v="285"/>
    <s v="New"/>
    <x v="4"/>
    <x v="2"/>
    <s v="735589"/>
    <s v="Phonepe"/>
    <x v="85"/>
    <x v="85"/>
    <x v="7"/>
    <n v="5"/>
    <n v="85.73"/>
    <n v="12.86"/>
    <n v="415.79"/>
    <n v="20.79"/>
    <n v="10"/>
    <n v="5"/>
    <n v="451.58"/>
    <n v="32"/>
    <x v="5"/>
  </r>
  <r>
    <s v="O1489"/>
    <s v="20-02-2025"/>
    <x v="286"/>
    <s v="Returning"/>
    <x v="4"/>
    <x v="0"/>
    <s v="330796"/>
    <s v="Card"/>
    <x v="86"/>
    <x v="86"/>
    <x v="9"/>
    <n v="2"/>
    <n v="8.35"/>
    <n v="1.25"/>
    <n v="15.45"/>
    <n v="0.77"/>
    <n v="20"/>
    <n v="10"/>
    <n v="46.22"/>
    <n v="23"/>
    <x v="4"/>
  </r>
  <r>
    <s v="O1490"/>
    <s v="29-01-2025"/>
    <x v="287"/>
    <s v="Bulk"/>
    <x v="2"/>
    <x v="1"/>
    <s v="806050"/>
    <s v="Cod"/>
    <x v="87"/>
    <x v="87"/>
    <x v="1"/>
    <n v="3"/>
    <n v="97.69"/>
    <n v="9.77"/>
    <n v="283.3"/>
    <n v="14.17"/>
    <n v="30"/>
    <n v="0"/>
    <n v="327.47000000000003"/>
    <n v="21"/>
    <x v="2"/>
  </r>
  <r>
    <s v="O1491"/>
    <s v="14-01-2025"/>
    <x v="288"/>
    <s v="Bulk"/>
    <x v="1"/>
    <x v="2"/>
    <m/>
    <s v="Netbanking"/>
    <x v="88"/>
    <x v="88"/>
    <x v="9"/>
    <n v="1"/>
    <n v="60.91"/>
    <n v="0"/>
    <n v="60.91"/>
    <n v="3.05"/>
    <n v="30"/>
    <n v="10"/>
    <n v="103.96"/>
    <n v="30"/>
    <x v="3"/>
  </r>
  <r>
    <s v="O1492"/>
    <s v="09-02-2025"/>
    <x v="289"/>
    <s v="Bulk"/>
    <x v="1"/>
    <x v="1"/>
    <s v="850310"/>
    <s v="Card"/>
    <x v="89"/>
    <x v="89"/>
    <x v="6"/>
    <n v="4"/>
    <n v="146.91"/>
    <n v="14.69"/>
    <n v="572.94999999999993"/>
    <n v="28.65"/>
    <n v="30"/>
    <n v="0"/>
    <n v="631.59999999999991"/>
    <n v="20"/>
    <x v="5"/>
  </r>
  <r>
    <s v="O1493"/>
    <s v="10-02-2025"/>
    <x v="290"/>
    <s v="Bulk"/>
    <x v="2"/>
    <x v="0"/>
    <s v="425499"/>
    <s v="Phonepe"/>
    <x v="90"/>
    <x v="90"/>
    <x v="9"/>
    <n v="4"/>
    <n v="31.06"/>
    <n v="1.55"/>
    <n v="122.69"/>
    <n v="6.13"/>
    <n v="10"/>
    <n v="0"/>
    <n v="138.82"/>
    <n v="21"/>
    <x v="6"/>
  </r>
  <r>
    <s v="O1494"/>
    <s v="22-01-2025"/>
    <x v="291"/>
    <s v="Bulk"/>
    <x v="0"/>
    <x v="1"/>
    <s v="286256"/>
    <s v="Upi"/>
    <x v="91"/>
    <x v="91"/>
    <x v="2"/>
    <n v="5"/>
    <n v="192.89"/>
    <n v="9.64"/>
    <n v="954.81"/>
    <n v="47.74"/>
    <n v="0"/>
    <n v="0"/>
    <n v="1002.55"/>
    <n v="5"/>
    <x v="2"/>
  </r>
  <r>
    <s v="O1495"/>
    <s v="11-01-2025"/>
    <x v="292"/>
    <s v="Returning"/>
    <x v="4"/>
    <x v="0"/>
    <s v="118402"/>
    <s v="Card"/>
    <x v="92"/>
    <x v="92"/>
    <x v="4"/>
    <n v="4"/>
    <n v="227.07"/>
    <n v="0"/>
    <n v="908.28"/>
    <n v="45.41"/>
    <n v="30"/>
    <n v="0"/>
    <n v="983.68999999999994"/>
    <n v="28"/>
    <x v="0"/>
  </r>
  <r>
    <s v="O1496"/>
    <s v="23-01-2025"/>
    <x v="293"/>
    <s v="Bulk"/>
    <x v="1"/>
    <x v="0"/>
    <s v="697726"/>
    <s v="Card"/>
    <x v="93"/>
    <x v="93"/>
    <x v="3"/>
    <n v="4"/>
    <n v="4.66"/>
    <n v="0"/>
    <n v="18.64"/>
    <n v="0.93"/>
    <n v="0"/>
    <n v="10"/>
    <n v="29.57"/>
    <n v="15"/>
    <x v="4"/>
  </r>
  <r>
    <s v="O1497"/>
    <s v="01-01-2025"/>
    <x v="294"/>
    <s v="Bulk"/>
    <x v="5"/>
    <x v="0"/>
    <s v="156494"/>
    <s v="Netbanking"/>
    <x v="94"/>
    <x v="94"/>
    <x v="7"/>
    <n v="2"/>
    <n v="140.25"/>
    <n v="14.03"/>
    <n v="266.47000000000003"/>
    <n v="13.32"/>
    <n v="20"/>
    <n v="0"/>
    <n v="299.79000000000002"/>
    <n v="22"/>
    <x v="2"/>
  </r>
  <r>
    <s v="O1498"/>
    <s v="15-02-2025"/>
    <x v="295"/>
    <s v="Bulk"/>
    <x v="1"/>
    <x v="1"/>
    <s v="831455"/>
    <s v="Upi"/>
    <x v="95"/>
    <x v="95"/>
    <x v="4"/>
    <n v="7"/>
    <n v="63.66"/>
    <n v="0"/>
    <n v="445.62"/>
    <n v="22.28"/>
    <n v="0"/>
    <n v="0"/>
    <n v="467.9"/>
    <n v="24.67"/>
    <x v="0"/>
  </r>
  <r>
    <s v="O1499"/>
    <s v="06-02-2025"/>
    <x v="296"/>
    <s v="Bulk"/>
    <x v="1"/>
    <x v="2"/>
    <s v="752842"/>
    <s v="Gpay"/>
    <x v="96"/>
    <x v="96"/>
    <x v="7"/>
    <n v="4"/>
    <n v="101.67"/>
    <n v="0"/>
    <n v="406.68"/>
    <n v="20.329999999999998"/>
    <n v="20"/>
    <n v="15"/>
    <n v="462.01"/>
    <n v="32"/>
    <x v="4"/>
  </r>
  <r>
    <s v="O1500"/>
    <s v="21-01-2025"/>
    <x v="297"/>
    <s v="Bulk"/>
    <x v="1"/>
    <x v="2"/>
    <s v="959391"/>
    <s v="Wallet"/>
    <x v="97"/>
    <x v="97"/>
    <x v="1"/>
    <n v="1"/>
    <n v="198.94"/>
    <n v="29.84"/>
    <n v="169.1"/>
    <n v="8.4600000000000009"/>
    <n v="30"/>
    <n v="15"/>
    <n v="222.56"/>
    <n v="2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25FF2-202E-402B-AF0A-C51A65DA80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1" showAll="0"/>
    <pivotField numFmtId="1" showAll="0"/>
    <pivotField dataField="1" numFmtId="2" showAll="0"/>
    <pivotField showAll="0"/>
    <pivotField axis="axisRow" showAll="0">
      <items count="8">
        <item x="5"/>
        <item x="6"/>
        <item x="3"/>
        <item x="2"/>
        <item x="4"/>
        <item x="1"/>
        <item x="0"/>
        <item t="default"/>
      </items>
    </pivotField>
  </pivotFields>
  <rowFields count="1">
    <field x="20"/>
  </rowFields>
  <rowItems count="8">
    <i>
      <x/>
    </i>
    <i>
      <x v="1"/>
    </i>
    <i>
      <x v="2"/>
    </i>
    <i>
      <x v="3"/>
    </i>
    <i>
      <x v="4"/>
    </i>
    <i>
      <x v="5"/>
    </i>
    <i>
      <x v="6"/>
    </i>
    <i t="grand">
      <x/>
    </i>
  </rowItems>
  <colItems count="1">
    <i/>
  </colItems>
  <dataFields count="1">
    <dataField name="Sum of Sales" fld="18" baseField="0" baseItem="0" numFmtId="2"/>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1264D5-2D6F-4EB8-86D6-7A996150CF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B64" firstHeaderRow="1" firstDataRow="1" firstDataCol="1"/>
  <pivotFields count="21">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1" showAll="0"/>
    <pivotField numFmtId="1" showAll="0"/>
    <pivotField dataField="1" numFmtId="2" showAll="0"/>
    <pivotField showAll="0"/>
    <pivotField showAll="0"/>
  </pivotFields>
  <rowFields count="1">
    <field x="5"/>
  </rowFields>
  <rowItems count="5">
    <i>
      <x/>
    </i>
    <i>
      <x v="1"/>
    </i>
    <i>
      <x v="2"/>
    </i>
    <i>
      <x v="3"/>
    </i>
    <i t="grand">
      <x/>
    </i>
  </rowItems>
  <colItems count="1">
    <i/>
  </colItems>
  <dataFields count="1">
    <dataField name="Sum of Sales" fld="18"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62D95-0EF2-4DAD-94D3-35B2CD3CCF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51" firstHeaderRow="1" firstDataRow="1" firstDataCol="1"/>
  <pivotFields count="21">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numFmtId="2" showAll="0"/>
    <pivotField numFmtId="2" showAll="0"/>
    <pivotField numFmtId="2" showAll="0"/>
    <pivotField numFmtId="1" showAll="0"/>
    <pivotField numFmtId="1" showAll="0"/>
    <pivotField dataField="1" numFmtId="2" showAll="0"/>
    <pivotField showAll="0"/>
    <pivotField showAll="0"/>
  </pivotFields>
  <rowFields count="1">
    <field x="8"/>
  </rowFields>
  <rowItems count="11">
    <i>
      <x v="7"/>
    </i>
    <i>
      <x v="10"/>
    </i>
    <i>
      <x v="23"/>
    </i>
    <i>
      <x v="41"/>
    </i>
    <i>
      <x v="59"/>
    </i>
    <i>
      <x v="77"/>
    </i>
    <i>
      <x v="97"/>
    </i>
    <i>
      <x v="99"/>
    </i>
    <i>
      <x v="100"/>
    </i>
    <i>
      <x v="137"/>
    </i>
    <i t="grand">
      <x/>
    </i>
  </rowItems>
  <colItems count="1">
    <i/>
  </colItems>
  <dataFields count="1">
    <dataField name="Sum of Sales" fld="1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FE00D-2BF9-4606-9531-E4E348EB9B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7:B82" firstHeaderRow="1" firstDataRow="1" firstDataCol="1"/>
  <pivotFields count="21">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1" showAll="0"/>
    <pivotField numFmtId="1" showAll="0"/>
    <pivotField numFmtId="2" showAll="0"/>
    <pivotField dataField="1" showAll="0"/>
    <pivotField showAll="0"/>
  </pivotFields>
  <rowFields count="1">
    <field x="5"/>
  </rowFields>
  <rowItems count="5">
    <i>
      <x/>
    </i>
    <i>
      <x v="1"/>
    </i>
    <i>
      <x v="2"/>
    </i>
    <i>
      <x v="3"/>
    </i>
    <i t="grand">
      <x/>
    </i>
  </rowItems>
  <colItems count="1">
    <i/>
  </colItems>
  <dataFields count="1">
    <dataField name="Sum of Delivery_Time"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99AEF3-B93E-4B69-ACCB-DD354F3492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31" firstHeaderRow="1" firstDataRow="1" firstDataCol="1"/>
  <pivotFields count="21">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numFmtId="2" showAll="0"/>
    <pivotField numFmtId="2" showAll="0"/>
    <pivotField numFmtId="2" showAll="0"/>
    <pivotField numFmtId="1" showAll="0"/>
    <pivotField numFmtId="1" showAll="0"/>
    <pivotField dataField="1" numFmtId="2" showAll="0"/>
    <pivotField showAll="0"/>
    <pivotField showAll="0"/>
  </pivotFields>
  <rowFields count="1">
    <field x="9"/>
  </rowFields>
  <rowItems count="11">
    <i>
      <x v="5"/>
    </i>
    <i>
      <x v="24"/>
    </i>
    <i>
      <x v="35"/>
    </i>
    <i>
      <x v="45"/>
    </i>
    <i>
      <x v="69"/>
    </i>
    <i>
      <x v="90"/>
    </i>
    <i>
      <x v="110"/>
    </i>
    <i>
      <x v="124"/>
    </i>
    <i>
      <x v="183"/>
    </i>
    <i>
      <x v="184"/>
    </i>
    <i t="grand">
      <x/>
    </i>
  </rowItems>
  <colItems count="1">
    <i/>
  </colItems>
  <dataFields count="1">
    <dataField name="Sum of Sales" fld="18"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751132-C8CC-4802-A8DE-4B3A5C56D4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4:B121" firstHeaderRow="1" firstDataRow="1" firstDataCol="1"/>
  <pivotFields count="21">
    <pivotField showAll="0"/>
    <pivotField showAll="0"/>
    <pivotField dataField="1" showAll="0">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98"/>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pivotField numFmtId="1" showAll="0"/>
    <pivotField numFmtId="1" showAll="0"/>
    <pivotField numFmtId="2" showAll="0"/>
    <pivotField showAll="0"/>
    <pivotField showAll="0"/>
  </pivotFields>
  <rowFields count="1">
    <field x="4"/>
  </rowFields>
  <rowItems count="7">
    <i>
      <x/>
    </i>
    <i>
      <x v="1"/>
    </i>
    <i>
      <x v="2"/>
    </i>
    <i>
      <x v="3"/>
    </i>
    <i>
      <x v="4"/>
    </i>
    <i>
      <x v="5"/>
    </i>
    <i t="grand">
      <x/>
    </i>
  </rowItems>
  <colItems count="1">
    <i/>
  </colItems>
  <dataFields count="1">
    <dataField name="Count of Customer_Nam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10703E-0367-4627-AC62-D6CE35AF4E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5:B106" firstHeaderRow="1" firstDataRow="1" firstDataCol="1"/>
  <pivotFields count="21">
    <pivotField showAll="0"/>
    <pivotField showAll="0"/>
    <pivotField showAll="0"/>
    <pivotField showAll="0"/>
    <pivotField showAll="0"/>
    <pivotField showAll="0"/>
    <pivotField showAll="0"/>
    <pivotField showAll="0"/>
    <pivotField showAll="0"/>
    <pivotField showAll="0"/>
    <pivotField axis="axisRow" showAll="0">
      <items count="11">
        <item x="8"/>
        <item x="4"/>
        <item x="9"/>
        <item x="6"/>
        <item x="1"/>
        <item x="5"/>
        <item x="7"/>
        <item x="3"/>
        <item x="2"/>
        <item x="0"/>
        <item t="default"/>
      </items>
    </pivotField>
    <pivotField showAll="0"/>
    <pivotField showAll="0"/>
    <pivotField numFmtId="2" showAll="0"/>
    <pivotField numFmtId="2" showAll="0"/>
    <pivotField numFmtId="2" showAll="0"/>
    <pivotField numFmtId="1" showAll="0"/>
    <pivotField numFmtId="1" showAll="0"/>
    <pivotField dataField="1" numFmtId="2"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Sum of Sales" fld="1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26B91EC7-675B-4109-AE83-D960CF97D8FA}" sourceName="WEEKDAYS">
  <pivotTables>
    <pivotTable tabId="5" name="PivotTable2"/>
  </pivotTables>
  <data>
    <tabular pivotCacheId="119653008">
      <items count="7">
        <i x="5" s="1"/>
        <i x="6" s="1"/>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CD91C3E-582A-44FB-B7B0-5FE2B53FF2AF}" sourceName="City">
  <pivotTables>
    <pivotTable tabId="5" name="PivotTable5"/>
  </pivotTables>
  <data>
    <tabular pivotCacheId="11965300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C9B0F9-33A8-4000-8F6A-A2388E190C2D}" sourceName="Category">
  <pivotTables>
    <pivotTable tabId="5" name="PivotTable7"/>
  </pivotTables>
  <data>
    <tabular pivotCacheId="119653008">
      <items count="10">
        <i x="8" s="1"/>
        <i x="4" s="1"/>
        <i x="9" s="1"/>
        <i x="6" s="1"/>
        <i x="1" s="1"/>
        <i x="5" s="1"/>
        <i x="7"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8A5782B-AAB2-4C40-84D6-3A97FC2CBA62}" sourceName="Customer_Segment">
  <pivotTables>
    <pivotTable tabId="5" name="PivotTable8"/>
  </pivotTables>
  <data>
    <tabular pivotCacheId="119653008">
      <items count="6">
        <i x="0" s="1"/>
        <i x="1"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S" xr10:uid="{0194D186-59F3-4727-9F8A-49399E7ACE77}" cache="Slicer_WEEKDAYS" caption="WEEKDAYS" rowHeight="234950"/>
  <slicer name="City" xr10:uid="{D3FEB6F9-FBD3-4218-BEE5-E8103F087A85}" cache="Slicer_City" caption="City" rowHeight="234950"/>
  <slicer name="Category" xr10:uid="{F1F370CA-AD3A-4410-BE6A-F337C7BA8C66}" cache="Slicer_Category" caption="Category" rowHeight="234950"/>
  <slicer name="Customer_Segment" xr10:uid="{A6A94606-3F4E-487F-B75D-14258949130A}"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S 1" xr10:uid="{535F41C8-E62D-4B16-BCD8-436DD78E7B8A}" cache="Slicer_WEEKDAYS" caption="WEEKDAYS" rowHeight="234950"/>
  <slicer name="City 1" xr10:uid="{825626A8-F737-4121-AD56-72228D18CBC3}" cache="Slicer_City" caption="City" rowHeight="234950"/>
  <slicer name="Category 1" xr10:uid="{F19C04C4-516D-484E-8D13-BC9BF12F8FF8}" cache="Slicer_Category" caption="Category" rowHeight="234950"/>
  <slicer name="Customer_Segment 1" xr10:uid="{08FDF3C7-7AB4-4173-A9C6-D6B0304CE10D}" cache="Slicer_Customer_Segment" caption="Customer_Segment" rowHeight="234950"/>
</slicers>
</file>

<file path=xl/theme/theme1.xml><?xml version="1.0" encoding="utf-8"?>
<a:theme xmlns:a="http://schemas.openxmlformats.org/drawingml/2006/main" name="Fra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D384-7DB2-4756-943D-42B9CA39338F}">
  <dimension ref="A1:X1499"/>
  <sheetViews>
    <sheetView workbookViewId="0">
      <selection activeCell="G28" sqref="G28"/>
    </sheetView>
  </sheetViews>
  <sheetFormatPr defaultRowHeight="14.4" x14ac:dyDescent="0.3"/>
  <cols>
    <col min="1" max="1" width="8.88671875" style="5"/>
    <col min="2" max="2" width="14.44140625" style="3" customWidth="1"/>
    <col min="3" max="3" width="19.5546875" style="5" customWidth="1"/>
    <col min="4" max="4" width="19.33203125" style="5" customWidth="1"/>
    <col min="5" max="5" width="20.77734375" style="5" customWidth="1"/>
    <col min="6" max="6" width="8.88671875" style="5"/>
    <col min="7" max="7" width="13.33203125" customWidth="1"/>
    <col min="8" max="8" width="18.44140625" style="5" customWidth="1"/>
    <col min="9" max="9" width="8.88671875" style="5"/>
    <col min="10" max="10" width="14.33203125" style="5" customWidth="1"/>
    <col min="11" max="11" width="12.88671875" style="5" customWidth="1"/>
    <col min="14" max="14" width="13.6640625" style="8" customWidth="1"/>
    <col min="15" max="15" width="13" style="8" customWidth="1"/>
    <col min="16" max="16" width="8.88671875" style="8"/>
    <col min="17" max="17" width="15.21875" style="10" customWidth="1"/>
    <col min="18" max="18" width="12.88671875" style="10" customWidth="1"/>
    <col min="19" max="19" width="8.88671875" style="8"/>
    <col min="20" max="20" width="17.77734375" customWidth="1"/>
    <col min="21" max="21" width="12.33203125" customWidth="1"/>
    <col min="23" max="23" width="18.109375" customWidth="1"/>
  </cols>
  <sheetData>
    <row r="1" spans="1:24" x14ac:dyDescent="0.3">
      <c r="A1" s="14" t="s">
        <v>0</v>
      </c>
      <c r="B1" s="6" t="s">
        <v>1</v>
      </c>
      <c r="C1" s="4" t="s">
        <v>2</v>
      </c>
      <c r="D1" s="4" t="s">
        <v>3</v>
      </c>
      <c r="E1" s="4" t="s">
        <v>4</v>
      </c>
      <c r="F1" s="4" t="s">
        <v>5</v>
      </c>
      <c r="G1" s="1" t="s">
        <v>6</v>
      </c>
      <c r="H1" s="4" t="s">
        <v>7</v>
      </c>
      <c r="I1" s="4" t="s">
        <v>8</v>
      </c>
      <c r="J1" s="4" t="s">
        <v>9</v>
      </c>
      <c r="K1" s="4" t="s">
        <v>10</v>
      </c>
      <c r="L1" s="1" t="s">
        <v>11</v>
      </c>
      <c r="M1" s="1" t="s">
        <v>12</v>
      </c>
      <c r="N1" s="7" t="s">
        <v>13</v>
      </c>
      <c r="O1" s="7" t="s">
        <v>14</v>
      </c>
      <c r="P1" s="7" t="s">
        <v>15</v>
      </c>
      <c r="Q1" s="9" t="s">
        <v>16</v>
      </c>
      <c r="R1" s="9" t="s">
        <v>17</v>
      </c>
      <c r="S1" s="7" t="s">
        <v>3669</v>
      </c>
      <c r="T1" s="1" t="s">
        <v>18</v>
      </c>
      <c r="U1" s="1" t="s">
        <v>3748</v>
      </c>
    </row>
    <row r="2" spans="1:24" x14ac:dyDescent="0.3">
      <c r="A2" s="5" t="s">
        <v>19</v>
      </c>
      <c r="B2" s="3" t="s">
        <v>3678</v>
      </c>
      <c r="C2" s="5" t="s">
        <v>20</v>
      </c>
      <c r="D2" s="5" t="s">
        <v>21</v>
      </c>
      <c r="E2" s="5" t="s">
        <v>22</v>
      </c>
      <c r="F2" s="5" t="s">
        <v>23</v>
      </c>
      <c r="G2" t="s">
        <v>24</v>
      </c>
      <c r="H2" s="5" t="s">
        <v>25</v>
      </c>
      <c r="I2" s="5" t="s">
        <v>26</v>
      </c>
      <c r="J2" s="5" t="s">
        <v>27</v>
      </c>
      <c r="K2" s="5" t="s">
        <v>28</v>
      </c>
      <c r="L2">
        <v>2</v>
      </c>
      <c r="M2">
        <v>94.25</v>
      </c>
      <c r="N2" s="8">
        <v>9.43</v>
      </c>
      <c r="O2" s="8">
        <v>179.07</v>
      </c>
      <c r="P2" s="8">
        <v>8.9499999999999993</v>
      </c>
      <c r="Q2" s="10">
        <v>0</v>
      </c>
      <c r="R2" s="10">
        <v>10</v>
      </c>
      <c r="S2" s="8">
        <v>198.02</v>
      </c>
      <c r="T2">
        <v>12</v>
      </c>
      <c r="U2" t="str">
        <f>TEXT(B2,"dddd")</f>
        <v>Saturday</v>
      </c>
    </row>
    <row r="3" spans="1:24" x14ac:dyDescent="0.3">
      <c r="A3" s="5" t="s">
        <v>29</v>
      </c>
      <c r="B3" s="3" t="s">
        <v>3679</v>
      </c>
      <c r="C3" s="5" t="s">
        <v>30</v>
      </c>
      <c r="D3" s="5" t="s">
        <v>21</v>
      </c>
      <c r="E3" s="5" t="s">
        <v>22</v>
      </c>
      <c r="F3" s="5" t="s">
        <v>23</v>
      </c>
      <c r="G3" t="s">
        <v>31</v>
      </c>
      <c r="H3" s="5" t="s">
        <v>3673</v>
      </c>
      <c r="I3" s="5" t="s">
        <v>32</v>
      </c>
      <c r="J3" s="5" t="s">
        <v>33</v>
      </c>
      <c r="K3" s="5" t="s">
        <v>34</v>
      </c>
      <c r="L3">
        <v>1</v>
      </c>
      <c r="M3">
        <v>18.45</v>
      </c>
      <c r="N3" s="8">
        <v>1.84</v>
      </c>
      <c r="O3" s="8">
        <v>16.61</v>
      </c>
      <c r="P3" s="8">
        <v>0.83</v>
      </c>
      <c r="Q3" s="10">
        <v>0</v>
      </c>
      <c r="R3" s="10">
        <v>0</v>
      </c>
      <c r="S3" s="8">
        <v>17.440000000000001</v>
      </c>
      <c r="T3">
        <v>24.67</v>
      </c>
      <c r="U3" t="str">
        <f t="shared" ref="U3:U66" si="0">TEXT(B3,"dddd")</f>
        <v>Friday</v>
      </c>
      <c r="W3" s="2" t="s">
        <v>3670</v>
      </c>
      <c r="X3">
        <f>COUNTBLANK(F2:F1499)</f>
        <v>0</v>
      </c>
    </row>
    <row r="4" spans="1:24" x14ac:dyDescent="0.3">
      <c r="A4" s="5" t="s">
        <v>46</v>
      </c>
      <c r="B4" s="3" t="s">
        <v>3680</v>
      </c>
      <c r="C4" s="5" t="s">
        <v>47</v>
      </c>
      <c r="D4" s="5" t="s">
        <v>21</v>
      </c>
      <c r="E4" s="5" t="s">
        <v>22</v>
      </c>
      <c r="F4" s="5" t="s">
        <v>42</v>
      </c>
      <c r="G4" t="s">
        <v>48</v>
      </c>
      <c r="H4" s="5" t="s">
        <v>3673</v>
      </c>
      <c r="I4" s="5" t="s">
        <v>49</v>
      </c>
      <c r="J4" s="5" t="s">
        <v>50</v>
      </c>
      <c r="K4" s="5" t="s">
        <v>73</v>
      </c>
      <c r="L4">
        <v>6</v>
      </c>
      <c r="M4">
        <v>52.47</v>
      </c>
      <c r="N4" s="8">
        <v>7.87</v>
      </c>
      <c r="O4" s="8">
        <v>306.95</v>
      </c>
      <c r="P4" s="8">
        <v>15.35</v>
      </c>
      <c r="Q4" s="10">
        <v>0</v>
      </c>
      <c r="R4" s="10">
        <v>0</v>
      </c>
      <c r="S4" s="8">
        <v>322.3</v>
      </c>
      <c r="T4">
        <v>23</v>
      </c>
      <c r="U4" t="str">
        <f t="shared" si="0"/>
        <v>Wednesday</v>
      </c>
      <c r="X4">
        <f>28/1499</f>
        <v>1.8679119412941963E-2</v>
      </c>
    </row>
    <row r="5" spans="1:24" x14ac:dyDescent="0.3">
      <c r="A5" s="5" t="s">
        <v>51</v>
      </c>
      <c r="B5" s="3" t="s">
        <v>3681</v>
      </c>
      <c r="C5" s="5" t="s">
        <v>52</v>
      </c>
      <c r="D5" s="5" t="s">
        <v>21</v>
      </c>
      <c r="E5" s="5" t="s">
        <v>36</v>
      </c>
      <c r="F5" s="5" t="s">
        <v>37</v>
      </c>
      <c r="G5" t="s">
        <v>53</v>
      </c>
      <c r="H5" s="5" t="s">
        <v>3674</v>
      </c>
      <c r="I5" s="5" t="s">
        <v>54</v>
      </c>
      <c r="J5" s="5" t="s">
        <v>55</v>
      </c>
      <c r="K5" s="5" t="s">
        <v>56</v>
      </c>
      <c r="L5">
        <v>5</v>
      </c>
      <c r="M5">
        <v>78.11</v>
      </c>
      <c r="N5" s="8">
        <v>3.91</v>
      </c>
      <c r="O5" s="8">
        <v>386.64</v>
      </c>
      <c r="P5" s="8">
        <v>19.329999999999998</v>
      </c>
      <c r="Q5" s="10">
        <v>30</v>
      </c>
      <c r="R5" s="10">
        <v>15</v>
      </c>
      <c r="S5" s="8">
        <v>450.97</v>
      </c>
      <c r="T5">
        <v>18</v>
      </c>
      <c r="U5" t="str">
        <f t="shared" si="0"/>
        <v>Wednesday</v>
      </c>
      <c r="W5" s="2" t="s">
        <v>3672</v>
      </c>
      <c r="X5">
        <f>AVERAGE(T:T)</f>
        <v>24.671214953270859</v>
      </c>
    </row>
    <row r="6" spans="1:24" x14ac:dyDescent="0.3">
      <c r="A6" s="5" t="s">
        <v>57</v>
      </c>
      <c r="B6" s="3" t="s">
        <v>3682</v>
      </c>
      <c r="C6" s="5" t="s">
        <v>58</v>
      </c>
      <c r="D6" s="5" t="s">
        <v>21</v>
      </c>
      <c r="E6" s="5" t="s">
        <v>22</v>
      </c>
      <c r="F6" s="5" t="s">
        <v>42</v>
      </c>
      <c r="G6" t="s">
        <v>59</v>
      </c>
      <c r="H6" s="5" t="s">
        <v>3673</v>
      </c>
      <c r="I6" s="5" t="s">
        <v>60</v>
      </c>
      <c r="J6" s="5" t="s">
        <v>61</v>
      </c>
      <c r="K6" s="5" t="s">
        <v>22</v>
      </c>
      <c r="L6">
        <v>1</v>
      </c>
      <c r="M6">
        <v>103.87</v>
      </c>
      <c r="N6" s="8">
        <v>5.19</v>
      </c>
      <c r="O6" s="8">
        <v>98.68</v>
      </c>
      <c r="P6" s="8">
        <v>4.93</v>
      </c>
      <c r="Q6" s="10">
        <v>20</v>
      </c>
      <c r="R6" s="10">
        <v>0</v>
      </c>
      <c r="S6" s="8">
        <v>123.61</v>
      </c>
      <c r="T6">
        <v>13</v>
      </c>
      <c r="U6" t="str">
        <f t="shared" si="0"/>
        <v>Tuesday</v>
      </c>
    </row>
    <row r="7" spans="1:24" x14ac:dyDescent="0.3">
      <c r="A7" s="5" t="s">
        <v>62</v>
      </c>
      <c r="B7" s="3" t="s">
        <v>3678</v>
      </c>
      <c r="C7" s="5" t="s">
        <v>63</v>
      </c>
      <c r="D7" s="5" t="s">
        <v>21</v>
      </c>
      <c r="E7" s="5" t="s">
        <v>22</v>
      </c>
      <c r="F7" s="5" t="s">
        <v>37</v>
      </c>
      <c r="G7" t="s">
        <v>64</v>
      </c>
      <c r="H7" s="5" t="s">
        <v>3675</v>
      </c>
      <c r="I7" s="5" t="s">
        <v>65</v>
      </c>
      <c r="J7" s="5" t="s">
        <v>66</v>
      </c>
      <c r="K7" s="5" t="s">
        <v>45</v>
      </c>
      <c r="L7">
        <v>3</v>
      </c>
      <c r="M7">
        <v>129.5</v>
      </c>
      <c r="N7" s="8">
        <v>12.95</v>
      </c>
      <c r="O7" s="8">
        <v>375.55</v>
      </c>
      <c r="P7" s="8">
        <v>18.78</v>
      </c>
      <c r="Q7" s="10">
        <v>20</v>
      </c>
      <c r="R7" s="10">
        <v>10</v>
      </c>
      <c r="S7" s="8">
        <v>424.33</v>
      </c>
      <c r="T7">
        <v>16</v>
      </c>
      <c r="U7" t="str">
        <f t="shared" si="0"/>
        <v>Saturday</v>
      </c>
    </row>
    <row r="8" spans="1:24" x14ac:dyDescent="0.3">
      <c r="A8" s="5" t="s">
        <v>67</v>
      </c>
      <c r="B8" s="3" t="s">
        <v>3683</v>
      </c>
      <c r="C8" s="5" t="s">
        <v>68</v>
      </c>
      <c r="D8" s="5" t="s">
        <v>21</v>
      </c>
      <c r="E8" s="5" t="s">
        <v>69</v>
      </c>
      <c r="F8" s="5" t="s">
        <v>23</v>
      </c>
      <c r="G8" t="s">
        <v>70</v>
      </c>
      <c r="H8" s="5" t="s">
        <v>3673</v>
      </c>
      <c r="I8" s="5" t="s">
        <v>71</v>
      </c>
      <c r="J8" s="5" t="s">
        <v>72</v>
      </c>
      <c r="K8" s="5" t="s">
        <v>73</v>
      </c>
      <c r="L8">
        <v>1</v>
      </c>
      <c r="M8">
        <v>131.88999999999999</v>
      </c>
      <c r="N8" s="8">
        <v>0</v>
      </c>
      <c r="O8" s="8">
        <v>131.88999999999999</v>
      </c>
      <c r="P8" s="8">
        <v>6.59</v>
      </c>
      <c r="Q8" s="10">
        <v>10</v>
      </c>
      <c r="R8" s="10">
        <v>0</v>
      </c>
      <c r="S8" s="8">
        <v>148.47999999999999</v>
      </c>
      <c r="T8">
        <v>23</v>
      </c>
      <c r="U8" t="str">
        <f t="shared" si="0"/>
        <v>Thursday</v>
      </c>
    </row>
    <row r="9" spans="1:24" x14ac:dyDescent="0.3">
      <c r="A9" s="5" t="s">
        <v>74</v>
      </c>
      <c r="B9" s="3" t="s">
        <v>3684</v>
      </c>
      <c r="C9" s="5" t="s">
        <v>75</v>
      </c>
      <c r="D9" s="5" t="s">
        <v>21</v>
      </c>
      <c r="E9" s="5" t="s">
        <v>76</v>
      </c>
      <c r="F9" s="5" t="s">
        <v>37</v>
      </c>
      <c r="G9" t="s">
        <v>77</v>
      </c>
      <c r="H9" s="5" t="s">
        <v>3673</v>
      </c>
      <c r="I9" s="5" t="s">
        <v>78</v>
      </c>
      <c r="J9" s="5" t="s">
        <v>79</v>
      </c>
      <c r="K9" s="5" t="s">
        <v>196</v>
      </c>
      <c r="L9">
        <v>1</v>
      </c>
      <c r="M9">
        <v>207.92</v>
      </c>
      <c r="N9" s="8">
        <v>20.79</v>
      </c>
      <c r="O9" s="8">
        <v>187.13</v>
      </c>
      <c r="P9" s="8">
        <v>9.36</v>
      </c>
      <c r="Q9" s="10">
        <v>30</v>
      </c>
      <c r="R9" s="10">
        <v>0</v>
      </c>
      <c r="S9" s="8">
        <v>226.49</v>
      </c>
      <c r="T9">
        <v>17</v>
      </c>
      <c r="U9" t="str">
        <f t="shared" si="0"/>
        <v>Sunday</v>
      </c>
    </row>
    <row r="10" spans="1:24" x14ac:dyDescent="0.3">
      <c r="A10" s="5" t="s">
        <v>80</v>
      </c>
      <c r="B10" s="3" t="s">
        <v>3685</v>
      </c>
      <c r="C10" s="5" t="s">
        <v>81</v>
      </c>
      <c r="D10" s="5" t="s">
        <v>82</v>
      </c>
      <c r="E10" s="5" t="s">
        <v>83</v>
      </c>
      <c r="F10" s="5" t="s">
        <v>37</v>
      </c>
      <c r="G10" t="s">
        <v>84</v>
      </c>
      <c r="H10" s="5" t="s">
        <v>25</v>
      </c>
      <c r="I10" s="5" t="s">
        <v>85</v>
      </c>
      <c r="J10" s="5" t="s">
        <v>86</v>
      </c>
      <c r="K10" s="5" t="s">
        <v>196</v>
      </c>
      <c r="L10">
        <v>3</v>
      </c>
      <c r="M10">
        <v>134.09</v>
      </c>
      <c r="N10" s="8">
        <v>13.41</v>
      </c>
      <c r="O10" s="8">
        <v>388.86</v>
      </c>
      <c r="P10" s="8">
        <v>19.440000000000001</v>
      </c>
      <c r="Q10" s="10">
        <v>20</v>
      </c>
      <c r="R10" s="10">
        <v>0</v>
      </c>
      <c r="S10" s="8">
        <v>428.3</v>
      </c>
      <c r="T10">
        <v>24.67</v>
      </c>
      <c r="U10" t="str">
        <f t="shared" si="0"/>
        <v>Thursday</v>
      </c>
    </row>
    <row r="11" spans="1:24" x14ac:dyDescent="0.3">
      <c r="A11" s="5" t="s">
        <v>87</v>
      </c>
      <c r="B11" s="3" t="s">
        <v>3686</v>
      </c>
      <c r="C11" s="5" t="s">
        <v>88</v>
      </c>
      <c r="D11" s="5" t="s">
        <v>21</v>
      </c>
      <c r="E11" s="5" t="s">
        <v>76</v>
      </c>
      <c r="F11" s="5" t="s">
        <v>37</v>
      </c>
      <c r="G11" t="s">
        <v>89</v>
      </c>
      <c r="H11" s="5" t="s">
        <v>3673</v>
      </c>
      <c r="I11" s="5" t="s">
        <v>90</v>
      </c>
      <c r="J11" s="5" t="s">
        <v>91</v>
      </c>
      <c r="K11" s="5" t="s">
        <v>40</v>
      </c>
      <c r="L11">
        <v>6</v>
      </c>
      <c r="M11">
        <v>86.17</v>
      </c>
      <c r="N11" s="8">
        <v>0</v>
      </c>
      <c r="O11" s="8">
        <v>517.02</v>
      </c>
      <c r="P11" s="8">
        <v>25.85</v>
      </c>
      <c r="Q11" s="10">
        <v>10</v>
      </c>
      <c r="R11" s="10">
        <v>5</v>
      </c>
      <c r="S11" s="8">
        <v>557.87</v>
      </c>
      <c r="T11">
        <v>10</v>
      </c>
      <c r="U11" t="str">
        <f t="shared" si="0"/>
        <v>Saturday</v>
      </c>
    </row>
    <row r="12" spans="1:24" x14ac:dyDescent="0.3">
      <c r="A12" s="5" t="s">
        <v>92</v>
      </c>
      <c r="B12" s="3" t="s">
        <v>3686</v>
      </c>
      <c r="C12" s="5" t="s">
        <v>93</v>
      </c>
      <c r="D12" s="5" t="s">
        <v>21</v>
      </c>
      <c r="E12" s="5" t="s">
        <v>76</v>
      </c>
      <c r="F12" s="5" t="s">
        <v>23</v>
      </c>
      <c r="G12" t="s">
        <v>94</v>
      </c>
      <c r="H12" s="5" t="s">
        <v>3673</v>
      </c>
      <c r="I12" s="5" t="s">
        <v>95</v>
      </c>
      <c r="J12" s="5" t="s">
        <v>96</v>
      </c>
      <c r="K12" s="5" t="s">
        <v>45</v>
      </c>
      <c r="L12">
        <v>3</v>
      </c>
      <c r="M12">
        <v>104.71</v>
      </c>
      <c r="N12" s="8">
        <v>5.24</v>
      </c>
      <c r="O12" s="8">
        <v>308.89</v>
      </c>
      <c r="P12" s="8">
        <v>15.44</v>
      </c>
      <c r="Q12" s="10">
        <v>10</v>
      </c>
      <c r="R12" s="10">
        <v>20</v>
      </c>
      <c r="S12" s="8">
        <v>354.33</v>
      </c>
      <c r="T12">
        <v>16</v>
      </c>
      <c r="U12" t="str">
        <f t="shared" si="0"/>
        <v>Saturday</v>
      </c>
    </row>
    <row r="13" spans="1:24" x14ac:dyDescent="0.3">
      <c r="A13" s="5" t="s">
        <v>97</v>
      </c>
      <c r="B13" s="3" t="s">
        <v>3687</v>
      </c>
      <c r="C13" s="5" t="s">
        <v>98</v>
      </c>
      <c r="D13" s="5" t="s">
        <v>21</v>
      </c>
      <c r="E13" s="5" t="s">
        <v>69</v>
      </c>
      <c r="F13" s="5" t="s">
        <v>23</v>
      </c>
      <c r="G13" t="s">
        <v>99</v>
      </c>
      <c r="H13" s="5" t="s">
        <v>100</v>
      </c>
      <c r="I13" s="5" t="s">
        <v>101</v>
      </c>
      <c r="J13" s="5" t="s">
        <v>102</v>
      </c>
      <c r="K13" s="5" t="s">
        <v>103</v>
      </c>
      <c r="L13">
        <v>4</v>
      </c>
      <c r="M13">
        <v>204.9</v>
      </c>
      <c r="N13" s="8">
        <v>20.49</v>
      </c>
      <c r="O13" s="8">
        <v>799.11</v>
      </c>
      <c r="P13" s="8">
        <v>39.96</v>
      </c>
      <c r="Q13" s="10">
        <v>0</v>
      </c>
      <c r="R13" s="10">
        <v>0</v>
      </c>
      <c r="S13" s="8">
        <v>839.07</v>
      </c>
      <c r="T13">
        <v>24.67</v>
      </c>
      <c r="U13" t="str">
        <f t="shared" si="0"/>
        <v>Friday</v>
      </c>
    </row>
    <row r="14" spans="1:24" x14ac:dyDescent="0.3">
      <c r="A14" s="5" t="s">
        <v>104</v>
      </c>
      <c r="B14" s="3" t="s">
        <v>3688</v>
      </c>
      <c r="C14" s="5" t="s">
        <v>105</v>
      </c>
      <c r="D14" s="5" t="s">
        <v>106</v>
      </c>
      <c r="E14" s="5" t="s">
        <v>83</v>
      </c>
      <c r="F14" s="5" t="s">
        <v>23</v>
      </c>
      <c r="G14" t="s">
        <v>107</v>
      </c>
      <c r="H14" s="5" t="s">
        <v>3673</v>
      </c>
      <c r="I14" s="5" t="s">
        <v>108</v>
      </c>
      <c r="J14" s="5" t="s">
        <v>109</v>
      </c>
      <c r="K14" s="5" t="s">
        <v>22</v>
      </c>
      <c r="L14">
        <v>3</v>
      </c>
      <c r="M14">
        <v>193.33</v>
      </c>
      <c r="N14" s="8">
        <v>0</v>
      </c>
      <c r="O14" s="8">
        <v>579.99</v>
      </c>
      <c r="P14" s="8">
        <v>29</v>
      </c>
      <c r="Q14" s="10">
        <v>30</v>
      </c>
      <c r="R14" s="10">
        <v>20</v>
      </c>
      <c r="S14" s="8">
        <v>658.99</v>
      </c>
      <c r="T14">
        <v>3</v>
      </c>
      <c r="U14" t="str">
        <f t="shared" si="0"/>
        <v>Saturday</v>
      </c>
    </row>
    <row r="15" spans="1:24" x14ac:dyDescent="0.3">
      <c r="A15" s="5" t="s">
        <v>110</v>
      </c>
      <c r="B15" s="3" t="s">
        <v>3689</v>
      </c>
      <c r="C15" s="5" t="s">
        <v>111</v>
      </c>
      <c r="D15" s="5" t="s">
        <v>21</v>
      </c>
      <c r="E15" s="5" t="s">
        <v>112</v>
      </c>
      <c r="F15" s="5" t="s">
        <v>42</v>
      </c>
      <c r="G15" t="s">
        <v>113</v>
      </c>
      <c r="H15" s="5" t="s">
        <v>25</v>
      </c>
      <c r="I15" s="5" t="s">
        <v>114</v>
      </c>
      <c r="J15" s="5" t="s">
        <v>115</v>
      </c>
      <c r="K15" s="5" t="s">
        <v>40</v>
      </c>
      <c r="L15">
        <v>3</v>
      </c>
      <c r="M15">
        <v>35.35</v>
      </c>
      <c r="N15" s="8">
        <v>3.54</v>
      </c>
      <c r="O15" s="8">
        <v>102.51</v>
      </c>
      <c r="P15" s="8">
        <v>5.13</v>
      </c>
      <c r="Q15" s="10">
        <v>30</v>
      </c>
      <c r="R15" s="10">
        <v>0</v>
      </c>
      <c r="S15" s="8">
        <v>137.63999999999999</v>
      </c>
      <c r="T15">
        <v>25</v>
      </c>
      <c r="U15" t="str">
        <f t="shared" si="0"/>
        <v>Wednesday</v>
      </c>
    </row>
    <row r="16" spans="1:24" x14ac:dyDescent="0.3">
      <c r="A16" s="5" t="s">
        <v>116</v>
      </c>
      <c r="B16" s="3" t="s">
        <v>3690</v>
      </c>
      <c r="C16" s="5" t="s">
        <v>117</v>
      </c>
      <c r="D16" s="5" t="s">
        <v>21</v>
      </c>
      <c r="E16" s="5" t="s">
        <v>112</v>
      </c>
      <c r="F16" s="5" t="s">
        <v>37</v>
      </c>
      <c r="G16" t="s">
        <v>118</v>
      </c>
      <c r="H16" s="5" t="s">
        <v>3675</v>
      </c>
      <c r="I16" s="5" t="s">
        <v>119</v>
      </c>
      <c r="J16" s="5" t="s">
        <v>120</v>
      </c>
      <c r="K16" s="5" t="s">
        <v>73</v>
      </c>
      <c r="L16">
        <v>2</v>
      </c>
      <c r="M16">
        <v>128.59</v>
      </c>
      <c r="N16" s="8">
        <v>6.43</v>
      </c>
      <c r="O16" s="8">
        <v>250.75</v>
      </c>
      <c r="P16" s="8">
        <v>12.54</v>
      </c>
      <c r="Q16" s="10">
        <v>0</v>
      </c>
      <c r="R16" s="10">
        <v>5</v>
      </c>
      <c r="S16" s="8">
        <v>268.29000000000002</v>
      </c>
      <c r="T16">
        <v>34</v>
      </c>
      <c r="U16" t="str">
        <f t="shared" si="0"/>
        <v>Sunday</v>
      </c>
    </row>
    <row r="17" spans="1:21" x14ac:dyDescent="0.3">
      <c r="A17" s="5" t="s">
        <v>121</v>
      </c>
      <c r="B17" s="3" t="s">
        <v>3687</v>
      </c>
      <c r="C17" s="5" t="s">
        <v>122</v>
      </c>
      <c r="D17" s="5" t="s">
        <v>21</v>
      </c>
      <c r="E17" s="5" t="s">
        <v>112</v>
      </c>
      <c r="F17" s="5" t="s">
        <v>23</v>
      </c>
      <c r="G17" t="s">
        <v>123</v>
      </c>
      <c r="H17" s="5" t="s">
        <v>3673</v>
      </c>
      <c r="I17" s="5" t="s">
        <v>124</v>
      </c>
      <c r="J17" s="5" t="s">
        <v>125</v>
      </c>
      <c r="K17" s="5" t="s">
        <v>103</v>
      </c>
      <c r="L17">
        <v>5</v>
      </c>
      <c r="M17">
        <v>145.22</v>
      </c>
      <c r="N17" s="8">
        <v>7.26</v>
      </c>
      <c r="O17" s="8">
        <v>718.84</v>
      </c>
      <c r="P17" s="8">
        <v>35.94</v>
      </c>
      <c r="Q17" s="10">
        <v>20</v>
      </c>
      <c r="R17" s="10">
        <v>5</v>
      </c>
      <c r="S17" s="8">
        <v>779.78</v>
      </c>
      <c r="T17">
        <v>24.67</v>
      </c>
      <c r="U17" t="str">
        <f t="shared" si="0"/>
        <v>Friday</v>
      </c>
    </row>
    <row r="18" spans="1:21" x14ac:dyDescent="0.3">
      <c r="A18" s="5" t="s">
        <v>126</v>
      </c>
      <c r="B18" s="3" t="s">
        <v>3691</v>
      </c>
      <c r="C18" s="5" t="s">
        <v>127</v>
      </c>
      <c r="D18" s="5" t="s">
        <v>21</v>
      </c>
      <c r="E18" s="5" t="s">
        <v>22</v>
      </c>
      <c r="F18" s="5" t="s">
        <v>42</v>
      </c>
      <c r="G18" t="s">
        <v>128</v>
      </c>
      <c r="H18" s="5" t="s">
        <v>3676</v>
      </c>
      <c r="I18" s="5" t="s">
        <v>129</v>
      </c>
      <c r="J18" s="5" t="s">
        <v>130</v>
      </c>
      <c r="K18" s="5" t="s">
        <v>34</v>
      </c>
      <c r="L18">
        <v>1</v>
      </c>
      <c r="M18">
        <v>156.96</v>
      </c>
      <c r="N18" s="8">
        <v>23.54</v>
      </c>
      <c r="O18" s="8">
        <v>133.41999999999999</v>
      </c>
      <c r="P18" s="8">
        <v>6.67</v>
      </c>
      <c r="Q18" s="10">
        <v>10</v>
      </c>
      <c r="R18" s="10">
        <v>5</v>
      </c>
      <c r="S18" s="8">
        <v>155.09</v>
      </c>
      <c r="T18">
        <v>18</v>
      </c>
      <c r="U18" t="str">
        <f t="shared" si="0"/>
        <v>Friday</v>
      </c>
    </row>
    <row r="19" spans="1:21" x14ac:dyDescent="0.3">
      <c r="A19" s="5" t="s">
        <v>131</v>
      </c>
      <c r="B19" s="3" t="s">
        <v>3692</v>
      </c>
      <c r="C19" s="5" t="s">
        <v>132</v>
      </c>
      <c r="D19" s="5" t="s">
        <v>21</v>
      </c>
      <c r="E19" s="5" t="s">
        <v>69</v>
      </c>
      <c r="F19" s="5" t="s">
        <v>42</v>
      </c>
      <c r="H19" s="5" t="s">
        <v>3673</v>
      </c>
      <c r="I19" s="5" t="s">
        <v>133</v>
      </c>
      <c r="J19" s="5" t="s">
        <v>134</v>
      </c>
      <c r="K19" s="5" t="s">
        <v>34</v>
      </c>
      <c r="L19">
        <v>2</v>
      </c>
      <c r="M19">
        <v>19.809999999999999</v>
      </c>
      <c r="N19" s="8">
        <v>0</v>
      </c>
      <c r="O19" s="8">
        <v>39.619999999999997</v>
      </c>
      <c r="P19" s="8">
        <v>1.98</v>
      </c>
      <c r="Q19" s="10">
        <v>20</v>
      </c>
      <c r="R19" s="10">
        <v>20</v>
      </c>
      <c r="S19" s="8">
        <v>81.599999999999994</v>
      </c>
      <c r="T19">
        <v>42</v>
      </c>
      <c r="U19" t="str">
        <f t="shared" si="0"/>
        <v>Wednesday</v>
      </c>
    </row>
    <row r="20" spans="1:21" x14ac:dyDescent="0.3">
      <c r="A20" s="5" t="s">
        <v>135</v>
      </c>
      <c r="B20" s="3" t="s">
        <v>3688</v>
      </c>
      <c r="C20" s="5" t="s">
        <v>136</v>
      </c>
      <c r="D20" s="5" t="s">
        <v>21</v>
      </c>
      <c r="E20" s="5" t="s">
        <v>36</v>
      </c>
      <c r="F20" s="5" t="s">
        <v>23</v>
      </c>
      <c r="G20" t="s">
        <v>137</v>
      </c>
      <c r="H20" s="5" t="s">
        <v>3673</v>
      </c>
      <c r="I20" s="5" t="s">
        <v>138</v>
      </c>
      <c r="J20" s="5" t="s">
        <v>139</v>
      </c>
      <c r="K20" s="5" t="s">
        <v>145</v>
      </c>
      <c r="L20">
        <v>3</v>
      </c>
      <c r="M20">
        <v>164.88</v>
      </c>
      <c r="N20" s="8">
        <v>16.489999999999998</v>
      </c>
      <c r="O20" s="8">
        <v>478.15</v>
      </c>
      <c r="P20" s="8">
        <v>23.91</v>
      </c>
      <c r="Q20" s="10">
        <v>30</v>
      </c>
      <c r="R20" s="10">
        <v>10</v>
      </c>
      <c r="S20" s="8">
        <v>542.05999999999995</v>
      </c>
      <c r="T20">
        <v>24.67</v>
      </c>
      <c r="U20" t="str">
        <f t="shared" si="0"/>
        <v>Saturday</v>
      </c>
    </row>
    <row r="21" spans="1:21" x14ac:dyDescent="0.3">
      <c r="A21" s="5" t="s">
        <v>140</v>
      </c>
      <c r="B21" s="3" t="s">
        <v>3693</v>
      </c>
      <c r="C21" s="5" t="s">
        <v>141</v>
      </c>
      <c r="D21" s="5" t="s">
        <v>21</v>
      </c>
      <c r="E21" s="5" t="s">
        <v>22</v>
      </c>
      <c r="F21" s="5" t="s">
        <v>42</v>
      </c>
      <c r="G21" t="s">
        <v>142</v>
      </c>
      <c r="H21" s="5" t="s">
        <v>3673</v>
      </c>
      <c r="I21" s="5" t="s">
        <v>143</v>
      </c>
      <c r="J21" s="5" t="s">
        <v>144</v>
      </c>
      <c r="K21" s="5" t="s">
        <v>145</v>
      </c>
      <c r="L21">
        <v>2</v>
      </c>
      <c r="M21">
        <v>185.31</v>
      </c>
      <c r="N21" s="8">
        <v>27.8</v>
      </c>
      <c r="O21" s="8">
        <v>342.82</v>
      </c>
      <c r="P21" s="8">
        <v>17.14</v>
      </c>
      <c r="Q21" s="10">
        <v>10</v>
      </c>
      <c r="R21" s="10">
        <v>0</v>
      </c>
      <c r="S21" s="8">
        <v>369.96</v>
      </c>
      <c r="T21">
        <v>32</v>
      </c>
      <c r="U21" t="str">
        <f t="shared" si="0"/>
        <v>Thursday</v>
      </c>
    </row>
    <row r="22" spans="1:21" x14ac:dyDescent="0.3">
      <c r="A22" s="5" t="s">
        <v>146</v>
      </c>
      <c r="B22" s="3" t="s">
        <v>3687</v>
      </c>
      <c r="C22" s="5" t="s">
        <v>147</v>
      </c>
      <c r="D22" s="5" t="s">
        <v>21</v>
      </c>
      <c r="E22" s="5" t="s">
        <v>36</v>
      </c>
      <c r="F22" s="5" t="s">
        <v>37</v>
      </c>
      <c r="G22" t="s">
        <v>148</v>
      </c>
      <c r="H22" s="5" t="s">
        <v>3674</v>
      </c>
      <c r="I22" s="5" t="s">
        <v>149</v>
      </c>
      <c r="J22" s="5" t="s">
        <v>150</v>
      </c>
      <c r="K22" s="5" t="s">
        <v>28</v>
      </c>
      <c r="L22">
        <v>1</v>
      </c>
      <c r="M22">
        <v>4.92</v>
      </c>
      <c r="N22" s="8">
        <v>0.25</v>
      </c>
      <c r="O22" s="8">
        <v>4.67</v>
      </c>
      <c r="P22" s="8">
        <v>0.23</v>
      </c>
      <c r="Q22" s="10">
        <v>10</v>
      </c>
      <c r="R22" s="10">
        <v>15</v>
      </c>
      <c r="S22" s="8">
        <v>29.9</v>
      </c>
      <c r="T22">
        <v>41</v>
      </c>
      <c r="U22" t="str">
        <f t="shared" si="0"/>
        <v>Friday</v>
      </c>
    </row>
    <row r="23" spans="1:21" x14ac:dyDescent="0.3">
      <c r="A23" s="5" t="s">
        <v>151</v>
      </c>
      <c r="B23" s="3" t="s">
        <v>3694</v>
      </c>
      <c r="C23" s="5" t="s">
        <v>152</v>
      </c>
      <c r="D23" s="5" t="s">
        <v>21</v>
      </c>
      <c r="E23" s="5" t="s">
        <v>22</v>
      </c>
      <c r="F23" s="5" t="s">
        <v>42</v>
      </c>
      <c r="G23" t="s">
        <v>153</v>
      </c>
      <c r="H23" s="5" t="s">
        <v>3673</v>
      </c>
      <c r="I23" s="5" t="s">
        <v>154</v>
      </c>
      <c r="J23" s="5" t="s">
        <v>155</v>
      </c>
      <c r="K23" s="5" t="s">
        <v>40</v>
      </c>
      <c r="L23">
        <v>1</v>
      </c>
      <c r="M23">
        <v>143.94999999999999</v>
      </c>
      <c r="N23" s="8">
        <v>7.2</v>
      </c>
      <c r="O23" s="8">
        <v>136.75</v>
      </c>
      <c r="P23" s="8">
        <v>6.84</v>
      </c>
      <c r="Q23" s="10">
        <v>30</v>
      </c>
      <c r="R23" s="10">
        <v>5</v>
      </c>
      <c r="S23" s="8">
        <v>178.59</v>
      </c>
      <c r="T23">
        <v>27</v>
      </c>
      <c r="U23" t="str">
        <f t="shared" si="0"/>
        <v>Thursday</v>
      </c>
    </row>
    <row r="24" spans="1:21" x14ac:dyDescent="0.3">
      <c r="A24" s="5" t="s">
        <v>156</v>
      </c>
      <c r="B24" s="3" t="s">
        <v>3695</v>
      </c>
      <c r="C24" s="5" t="s">
        <v>157</v>
      </c>
      <c r="D24" s="5" t="s">
        <v>82</v>
      </c>
      <c r="E24" s="5" t="s">
        <v>83</v>
      </c>
      <c r="F24" s="5" t="s">
        <v>42</v>
      </c>
      <c r="G24" t="s">
        <v>158</v>
      </c>
      <c r="H24" s="5" t="s">
        <v>3677</v>
      </c>
      <c r="I24" s="5" t="s">
        <v>159</v>
      </c>
      <c r="J24" s="5" t="s">
        <v>160</v>
      </c>
      <c r="K24" s="5" t="s">
        <v>145</v>
      </c>
      <c r="L24">
        <v>3</v>
      </c>
      <c r="M24">
        <v>99.86</v>
      </c>
      <c r="N24" s="8">
        <v>14.98</v>
      </c>
      <c r="O24" s="8">
        <v>284.60000000000002</v>
      </c>
      <c r="P24" s="8">
        <v>14.23</v>
      </c>
      <c r="Q24" s="10">
        <v>20</v>
      </c>
      <c r="R24" s="10">
        <v>5</v>
      </c>
      <c r="S24" s="8">
        <v>323.83</v>
      </c>
      <c r="T24">
        <v>38</v>
      </c>
      <c r="U24" t="str">
        <f t="shared" si="0"/>
        <v>Thursday</v>
      </c>
    </row>
    <row r="25" spans="1:21" x14ac:dyDescent="0.3">
      <c r="A25" s="5" t="s">
        <v>161</v>
      </c>
      <c r="B25" s="3" t="s">
        <v>3696</v>
      </c>
      <c r="C25" s="5" t="s">
        <v>162</v>
      </c>
      <c r="D25" s="5" t="s">
        <v>21</v>
      </c>
      <c r="E25" s="5" t="s">
        <v>69</v>
      </c>
      <c r="F25" s="5" t="s">
        <v>37</v>
      </c>
      <c r="G25" t="s">
        <v>163</v>
      </c>
      <c r="H25" s="5" t="s">
        <v>3673</v>
      </c>
      <c r="I25" s="5" t="s">
        <v>164</v>
      </c>
      <c r="J25" s="5" t="s">
        <v>165</v>
      </c>
      <c r="K25" s="5" t="s">
        <v>103</v>
      </c>
      <c r="L25">
        <v>3</v>
      </c>
      <c r="M25">
        <v>17.39</v>
      </c>
      <c r="N25" s="8">
        <v>0</v>
      </c>
      <c r="O25" s="8">
        <v>52.17</v>
      </c>
      <c r="P25" s="8">
        <v>2.61</v>
      </c>
      <c r="Q25" s="10">
        <v>0</v>
      </c>
      <c r="R25" s="10">
        <v>10</v>
      </c>
      <c r="S25" s="8">
        <v>64.78</v>
      </c>
      <c r="T25">
        <v>11</v>
      </c>
      <c r="U25" t="str">
        <f t="shared" si="0"/>
        <v>Friday</v>
      </c>
    </row>
    <row r="26" spans="1:21" x14ac:dyDescent="0.3">
      <c r="A26" s="5" t="s">
        <v>166</v>
      </c>
      <c r="B26" s="3" t="s">
        <v>3693</v>
      </c>
      <c r="C26" s="5" t="s">
        <v>167</v>
      </c>
      <c r="D26" s="5" t="s">
        <v>21</v>
      </c>
      <c r="E26" s="5" t="s">
        <v>112</v>
      </c>
      <c r="F26" s="5" t="s">
        <v>23</v>
      </c>
      <c r="G26" t="s">
        <v>168</v>
      </c>
      <c r="H26" s="5" t="s">
        <v>3673</v>
      </c>
      <c r="I26" s="5" t="s">
        <v>169</v>
      </c>
      <c r="J26" s="5" t="s">
        <v>170</v>
      </c>
      <c r="K26" s="5" t="s">
        <v>145</v>
      </c>
      <c r="L26">
        <v>2</v>
      </c>
      <c r="M26">
        <v>42.69</v>
      </c>
      <c r="N26" s="8">
        <v>0</v>
      </c>
      <c r="O26" s="8">
        <v>85.38</v>
      </c>
      <c r="P26" s="8">
        <v>4.2699999999999996</v>
      </c>
      <c r="Q26" s="10">
        <v>10</v>
      </c>
      <c r="R26" s="10">
        <v>15</v>
      </c>
      <c r="S26" s="8">
        <v>114.65</v>
      </c>
      <c r="T26">
        <v>26</v>
      </c>
      <c r="U26" t="str">
        <f t="shared" si="0"/>
        <v>Thursday</v>
      </c>
    </row>
    <row r="27" spans="1:21" x14ac:dyDescent="0.3">
      <c r="A27" s="5" t="s">
        <v>171</v>
      </c>
      <c r="B27" s="3" t="s">
        <v>3697</v>
      </c>
      <c r="C27" s="5" t="s">
        <v>172</v>
      </c>
      <c r="D27" s="5" t="s">
        <v>21</v>
      </c>
      <c r="E27" s="5" t="s">
        <v>22</v>
      </c>
      <c r="F27" s="5" t="s">
        <v>23</v>
      </c>
      <c r="G27" t="s">
        <v>173</v>
      </c>
      <c r="H27" s="5" t="s">
        <v>3673</v>
      </c>
      <c r="I27" s="5" t="s">
        <v>174</v>
      </c>
      <c r="J27" s="5" t="s">
        <v>175</v>
      </c>
      <c r="K27" s="5" t="s">
        <v>34</v>
      </c>
      <c r="L27">
        <v>3</v>
      </c>
      <c r="M27">
        <v>61.3</v>
      </c>
      <c r="N27" s="8">
        <v>0</v>
      </c>
      <c r="O27" s="8">
        <v>183.9</v>
      </c>
      <c r="P27" s="8">
        <v>9.19</v>
      </c>
      <c r="Q27" s="10">
        <v>30</v>
      </c>
      <c r="R27" s="10">
        <v>15</v>
      </c>
      <c r="S27" s="8">
        <v>238.09</v>
      </c>
      <c r="T27">
        <v>45</v>
      </c>
      <c r="U27" t="str">
        <f t="shared" si="0"/>
        <v>Saturday</v>
      </c>
    </row>
    <row r="28" spans="1:21" x14ac:dyDescent="0.3">
      <c r="A28" s="5" t="s">
        <v>176</v>
      </c>
      <c r="B28" s="3" t="s">
        <v>3682</v>
      </c>
      <c r="C28" s="5" t="s">
        <v>177</v>
      </c>
      <c r="D28" s="5" t="s">
        <v>21</v>
      </c>
      <c r="E28" s="5" t="s">
        <v>69</v>
      </c>
      <c r="F28" s="5" t="s">
        <v>42</v>
      </c>
      <c r="G28" t="s">
        <v>178</v>
      </c>
      <c r="H28" s="5" t="s">
        <v>3673</v>
      </c>
      <c r="I28" s="5" t="s">
        <v>179</v>
      </c>
      <c r="J28" s="5" t="s">
        <v>180</v>
      </c>
      <c r="K28" s="5" t="s">
        <v>40</v>
      </c>
      <c r="L28">
        <v>4</v>
      </c>
      <c r="M28">
        <v>86.32</v>
      </c>
      <c r="N28" s="8">
        <v>4.32</v>
      </c>
      <c r="O28" s="8">
        <v>340.96</v>
      </c>
      <c r="P28" s="8">
        <v>17.05</v>
      </c>
      <c r="Q28" s="10">
        <v>0</v>
      </c>
      <c r="R28" s="10">
        <v>0</v>
      </c>
      <c r="S28" s="8">
        <v>358.01</v>
      </c>
      <c r="T28">
        <v>28</v>
      </c>
      <c r="U28" t="str">
        <f t="shared" si="0"/>
        <v>Tuesday</v>
      </c>
    </row>
    <row r="29" spans="1:21" x14ac:dyDescent="0.3">
      <c r="A29" s="5" t="s">
        <v>181</v>
      </c>
      <c r="B29" s="3" t="s">
        <v>3698</v>
      </c>
      <c r="C29" s="5" t="s">
        <v>182</v>
      </c>
      <c r="D29" s="5" t="s">
        <v>21</v>
      </c>
      <c r="E29" s="5" t="s">
        <v>112</v>
      </c>
      <c r="F29" s="5" t="s">
        <v>37</v>
      </c>
      <c r="G29" t="s">
        <v>183</v>
      </c>
      <c r="H29" s="5" t="s">
        <v>3676</v>
      </c>
      <c r="I29" s="5" t="s">
        <v>184</v>
      </c>
      <c r="J29" s="5" t="s">
        <v>185</v>
      </c>
      <c r="K29" s="5" t="s">
        <v>40</v>
      </c>
      <c r="L29">
        <v>1</v>
      </c>
      <c r="M29">
        <v>65.42</v>
      </c>
      <c r="N29" s="8">
        <v>6.54</v>
      </c>
      <c r="O29" s="8">
        <v>58.88</v>
      </c>
      <c r="P29" s="8">
        <v>2.94</v>
      </c>
      <c r="Q29" s="10">
        <v>0</v>
      </c>
      <c r="R29" s="10">
        <v>5</v>
      </c>
      <c r="S29" s="8">
        <v>66.819999999999993</v>
      </c>
      <c r="T29">
        <v>41</v>
      </c>
      <c r="U29" t="str">
        <f t="shared" si="0"/>
        <v>Sunday</v>
      </c>
    </row>
    <row r="30" spans="1:21" x14ac:dyDescent="0.3">
      <c r="A30" s="5" t="s">
        <v>186</v>
      </c>
      <c r="B30" s="3" t="s">
        <v>3699</v>
      </c>
      <c r="C30" s="5" t="s">
        <v>187</v>
      </c>
      <c r="D30" s="5" t="s">
        <v>106</v>
      </c>
      <c r="E30" s="5" t="s">
        <v>83</v>
      </c>
      <c r="F30" s="5" t="s">
        <v>42</v>
      </c>
      <c r="G30" t="s">
        <v>188</v>
      </c>
      <c r="H30" s="5" t="s">
        <v>3675</v>
      </c>
      <c r="I30" s="5" t="s">
        <v>189</v>
      </c>
      <c r="J30" s="5" t="s">
        <v>190</v>
      </c>
      <c r="K30" s="5" t="s">
        <v>28</v>
      </c>
      <c r="L30">
        <v>6</v>
      </c>
      <c r="M30">
        <v>9.5500000000000007</v>
      </c>
      <c r="N30" s="8">
        <v>1.43</v>
      </c>
      <c r="O30" s="8">
        <v>55.87</v>
      </c>
      <c r="P30" s="8">
        <v>2.79</v>
      </c>
      <c r="Q30" s="10">
        <v>20</v>
      </c>
      <c r="R30" s="10">
        <v>10</v>
      </c>
      <c r="S30" s="8">
        <v>88.66</v>
      </c>
      <c r="T30">
        <v>12</v>
      </c>
      <c r="U30" t="str">
        <f t="shared" si="0"/>
        <v>Sunday</v>
      </c>
    </row>
    <row r="31" spans="1:21" x14ac:dyDescent="0.3">
      <c r="A31" s="5" t="s">
        <v>191</v>
      </c>
      <c r="B31" s="3" t="s">
        <v>3683</v>
      </c>
      <c r="C31" s="5" t="s">
        <v>192</v>
      </c>
      <c r="D31" s="5" t="s">
        <v>21</v>
      </c>
      <c r="E31" s="5" t="s">
        <v>76</v>
      </c>
      <c r="F31" s="5" t="s">
        <v>42</v>
      </c>
      <c r="G31" t="s">
        <v>193</v>
      </c>
      <c r="H31" s="5" t="s">
        <v>3676</v>
      </c>
      <c r="I31" s="5" t="s">
        <v>194</v>
      </c>
      <c r="J31" s="5" t="s">
        <v>195</v>
      </c>
      <c r="K31" s="5" t="s">
        <v>196</v>
      </c>
      <c r="L31">
        <v>2</v>
      </c>
      <c r="M31">
        <v>131.91</v>
      </c>
      <c r="N31" s="8">
        <v>13.19</v>
      </c>
      <c r="O31" s="8">
        <v>250.63</v>
      </c>
      <c r="P31" s="8">
        <v>12.53</v>
      </c>
      <c r="Q31" s="10">
        <v>0</v>
      </c>
      <c r="R31" s="10">
        <v>15</v>
      </c>
      <c r="S31" s="8">
        <v>278.16000000000003</v>
      </c>
      <c r="T31">
        <v>22</v>
      </c>
      <c r="U31" t="str">
        <f t="shared" si="0"/>
        <v>Thursday</v>
      </c>
    </row>
    <row r="32" spans="1:21" x14ac:dyDescent="0.3">
      <c r="A32" s="5" t="s">
        <v>197</v>
      </c>
      <c r="B32" s="3" t="s">
        <v>3692</v>
      </c>
      <c r="C32" s="5" t="s">
        <v>198</v>
      </c>
      <c r="D32" s="5" t="s">
        <v>21</v>
      </c>
      <c r="E32" s="5" t="s">
        <v>112</v>
      </c>
      <c r="F32" s="5" t="s">
        <v>42</v>
      </c>
      <c r="G32" t="s">
        <v>199</v>
      </c>
      <c r="H32" s="5" t="s">
        <v>25</v>
      </c>
      <c r="I32" s="5" t="s">
        <v>200</v>
      </c>
      <c r="J32" s="5" t="s">
        <v>201</v>
      </c>
      <c r="K32" s="5" t="s">
        <v>145</v>
      </c>
      <c r="L32">
        <v>5</v>
      </c>
      <c r="M32">
        <v>164.88</v>
      </c>
      <c r="N32" s="8">
        <v>16.489999999999998</v>
      </c>
      <c r="O32" s="8">
        <v>807.91</v>
      </c>
      <c r="P32" s="8">
        <v>40.4</v>
      </c>
      <c r="Q32" s="10">
        <v>20</v>
      </c>
      <c r="R32" s="10">
        <v>20</v>
      </c>
      <c r="S32" s="8">
        <v>888.31</v>
      </c>
      <c r="T32">
        <v>24.67</v>
      </c>
      <c r="U32" t="str">
        <f t="shared" si="0"/>
        <v>Wednesday</v>
      </c>
    </row>
    <row r="33" spans="1:21" x14ac:dyDescent="0.3">
      <c r="A33" s="5" t="s">
        <v>202</v>
      </c>
      <c r="B33" s="3" t="s">
        <v>3694</v>
      </c>
      <c r="C33" s="5" t="s">
        <v>203</v>
      </c>
      <c r="D33" s="5" t="s">
        <v>106</v>
      </c>
      <c r="E33" s="5" t="s">
        <v>83</v>
      </c>
      <c r="F33" s="5" t="s">
        <v>3671</v>
      </c>
      <c r="G33" t="s">
        <v>204</v>
      </c>
      <c r="H33" s="5" t="s">
        <v>3674</v>
      </c>
      <c r="I33" s="5" t="s">
        <v>205</v>
      </c>
      <c r="J33" s="5" t="s">
        <v>206</v>
      </c>
      <c r="K33" s="5" t="s">
        <v>56</v>
      </c>
      <c r="L33">
        <v>6</v>
      </c>
      <c r="M33">
        <v>149.6</v>
      </c>
      <c r="N33" s="8">
        <v>0</v>
      </c>
      <c r="O33" s="8">
        <v>897.59999999999991</v>
      </c>
      <c r="P33" s="8">
        <v>44.88</v>
      </c>
      <c r="Q33" s="10">
        <v>0</v>
      </c>
      <c r="R33" s="10">
        <v>5</v>
      </c>
      <c r="S33" s="8">
        <v>947.4799999999999</v>
      </c>
      <c r="T33">
        <v>26</v>
      </c>
      <c r="U33" t="str">
        <f t="shared" si="0"/>
        <v>Thursday</v>
      </c>
    </row>
    <row r="34" spans="1:21" x14ac:dyDescent="0.3">
      <c r="A34" s="5" t="s">
        <v>207</v>
      </c>
      <c r="B34" s="3" t="s">
        <v>3700</v>
      </c>
      <c r="C34" s="5" t="s">
        <v>208</v>
      </c>
      <c r="D34" s="5" t="s">
        <v>21</v>
      </c>
      <c r="E34" s="5" t="s">
        <v>22</v>
      </c>
      <c r="F34" s="5" t="s">
        <v>23</v>
      </c>
      <c r="G34" t="s">
        <v>209</v>
      </c>
      <c r="H34" s="5" t="s">
        <v>3673</v>
      </c>
      <c r="I34" s="5" t="s">
        <v>210</v>
      </c>
      <c r="J34" s="5" t="s">
        <v>211</v>
      </c>
      <c r="K34" s="5" t="s">
        <v>28</v>
      </c>
      <c r="L34">
        <v>4</v>
      </c>
      <c r="M34">
        <v>28.85</v>
      </c>
      <c r="N34" s="8">
        <v>4.33</v>
      </c>
      <c r="O34" s="8">
        <v>111.07</v>
      </c>
      <c r="P34" s="8">
        <v>5.55</v>
      </c>
      <c r="Q34" s="10">
        <v>30</v>
      </c>
      <c r="R34" s="10">
        <v>0</v>
      </c>
      <c r="S34" s="8">
        <v>146.62</v>
      </c>
      <c r="T34">
        <v>24.67</v>
      </c>
      <c r="U34" t="str">
        <f t="shared" si="0"/>
        <v>Saturday</v>
      </c>
    </row>
    <row r="35" spans="1:21" x14ac:dyDescent="0.3">
      <c r="A35" s="5" t="s">
        <v>212</v>
      </c>
      <c r="B35" s="3" t="s">
        <v>3701</v>
      </c>
      <c r="C35" s="5" t="s">
        <v>213</v>
      </c>
      <c r="D35" s="5" t="s">
        <v>82</v>
      </c>
      <c r="E35" s="5" t="s">
        <v>83</v>
      </c>
      <c r="F35" s="5" t="s">
        <v>42</v>
      </c>
      <c r="G35" t="s">
        <v>214</v>
      </c>
      <c r="H35" s="5" t="s">
        <v>3675</v>
      </c>
      <c r="I35" s="5" t="s">
        <v>215</v>
      </c>
      <c r="J35" s="5" t="s">
        <v>216</v>
      </c>
      <c r="K35" s="5" t="s">
        <v>73</v>
      </c>
      <c r="L35">
        <v>2</v>
      </c>
      <c r="M35">
        <v>257.91000000000003</v>
      </c>
      <c r="N35" s="8">
        <v>25.79</v>
      </c>
      <c r="O35" s="8">
        <v>490.03</v>
      </c>
      <c r="P35" s="8">
        <v>24.5</v>
      </c>
      <c r="Q35" s="10">
        <v>0</v>
      </c>
      <c r="R35" s="10">
        <v>15</v>
      </c>
      <c r="S35" s="8">
        <v>529.53</v>
      </c>
      <c r="T35">
        <v>24.67</v>
      </c>
      <c r="U35" t="str">
        <f t="shared" si="0"/>
        <v>Tuesday</v>
      </c>
    </row>
    <row r="36" spans="1:21" x14ac:dyDescent="0.3">
      <c r="A36" s="5" t="s">
        <v>217</v>
      </c>
      <c r="B36" s="3" t="s">
        <v>3702</v>
      </c>
      <c r="C36" s="5" t="s">
        <v>218</v>
      </c>
      <c r="D36" s="5" t="s">
        <v>21</v>
      </c>
      <c r="E36" s="5" t="s">
        <v>76</v>
      </c>
      <c r="F36" s="5" t="s">
        <v>42</v>
      </c>
      <c r="G36" t="s">
        <v>219</v>
      </c>
      <c r="H36" s="5" t="s">
        <v>3673</v>
      </c>
      <c r="I36" s="5" t="s">
        <v>220</v>
      </c>
      <c r="J36" s="5" t="s">
        <v>221</v>
      </c>
      <c r="K36" s="5" t="s">
        <v>56</v>
      </c>
      <c r="L36">
        <v>1</v>
      </c>
      <c r="M36">
        <v>13.17</v>
      </c>
      <c r="N36" s="8">
        <v>1.98</v>
      </c>
      <c r="O36" s="8">
        <v>11.19</v>
      </c>
      <c r="P36" s="8">
        <v>0.56000000000000005</v>
      </c>
      <c r="Q36" s="10">
        <v>0</v>
      </c>
      <c r="R36" s="10">
        <v>0</v>
      </c>
      <c r="S36" s="8">
        <v>11.75</v>
      </c>
      <c r="T36">
        <v>24.67</v>
      </c>
      <c r="U36" t="str">
        <f t="shared" si="0"/>
        <v>Monday</v>
      </c>
    </row>
    <row r="37" spans="1:21" x14ac:dyDescent="0.3">
      <c r="A37" s="5" t="s">
        <v>222</v>
      </c>
      <c r="B37" s="3" t="s">
        <v>3703</v>
      </c>
      <c r="C37" s="5" t="s">
        <v>223</v>
      </c>
      <c r="D37" s="5" t="s">
        <v>21</v>
      </c>
      <c r="E37" s="5" t="s">
        <v>69</v>
      </c>
      <c r="F37" s="5" t="s">
        <v>37</v>
      </c>
      <c r="G37" t="s">
        <v>224</v>
      </c>
      <c r="H37" s="5" t="s">
        <v>100</v>
      </c>
      <c r="I37" s="5" t="s">
        <v>225</v>
      </c>
      <c r="J37" s="5" t="s">
        <v>226</v>
      </c>
      <c r="K37" s="5" t="s">
        <v>40</v>
      </c>
      <c r="L37">
        <v>1</v>
      </c>
      <c r="M37">
        <v>258.17</v>
      </c>
      <c r="N37" s="8">
        <v>38.729999999999997</v>
      </c>
      <c r="O37" s="8">
        <v>219.44</v>
      </c>
      <c r="P37" s="8">
        <v>10.97</v>
      </c>
      <c r="Q37" s="10">
        <v>10</v>
      </c>
      <c r="R37" s="10">
        <v>15</v>
      </c>
      <c r="S37" s="8">
        <v>255.41</v>
      </c>
      <c r="T37">
        <v>29</v>
      </c>
      <c r="U37" t="str">
        <f t="shared" si="0"/>
        <v>Friday</v>
      </c>
    </row>
    <row r="38" spans="1:21" x14ac:dyDescent="0.3">
      <c r="A38" s="5" t="s">
        <v>227</v>
      </c>
      <c r="B38" s="3" t="s">
        <v>3704</v>
      </c>
      <c r="C38" s="5" t="s">
        <v>228</v>
      </c>
      <c r="D38" s="5" t="s">
        <v>21</v>
      </c>
      <c r="E38" s="5" t="s">
        <v>69</v>
      </c>
      <c r="F38" s="5" t="s">
        <v>42</v>
      </c>
      <c r="G38" t="s">
        <v>229</v>
      </c>
      <c r="H38" s="5" t="s">
        <v>3673</v>
      </c>
      <c r="I38" s="5" t="s">
        <v>230</v>
      </c>
      <c r="J38" s="5" t="s">
        <v>231</v>
      </c>
      <c r="K38" s="5" t="s">
        <v>196</v>
      </c>
      <c r="L38">
        <v>4</v>
      </c>
      <c r="M38">
        <v>101.53</v>
      </c>
      <c r="N38" s="8">
        <v>10.15</v>
      </c>
      <c r="O38" s="8">
        <v>395.97</v>
      </c>
      <c r="P38" s="8">
        <v>19.8</v>
      </c>
      <c r="Q38" s="10">
        <v>30</v>
      </c>
      <c r="R38" s="10">
        <v>15</v>
      </c>
      <c r="S38" s="8">
        <v>460.77</v>
      </c>
      <c r="T38">
        <v>18</v>
      </c>
      <c r="U38" t="str">
        <f t="shared" si="0"/>
        <v>Tuesday</v>
      </c>
    </row>
    <row r="39" spans="1:21" x14ac:dyDescent="0.3">
      <c r="A39" s="5" t="s">
        <v>232</v>
      </c>
      <c r="B39" s="3" t="s">
        <v>3705</v>
      </c>
      <c r="C39" s="5" t="s">
        <v>233</v>
      </c>
      <c r="D39" s="5" t="s">
        <v>21</v>
      </c>
      <c r="E39" s="5" t="s">
        <v>22</v>
      </c>
      <c r="F39" s="5" t="s">
        <v>37</v>
      </c>
      <c r="G39" t="s">
        <v>234</v>
      </c>
      <c r="H39" s="5" t="s">
        <v>25</v>
      </c>
      <c r="I39" s="5" t="s">
        <v>235</v>
      </c>
      <c r="J39" s="5" t="s">
        <v>236</v>
      </c>
      <c r="K39" s="5" t="s">
        <v>196</v>
      </c>
      <c r="L39">
        <v>4</v>
      </c>
      <c r="M39">
        <v>180.61</v>
      </c>
      <c r="N39" s="8">
        <v>27.09</v>
      </c>
      <c r="O39" s="8">
        <v>695.35</v>
      </c>
      <c r="P39" s="8">
        <v>34.770000000000003</v>
      </c>
      <c r="Q39" s="10">
        <v>30</v>
      </c>
      <c r="R39" s="10">
        <v>0</v>
      </c>
      <c r="S39" s="8">
        <v>760.12</v>
      </c>
      <c r="T39">
        <v>26</v>
      </c>
      <c r="U39" t="str">
        <f t="shared" si="0"/>
        <v>Tuesday</v>
      </c>
    </row>
    <row r="40" spans="1:21" x14ac:dyDescent="0.3">
      <c r="A40" s="5" t="s">
        <v>237</v>
      </c>
      <c r="B40" s="3" t="s">
        <v>3697</v>
      </c>
      <c r="C40" s="5" t="s">
        <v>238</v>
      </c>
      <c r="D40" s="5" t="s">
        <v>82</v>
      </c>
      <c r="E40" s="5" t="s">
        <v>83</v>
      </c>
      <c r="F40" s="5" t="s">
        <v>23</v>
      </c>
      <c r="G40" t="s">
        <v>239</v>
      </c>
      <c r="H40" s="5" t="s">
        <v>3677</v>
      </c>
      <c r="I40" s="5" t="s">
        <v>240</v>
      </c>
      <c r="J40" s="5" t="s">
        <v>241</v>
      </c>
      <c r="K40" s="5" t="s">
        <v>40</v>
      </c>
      <c r="L40">
        <v>1</v>
      </c>
      <c r="M40">
        <v>161.5</v>
      </c>
      <c r="N40" s="8">
        <v>24.22</v>
      </c>
      <c r="O40" s="8">
        <v>137.28</v>
      </c>
      <c r="P40" s="8">
        <v>6.86</v>
      </c>
      <c r="Q40" s="10">
        <v>0</v>
      </c>
      <c r="R40" s="10">
        <v>0</v>
      </c>
      <c r="S40" s="8">
        <v>144.13999999999999</v>
      </c>
      <c r="T40">
        <v>37</v>
      </c>
      <c r="U40" t="str">
        <f t="shared" si="0"/>
        <v>Saturday</v>
      </c>
    </row>
    <row r="41" spans="1:21" x14ac:dyDescent="0.3">
      <c r="A41" s="5" t="s">
        <v>242</v>
      </c>
      <c r="B41" s="3" t="s">
        <v>3706</v>
      </c>
      <c r="C41" s="5" t="s">
        <v>243</v>
      </c>
      <c r="D41" s="5" t="s">
        <v>21</v>
      </c>
      <c r="E41" s="5" t="s">
        <v>69</v>
      </c>
      <c r="F41" s="5" t="s">
        <v>23</v>
      </c>
      <c r="G41" t="s">
        <v>244</v>
      </c>
      <c r="H41" s="5" t="s">
        <v>3673</v>
      </c>
      <c r="I41" s="5" t="s">
        <v>245</v>
      </c>
      <c r="J41" s="5" t="s">
        <v>246</v>
      </c>
      <c r="K41" s="5" t="s">
        <v>40</v>
      </c>
      <c r="L41">
        <v>4</v>
      </c>
      <c r="M41">
        <v>202.08</v>
      </c>
      <c r="N41" s="8">
        <v>30.31</v>
      </c>
      <c r="O41" s="8">
        <v>778.0100000000001</v>
      </c>
      <c r="P41" s="8">
        <v>38.9</v>
      </c>
      <c r="Q41" s="10">
        <v>20</v>
      </c>
      <c r="R41" s="10">
        <v>0</v>
      </c>
      <c r="S41" s="8">
        <v>836.91000000000008</v>
      </c>
      <c r="T41">
        <v>24</v>
      </c>
      <c r="U41" t="str">
        <f t="shared" si="0"/>
        <v>Thursday</v>
      </c>
    </row>
    <row r="42" spans="1:21" x14ac:dyDescent="0.3">
      <c r="A42" s="5" t="s">
        <v>247</v>
      </c>
      <c r="B42" s="3" t="s">
        <v>3707</v>
      </c>
      <c r="C42" s="5" t="s">
        <v>248</v>
      </c>
      <c r="D42" s="5" t="s">
        <v>21</v>
      </c>
      <c r="E42" s="5" t="s">
        <v>22</v>
      </c>
      <c r="F42" s="5" t="s">
        <v>37</v>
      </c>
      <c r="G42" t="s">
        <v>249</v>
      </c>
      <c r="H42" s="5" t="s">
        <v>3673</v>
      </c>
      <c r="I42" s="5" t="s">
        <v>250</v>
      </c>
      <c r="J42" s="5" t="s">
        <v>251</v>
      </c>
      <c r="K42" s="5" t="s">
        <v>45</v>
      </c>
      <c r="L42">
        <v>1</v>
      </c>
      <c r="M42">
        <v>103</v>
      </c>
      <c r="N42" s="8">
        <v>5.15</v>
      </c>
      <c r="O42" s="8">
        <v>97.85</v>
      </c>
      <c r="P42" s="8">
        <v>4.8899999999999997</v>
      </c>
      <c r="Q42" s="10">
        <v>20</v>
      </c>
      <c r="R42" s="10">
        <v>20</v>
      </c>
      <c r="S42" s="8">
        <v>142.74</v>
      </c>
      <c r="T42">
        <v>26</v>
      </c>
      <c r="U42" t="str">
        <f t="shared" si="0"/>
        <v>Wednesday</v>
      </c>
    </row>
    <row r="43" spans="1:21" x14ac:dyDescent="0.3">
      <c r="A43" s="5" t="s">
        <v>252</v>
      </c>
      <c r="B43" s="3" t="s">
        <v>3708</v>
      </c>
      <c r="C43" s="5" t="s">
        <v>253</v>
      </c>
      <c r="D43" s="5" t="s">
        <v>82</v>
      </c>
      <c r="E43" s="5" t="s">
        <v>83</v>
      </c>
      <c r="F43" s="5" t="s">
        <v>37</v>
      </c>
      <c r="G43" t="s">
        <v>254</v>
      </c>
      <c r="H43" s="5" t="s">
        <v>3674</v>
      </c>
      <c r="I43" s="5" t="s">
        <v>255</v>
      </c>
      <c r="J43" s="5" t="s">
        <v>256</v>
      </c>
      <c r="K43" s="5" t="s">
        <v>73</v>
      </c>
      <c r="L43">
        <v>3</v>
      </c>
      <c r="M43">
        <v>87.94</v>
      </c>
      <c r="N43" s="8">
        <v>0</v>
      </c>
      <c r="O43" s="8">
        <v>263.82</v>
      </c>
      <c r="P43" s="8">
        <v>13.19</v>
      </c>
      <c r="Q43" s="10">
        <v>0</v>
      </c>
      <c r="R43" s="10">
        <v>15</v>
      </c>
      <c r="S43" s="8">
        <v>292.01</v>
      </c>
      <c r="T43">
        <v>24.67</v>
      </c>
      <c r="U43" t="str">
        <f t="shared" si="0"/>
        <v>Sunday</v>
      </c>
    </row>
    <row r="44" spans="1:21" x14ac:dyDescent="0.3">
      <c r="A44" s="5" t="s">
        <v>257</v>
      </c>
      <c r="B44" s="3" t="s">
        <v>3709</v>
      </c>
      <c r="C44" s="5" t="s">
        <v>258</v>
      </c>
      <c r="D44" s="5" t="s">
        <v>21</v>
      </c>
      <c r="E44" s="5" t="s">
        <v>112</v>
      </c>
      <c r="F44" s="5" t="s">
        <v>37</v>
      </c>
      <c r="G44" t="s">
        <v>259</v>
      </c>
      <c r="H44" s="5" t="s">
        <v>3676</v>
      </c>
      <c r="I44" s="5" t="s">
        <v>260</v>
      </c>
      <c r="J44" s="5" t="s">
        <v>261</v>
      </c>
      <c r="K44" s="5" t="s">
        <v>73</v>
      </c>
      <c r="L44">
        <v>1</v>
      </c>
      <c r="M44">
        <v>276.36</v>
      </c>
      <c r="N44" s="8">
        <v>0</v>
      </c>
      <c r="O44" s="8">
        <v>276.36</v>
      </c>
      <c r="P44" s="8">
        <v>13.82</v>
      </c>
      <c r="Q44" s="10">
        <v>30</v>
      </c>
      <c r="R44" s="10">
        <v>15</v>
      </c>
      <c r="S44" s="8">
        <v>335.18</v>
      </c>
      <c r="T44">
        <v>29</v>
      </c>
      <c r="U44" t="str">
        <f t="shared" si="0"/>
        <v>Thursday</v>
      </c>
    </row>
    <row r="45" spans="1:21" x14ac:dyDescent="0.3">
      <c r="A45" s="5" t="s">
        <v>262</v>
      </c>
      <c r="B45" s="3" t="s">
        <v>3694</v>
      </c>
      <c r="C45" s="5" t="s">
        <v>263</v>
      </c>
      <c r="D45" s="5" t="s">
        <v>82</v>
      </c>
      <c r="E45" s="5" t="s">
        <v>83</v>
      </c>
      <c r="F45" s="5" t="s">
        <v>37</v>
      </c>
      <c r="G45" t="s">
        <v>264</v>
      </c>
      <c r="H45" s="5" t="s">
        <v>3673</v>
      </c>
      <c r="I45" s="5" t="s">
        <v>265</v>
      </c>
      <c r="J45" s="5" t="s">
        <v>266</v>
      </c>
      <c r="K45" s="5" t="s">
        <v>40</v>
      </c>
      <c r="L45">
        <v>2</v>
      </c>
      <c r="M45">
        <v>201.41</v>
      </c>
      <c r="N45" s="8">
        <v>0</v>
      </c>
      <c r="O45" s="8">
        <v>402.82</v>
      </c>
      <c r="P45" s="8">
        <v>20.14</v>
      </c>
      <c r="Q45" s="10">
        <v>30</v>
      </c>
      <c r="R45" s="10">
        <v>5</v>
      </c>
      <c r="S45" s="8">
        <v>457.96</v>
      </c>
      <c r="T45">
        <v>21</v>
      </c>
      <c r="U45" t="str">
        <f t="shared" si="0"/>
        <v>Thursday</v>
      </c>
    </row>
    <row r="46" spans="1:21" x14ac:dyDescent="0.3">
      <c r="A46" s="5" t="s">
        <v>267</v>
      </c>
      <c r="B46" s="3" t="s">
        <v>3710</v>
      </c>
      <c r="C46" s="5" t="s">
        <v>268</v>
      </c>
      <c r="D46" s="5" t="s">
        <v>21</v>
      </c>
      <c r="E46" s="5" t="s">
        <v>76</v>
      </c>
      <c r="F46" s="5" t="s">
        <v>42</v>
      </c>
      <c r="G46" t="s">
        <v>269</v>
      </c>
      <c r="H46" s="5" t="s">
        <v>3674</v>
      </c>
      <c r="I46" s="5" t="s">
        <v>270</v>
      </c>
      <c r="J46" s="5" t="s">
        <v>271</v>
      </c>
      <c r="K46" s="5" t="s">
        <v>145</v>
      </c>
      <c r="L46">
        <v>2</v>
      </c>
      <c r="M46">
        <v>173.19</v>
      </c>
      <c r="N46" s="8">
        <v>25.98</v>
      </c>
      <c r="O46" s="8">
        <v>320.39999999999998</v>
      </c>
      <c r="P46" s="8">
        <v>16.02</v>
      </c>
      <c r="Q46" s="10">
        <v>0</v>
      </c>
      <c r="R46" s="10">
        <v>15</v>
      </c>
      <c r="S46" s="8">
        <v>351.42</v>
      </c>
      <c r="T46">
        <v>38</v>
      </c>
      <c r="U46" t="str">
        <f t="shared" si="0"/>
        <v>Monday</v>
      </c>
    </row>
    <row r="47" spans="1:21" x14ac:dyDescent="0.3">
      <c r="A47" s="5" t="s">
        <v>272</v>
      </c>
      <c r="B47" s="3" t="s">
        <v>3679</v>
      </c>
      <c r="C47" s="5" t="s">
        <v>273</v>
      </c>
      <c r="D47" s="5" t="s">
        <v>21</v>
      </c>
      <c r="E47" s="5" t="s">
        <v>112</v>
      </c>
      <c r="F47" s="5" t="s">
        <v>37</v>
      </c>
      <c r="G47" t="s">
        <v>274</v>
      </c>
      <c r="H47" s="5" t="s">
        <v>3674</v>
      </c>
      <c r="I47" s="5" t="s">
        <v>275</v>
      </c>
      <c r="J47" s="5" t="s">
        <v>276</v>
      </c>
      <c r="K47" s="5" t="s">
        <v>28</v>
      </c>
      <c r="L47">
        <v>5</v>
      </c>
      <c r="M47">
        <v>93.93</v>
      </c>
      <c r="N47" s="8">
        <v>14.09</v>
      </c>
      <c r="O47" s="8">
        <v>455.56000000000012</v>
      </c>
      <c r="P47" s="8">
        <v>22.78</v>
      </c>
      <c r="Q47" s="10">
        <v>0</v>
      </c>
      <c r="R47" s="10">
        <v>15</v>
      </c>
      <c r="S47" s="8">
        <v>493.34</v>
      </c>
      <c r="T47">
        <v>24.67</v>
      </c>
      <c r="U47" t="str">
        <f t="shared" si="0"/>
        <v>Friday</v>
      </c>
    </row>
    <row r="48" spans="1:21" x14ac:dyDescent="0.3">
      <c r="A48" s="5" t="s">
        <v>277</v>
      </c>
      <c r="B48" s="3" t="s">
        <v>3711</v>
      </c>
      <c r="C48" s="5" t="s">
        <v>278</v>
      </c>
      <c r="D48" s="5" t="s">
        <v>21</v>
      </c>
      <c r="E48" s="5" t="s">
        <v>112</v>
      </c>
      <c r="F48" s="5" t="s">
        <v>42</v>
      </c>
      <c r="G48" t="s">
        <v>279</v>
      </c>
      <c r="H48" s="5" t="s">
        <v>3676</v>
      </c>
      <c r="I48" s="5" t="s">
        <v>280</v>
      </c>
      <c r="J48" s="5" t="s">
        <v>281</v>
      </c>
      <c r="K48" s="5" t="s">
        <v>40</v>
      </c>
      <c r="L48">
        <v>2</v>
      </c>
      <c r="M48">
        <v>4.8</v>
      </c>
      <c r="N48" s="8">
        <v>0</v>
      </c>
      <c r="O48" s="8">
        <v>9.6</v>
      </c>
      <c r="P48" s="8">
        <v>0.48</v>
      </c>
      <c r="Q48" s="10">
        <v>0</v>
      </c>
      <c r="R48" s="10">
        <v>5</v>
      </c>
      <c r="S48" s="8">
        <v>15.08</v>
      </c>
      <c r="T48">
        <v>12</v>
      </c>
      <c r="U48" t="str">
        <f t="shared" si="0"/>
        <v>Wednesday</v>
      </c>
    </row>
    <row r="49" spans="1:21" x14ac:dyDescent="0.3">
      <c r="A49" s="5" t="s">
        <v>282</v>
      </c>
      <c r="B49" s="3" t="s">
        <v>3691</v>
      </c>
      <c r="C49" s="5" t="s">
        <v>283</v>
      </c>
      <c r="D49" s="5" t="s">
        <v>21</v>
      </c>
      <c r="E49" s="5" t="s">
        <v>76</v>
      </c>
      <c r="F49" s="5" t="s">
        <v>42</v>
      </c>
      <c r="G49" t="s">
        <v>284</v>
      </c>
      <c r="H49" s="5" t="s">
        <v>3673</v>
      </c>
      <c r="I49" s="5" t="s">
        <v>285</v>
      </c>
      <c r="J49" s="5" t="s">
        <v>286</v>
      </c>
      <c r="K49" s="5" t="s">
        <v>45</v>
      </c>
      <c r="L49">
        <v>3</v>
      </c>
      <c r="M49">
        <v>203.32</v>
      </c>
      <c r="N49" s="8">
        <v>0</v>
      </c>
      <c r="O49" s="8">
        <v>609.96</v>
      </c>
      <c r="P49" s="8">
        <v>30.5</v>
      </c>
      <c r="Q49" s="10">
        <v>0</v>
      </c>
      <c r="R49" s="10">
        <v>20</v>
      </c>
      <c r="S49" s="8">
        <v>660.46</v>
      </c>
      <c r="T49">
        <v>33</v>
      </c>
      <c r="U49" t="str">
        <f t="shared" si="0"/>
        <v>Friday</v>
      </c>
    </row>
    <row r="50" spans="1:21" x14ac:dyDescent="0.3">
      <c r="A50" s="5" t="s">
        <v>287</v>
      </c>
      <c r="B50" s="3" t="s">
        <v>3712</v>
      </c>
      <c r="C50" s="5" t="s">
        <v>288</v>
      </c>
      <c r="D50" s="5" t="s">
        <v>21</v>
      </c>
      <c r="E50" s="5" t="s">
        <v>22</v>
      </c>
      <c r="F50" s="5" t="s">
        <v>37</v>
      </c>
      <c r="G50" t="s">
        <v>289</v>
      </c>
      <c r="H50" s="5" t="s">
        <v>3673</v>
      </c>
      <c r="I50" s="5" t="s">
        <v>290</v>
      </c>
      <c r="J50" s="5" t="s">
        <v>291</v>
      </c>
      <c r="K50" s="5" t="s">
        <v>145</v>
      </c>
      <c r="L50">
        <v>3</v>
      </c>
      <c r="M50">
        <v>106.91</v>
      </c>
      <c r="N50" s="8">
        <v>5.35</v>
      </c>
      <c r="O50" s="8">
        <v>315.38</v>
      </c>
      <c r="P50" s="8">
        <v>15.77</v>
      </c>
      <c r="Q50" s="10">
        <v>30</v>
      </c>
      <c r="R50" s="10">
        <v>10</v>
      </c>
      <c r="S50" s="8">
        <v>371.15</v>
      </c>
      <c r="T50">
        <v>34</v>
      </c>
      <c r="U50" t="str">
        <f t="shared" si="0"/>
        <v>Thursday</v>
      </c>
    </row>
    <row r="51" spans="1:21" x14ac:dyDescent="0.3">
      <c r="A51" s="5" t="s">
        <v>292</v>
      </c>
      <c r="B51" s="3" t="s">
        <v>3709</v>
      </c>
      <c r="C51" s="5" t="s">
        <v>293</v>
      </c>
      <c r="D51" s="5" t="s">
        <v>21</v>
      </c>
      <c r="E51" s="5" t="s">
        <v>36</v>
      </c>
      <c r="F51" s="5" t="s">
        <v>37</v>
      </c>
      <c r="G51" t="s">
        <v>294</v>
      </c>
      <c r="H51" s="5" t="s">
        <v>3673</v>
      </c>
      <c r="I51" s="5" t="s">
        <v>295</v>
      </c>
      <c r="J51" s="5" t="s">
        <v>296</v>
      </c>
      <c r="K51" s="5" t="s">
        <v>22</v>
      </c>
      <c r="L51">
        <v>4</v>
      </c>
      <c r="M51">
        <v>122.82</v>
      </c>
      <c r="N51" s="8">
        <v>6.14</v>
      </c>
      <c r="O51" s="8">
        <v>485.14</v>
      </c>
      <c r="P51" s="8">
        <v>24.26</v>
      </c>
      <c r="Q51" s="10">
        <v>20</v>
      </c>
      <c r="R51" s="10">
        <v>10</v>
      </c>
      <c r="S51" s="8">
        <v>539.4</v>
      </c>
      <c r="T51">
        <v>24</v>
      </c>
      <c r="U51" t="str">
        <f t="shared" si="0"/>
        <v>Thursday</v>
      </c>
    </row>
    <row r="52" spans="1:21" x14ac:dyDescent="0.3">
      <c r="A52" s="5" t="s">
        <v>297</v>
      </c>
      <c r="B52" s="3" t="s">
        <v>3713</v>
      </c>
      <c r="C52" s="5" t="s">
        <v>298</v>
      </c>
      <c r="D52" s="5" t="s">
        <v>106</v>
      </c>
      <c r="E52" s="5" t="s">
        <v>83</v>
      </c>
      <c r="F52" s="5" t="s">
        <v>42</v>
      </c>
      <c r="G52" t="s">
        <v>299</v>
      </c>
      <c r="H52" s="5" t="s">
        <v>3675</v>
      </c>
      <c r="I52" s="5" t="s">
        <v>300</v>
      </c>
      <c r="J52" s="5" t="s">
        <v>301</v>
      </c>
      <c r="K52" s="5" t="s">
        <v>34</v>
      </c>
      <c r="L52">
        <v>1</v>
      </c>
      <c r="M52">
        <v>93.27</v>
      </c>
      <c r="N52" s="8">
        <v>13.99</v>
      </c>
      <c r="O52" s="8">
        <v>79.28</v>
      </c>
      <c r="P52" s="8">
        <v>3.96</v>
      </c>
      <c r="Q52" s="10">
        <v>0</v>
      </c>
      <c r="R52" s="10">
        <v>20</v>
      </c>
      <c r="S52" s="8">
        <v>103.24</v>
      </c>
      <c r="T52">
        <v>39</v>
      </c>
      <c r="U52" t="str">
        <f t="shared" si="0"/>
        <v>Tuesday</v>
      </c>
    </row>
    <row r="53" spans="1:21" x14ac:dyDescent="0.3">
      <c r="A53" s="5" t="s">
        <v>302</v>
      </c>
      <c r="B53" s="3" t="s">
        <v>3682</v>
      </c>
      <c r="C53" s="5" t="s">
        <v>303</v>
      </c>
      <c r="D53" s="5" t="s">
        <v>21</v>
      </c>
      <c r="E53" s="5" t="s">
        <v>76</v>
      </c>
      <c r="F53" s="5" t="s">
        <v>37</v>
      </c>
      <c r="G53" t="s">
        <v>304</v>
      </c>
      <c r="H53" s="5" t="s">
        <v>3673</v>
      </c>
      <c r="I53" s="5" t="s">
        <v>305</v>
      </c>
      <c r="J53" s="5" t="s">
        <v>306</v>
      </c>
      <c r="K53" s="5" t="s">
        <v>22</v>
      </c>
      <c r="L53">
        <v>1</v>
      </c>
      <c r="M53">
        <v>167.62</v>
      </c>
      <c r="N53" s="8">
        <v>8.3800000000000008</v>
      </c>
      <c r="O53" s="8">
        <v>159.24</v>
      </c>
      <c r="P53" s="8">
        <v>7.96</v>
      </c>
      <c r="Q53" s="10">
        <v>0</v>
      </c>
      <c r="R53" s="10">
        <v>0</v>
      </c>
      <c r="S53" s="8">
        <v>167.2</v>
      </c>
      <c r="T53">
        <v>6</v>
      </c>
      <c r="U53" t="str">
        <f t="shared" si="0"/>
        <v>Tuesday</v>
      </c>
    </row>
    <row r="54" spans="1:21" x14ac:dyDescent="0.3">
      <c r="A54" s="5" t="s">
        <v>307</v>
      </c>
      <c r="B54" s="3" t="s">
        <v>3714</v>
      </c>
      <c r="C54" s="5" t="s">
        <v>308</v>
      </c>
      <c r="D54" s="5" t="s">
        <v>21</v>
      </c>
      <c r="E54" s="5" t="s">
        <v>36</v>
      </c>
      <c r="F54" s="5" t="s">
        <v>23</v>
      </c>
      <c r="G54" t="s">
        <v>309</v>
      </c>
      <c r="H54" s="5" t="s">
        <v>3674</v>
      </c>
      <c r="I54" s="5" t="s">
        <v>310</v>
      </c>
      <c r="J54" s="5" t="s">
        <v>311</v>
      </c>
      <c r="K54" s="5" t="s">
        <v>28</v>
      </c>
      <c r="L54">
        <v>2</v>
      </c>
      <c r="M54">
        <v>59.75</v>
      </c>
      <c r="N54" s="8">
        <v>2.99</v>
      </c>
      <c r="O54" s="8">
        <v>116.51</v>
      </c>
      <c r="P54" s="8">
        <v>5.83</v>
      </c>
      <c r="Q54" s="10">
        <v>0</v>
      </c>
      <c r="R54" s="10">
        <v>0</v>
      </c>
      <c r="S54" s="8">
        <v>122.34</v>
      </c>
      <c r="T54">
        <v>24.67</v>
      </c>
      <c r="U54" t="str">
        <f t="shared" si="0"/>
        <v>Thursday</v>
      </c>
    </row>
    <row r="55" spans="1:21" x14ac:dyDescent="0.3">
      <c r="A55" s="5" t="s">
        <v>312</v>
      </c>
      <c r="B55" s="3" t="s">
        <v>3678</v>
      </c>
      <c r="C55" s="5" t="s">
        <v>313</v>
      </c>
      <c r="D55" s="5" t="s">
        <v>82</v>
      </c>
      <c r="E55" s="5" t="s">
        <v>83</v>
      </c>
      <c r="F55" s="5" t="s">
        <v>37</v>
      </c>
      <c r="G55" t="s">
        <v>314</v>
      </c>
      <c r="H55" s="5" t="s">
        <v>3674</v>
      </c>
      <c r="I55" s="5" t="s">
        <v>315</v>
      </c>
      <c r="J55" s="5" t="s">
        <v>316</v>
      </c>
      <c r="K55" s="5" t="s">
        <v>40</v>
      </c>
      <c r="L55">
        <v>1</v>
      </c>
      <c r="M55">
        <v>3.98</v>
      </c>
      <c r="N55" s="8">
        <v>0.4</v>
      </c>
      <c r="O55" s="8">
        <v>3.58</v>
      </c>
      <c r="P55" s="8">
        <v>0.18</v>
      </c>
      <c r="Q55" s="10">
        <v>20</v>
      </c>
      <c r="R55" s="10">
        <v>5</v>
      </c>
      <c r="S55" s="8">
        <v>28.76</v>
      </c>
      <c r="T55">
        <v>12</v>
      </c>
      <c r="U55" t="str">
        <f t="shared" si="0"/>
        <v>Saturday</v>
      </c>
    </row>
    <row r="56" spans="1:21" x14ac:dyDescent="0.3">
      <c r="A56" s="5" t="s">
        <v>317</v>
      </c>
      <c r="B56" s="3" t="s">
        <v>3715</v>
      </c>
      <c r="C56" s="5" t="s">
        <v>318</v>
      </c>
      <c r="D56" s="5" t="s">
        <v>21</v>
      </c>
      <c r="E56" s="5" t="s">
        <v>76</v>
      </c>
      <c r="F56" s="5" t="s">
        <v>23</v>
      </c>
      <c r="G56" t="s">
        <v>319</v>
      </c>
      <c r="H56" s="5" t="s">
        <v>25</v>
      </c>
      <c r="I56" s="5" t="s">
        <v>320</v>
      </c>
      <c r="J56" s="5" t="s">
        <v>321</v>
      </c>
      <c r="K56" s="5" t="s">
        <v>56</v>
      </c>
      <c r="L56">
        <v>4</v>
      </c>
      <c r="M56">
        <v>107.16</v>
      </c>
      <c r="N56" s="8">
        <v>16.07</v>
      </c>
      <c r="O56" s="8">
        <v>412.57</v>
      </c>
      <c r="P56" s="8">
        <v>20.63</v>
      </c>
      <c r="Q56" s="10">
        <v>0</v>
      </c>
      <c r="R56" s="10">
        <v>15</v>
      </c>
      <c r="S56" s="8">
        <v>448.2</v>
      </c>
      <c r="T56">
        <v>33</v>
      </c>
      <c r="U56" t="str">
        <f t="shared" si="0"/>
        <v>Saturday</v>
      </c>
    </row>
    <row r="57" spans="1:21" x14ac:dyDescent="0.3">
      <c r="A57" s="5" t="s">
        <v>322</v>
      </c>
      <c r="B57" s="3" t="s">
        <v>3716</v>
      </c>
      <c r="C57" s="5" t="s">
        <v>323</v>
      </c>
      <c r="D57" s="5" t="s">
        <v>21</v>
      </c>
      <c r="E57" s="5" t="s">
        <v>36</v>
      </c>
      <c r="F57" s="5" t="s">
        <v>37</v>
      </c>
      <c r="G57" t="s">
        <v>324</v>
      </c>
      <c r="H57" s="5" t="s">
        <v>100</v>
      </c>
      <c r="I57" s="5" t="s">
        <v>325</v>
      </c>
      <c r="J57" s="5" t="s">
        <v>326</v>
      </c>
      <c r="K57" s="5" t="s">
        <v>40</v>
      </c>
      <c r="L57">
        <v>3</v>
      </c>
      <c r="M57">
        <v>190.03</v>
      </c>
      <c r="N57" s="8">
        <v>0</v>
      </c>
      <c r="O57" s="8">
        <v>570.09</v>
      </c>
      <c r="P57" s="8">
        <v>28.5</v>
      </c>
      <c r="Q57" s="10">
        <v>10</v>
      </c>
      <c r="R57" s="10">
        <v>20</v>
      </c>
      <c r="S57" s="8">
        <v>628.59</v>
      </c>
      <c r="T57">
        <v>41</v>
      </c>
      <c r="U57" t="str">
        <f t="shared" si="0"/>
        <v>Saturday</v>
      </c>
    </row>
    <row r="58" spans="1:21" x14ac:dyDescent="0.3">
      <c r="A58" s="5" t="s">
        <v>327</v>
      </c>
      <c r="B58" s="3" t="s">
        <v>3700</v>
      </c>
      <c r="C58" s="5" t="s">
        <v>328</v>
      </c>
      <c r="D58" s="5" t="s">
        <v>21</v>
      </c>
      <c r="E58" s="5" t="s">
        <v>112</v>
      </c>
      <c r="F58" s="5" t="s">
        <v>42</v>
      </c>
      <c r="H58" s="5" t="s">
        <v>100</v>
      </c>
      <c r="I58" s="5" t="s">
        <v>329</v>
      </c>
      <c r="J58" s="5" t="s">
        <v>330</v>
      </c>
      <c r="K58" s="5" t="s">
        <v>45</v>
      </c>
      <c r="L58">
        <v>2</v>
      </c>
      <c r="M58">
        <v>89.93</v>
      </c>
      <c r="N58" s="8">
        <v>4.5</v>
      </c>
      <c r="O58" s="8">
        <v>175.36</v>
      </c>
      <c r="P58" s="8">
        <v>8.77</v>
      </c>
      <c r="Q58" s="10">
        <v>10</v>
      </c>
      <c r="R58" s="10">
        <v>20</v>
      </c>
      <c r="S58" s="8">
        <v>214.13</v>
      </c>
      <c r="T58">
        <v>30</v>
      </c>
      <c r="U58" t="str">
        <f t="shared" si="0"/>
        <v>Saturday</v>
      </c>
    </row>
    <row r="59" spans="1:21" x14ac:dyDescent="0.3">
      <c r="A59" s="5" t="s">
        <v>331</v>
      </c>
      <c r="B59" s="3" t="s">
        <v>3697</v>
      </c>
      <c r="C59" s="5" t="s">
        <v>332</v>
      </c>
      <c r="D59" s="5" t="s">
        <v>21</v>
      </c>
      <c r="E59" s="5" t="s">
        <v>69</v>
      </c>
      <c r="F59" s="5" t="s">
        <v>23</v>
      </c>
      <c r="G59" t="s">
        <v>333</v>
      </c>
      <c r="H59" s="5" t="s">
        <v>25</v>
      </c>
      <c r="I59" s="5" t="s">
        <v>334</v>
      </c>
      <c r="J59" s="5" t="s">
        <v>335</v>
      </c>
      <c r="K59" s="5" t="s">
        <v>73</v>
      </c>
      <c r="L59">
        <v>5</v>
      </c>
      <c r="M59">
        <v>125.79</v>
      </c>
      <c r="N59" s="8">
        <v>0</v>
      </c>
      <c r="O59" s="8">
        <v>628.95000000000005</v>
      </c>
      <c r="P59" s="8">
        <v>31.45</v>
      </c>
      <c r="Q59" s="10">
        <v>30</v>
      </c>
      <c r="R59" s="10">
        <v>10</v>
      </c>
      <c r="S59" s="8">
        <v>700.40000000000009</v>
      </c>
      <c r="T59">
        <v>10</v>
      </c>
      <c r="U59" t="str">
        <f t="shared" si="0"/>
        <v>Saturday</v>
      </c>
    </row>
    <row r="60" spans="1:21" x14ac:dyDescent="0.3">
      <c r="A60" s="5" t="s">
        <v>336</v>
      </c>
      <c r="B60" s="3" t="s">
        <v>3717</v>
      </c>
      <c r="C60" s="5" t="s">
        <v>337</v>
      </c>
      <c r="D60" s="5" t="s">
        <v>21</v>
      </c>
      <c r="E60" s="5" t="s">
        <v>36</v>
      </c>
      <c r="F60" s="5" t="s">
        <v>42</v>
      </c>
      <c r="G60" t="s">
        <v>338</v>
      </c>
      <c r="H60" s="5" t="s">
        <v>100</v>
      </c>
      <c r="I60" s="5" t="s">
        <v>339</v>
      </c>
      <c r="J60" s="5" t="s">
        <v>340</v>
      </c>
      <c r="K60" s="5" t="s">
        <v>45</v>
      </c>
      <c r="L60">
        <v>1</v>
      </c>
      <c r="M60">
        <v>130.63999999999999</v>
      </c>
      <c r="N60" s="8">
        <v>0</v>
      </c>
      <c r="O60" s="8">
        <v>130.63999999999999</v>
      </c>
      <c r="P60" s="8">
        <v>6.53</v>
      </c>
      <c r="Q60" s="10">
        <v>10</v>
      </c>
      <c r="R60" s="10">
        <v>5</v>
      </c>
      <c r="S60" s="8">
        <v>152.16999999999999</v>
      </c>
      <c r="T60">
        <v>32</v>
      </c>
      <c r="U60" t="str">
        <f t="shared" si="0"/>
        <v>Tuesday</v>
      </c>
    </row>
    <row r="61" spans="1:21" x14ac:dyDescent="0.3">
      <c r="A61" s="5" t="s">
        <v>341</v>
      </c>
      <c r="B61" s="3" t="s">
        <v>3718</v>
      </c>
      <c r="C61" s="5" t="s">
        <v>342</v>
      </c>
      <c r="D61" s="5" t="s">
        <v>21</v>
      </c>
      <c r="E61" s="5" t="s">
        <v>69</v>
      </c>
      <c r="F61" s="5" t="s">
        <v>37</v>
      </c>
      <c r="G61" t="s">
        <v>343</v>
      </c>
      <c r="H61" s="5" t="s">
        <v>25</v>
      </c>
      <c r="I61" s="5" t="s">
        <v>344</v>
      </c>
      <c r="J61" s="5" t="s">
        <v>345</v>
      </c>
      <c r="K61" s="5" t="s">
        <v>196</v>
      </c>
      <c r="L61">
        <v>5</v>
      </c>
      <c r="M61">
        <v>114.77</v>
      </c>
      <c r="N61" s="8">
        <v>17.22</v>
      </c>
      <c r="O61" s="8">
        <v>556.63</v>
      </c>
      <c r="P61" s="8">
        <v>27.83</v>
      </c>
      <c r="Q61" s="10">
        <v>0</v>
      </c>
      <c r="R61" s="10">
        <v>15</v>
      </c>
      <c r="S61" s="8">
        <v>599.46</v>
      </c>
      <c r="T61">
        <v>34</v>
      </c>
      <c r="U61" t="str">
        <f t="shared" si="0"/>
        <v>Wednesday</v>
      </c>
    </row>
    <row r="62" spans="1:21" x14ac:dyDescent="0.3">
      <c r="A62" s="5" t="s">
        <v>346</v>
      </c>
      <c r="B62" s="3" t="s">
        <v>3683</v>
      </c>
      <c r="C62" s="5" t="s">
        <v>347</v>
      </c>
      <c r="D62" s="5" t="s">
        <v>21</v>
      </c>
      <c r="E62" s="5" t="s">
        <v>76</v>
      </c>
      <c r="F62" s="5" t="s">
        <v>23</v>
      </c>
      <c r="G62" t="s">
        <v>348</v>
      </c>
      <c r="H62" s="5" t="s">
        <v>3674</v>
      </c>
      <c r="I62" s="5" t="s">
        <v>349</v>
      </c>
      <c r="J62" s="5" t="s">
        <v>350</v>
      </c>
      <c r="K62" s="5" t="s">
        <v>28</v>
      </c>
      <c r="L62">
        <v>1</v>
      </c>
      <c r="M62">
        <v>67.3</v>
      </c>
      <c r="N62" s="8">
        <v>3.37</v>
      </c>
      <c r="O62" s="8">
        <v>63.93</v>
      </c>
      <c r="P62" s="8">
        <v>3.2</v>
      </c>
      <c r="Q62" s="10">
        <v>10</v>
      </c>
      <c r="R62" s="10">
        <v>20</v>
      </c>
      <c r="S62" s="8">
        <v>97.13</v>
      </c>
      <c r="T62">
        <v>30</v>
      </c>
      <c r="U62" t="str">
        <f t="shared" si="0"/>
        <v>Thursday</v>
      </c>
    </row>
    <row r="63" spans="1:21" x14ac:dyDescent="0.3">
      <c r="A63" s="5" t="s">
        <v>351</v>
      </c>
      <c r="B63" s="3" t="s">
        <v>3714</v>
      </c>
      <c r="C63" s="5" t="s">
        <v>352</v>
      </c>
      <c r="D63" s="5" t="s">
        <v>21</v>
      </c>
      <c r="E63" s="5" t="s">
        <v>112</v>
      </c>
      <c r="F63" s="5" t="s">
        <v>23</v>
      </c>
      <c r="G63" t="s">
        <v>353</v>
      </c>
      <c r="H63" s="5" t="s">
        <v>100</v>
      </c>
      <c r="I63" s="5" t="s">
        <v>354</v>
      </c>
      <c r="J63" s="5" t="s">
        <v>355</v>
      </c>
      <c r="K63" s="5" t="s">
        <v>28</v>
      </c>
      <c r="L63">
        <v>5</v>
      </c>
      <c r="M63">
        <v>65.64</v>
      </c>
      <c r="N63" s="8">
        <v>0</v>
      </c>
      <c r="O63" s="8">
        <v>328.2</v>
      </c>
      <c r="P63" s="8">
        <v>16.41</v>
      </c>
      <c r="Q63" s="10">
        <v>0</v>
      </c>
      <c r="R63" s="10">
        <v>0</v>
      </c>
      <c r="S63" s="8">
        <v>344.61</v>
      </c>
      <c r="T63">
        <v>34</v>
      </c>
      <c r="U63" t="str">
        <f t="shared" si="0"/>
        <v>Thursday</v>
      </c>
    </row>
    <row r="64" spans="1:21" x14ac:dyDescent="0.3">
      <c r="A64" s="5" t="s">
        <v>356</v>
      </c>
      <c r="B64" s="3" t="s">
        <v>3719</v>
      </c>
      <c r="C64" s="5" t="s">
        <v>357</v>
      </c>
      <c r="D64" s="5" t="s">
        <v>21</v>
      </c>
      <c r="E64" s="5" t="s">
        <v>112</v>
      </c>
      <c r="F64" s="5" t="s">
        <v>42</v>
      </c>
      <c r="G64" t="s">
        <v>358</v>
      </c>
      <c r="H64" s="5" t="s">
        <v>3673</v>
      </c>
      <c r="I64" s="5" t="s">
        <v>359</v>
      </c>
      <c r="J64" s="5" t="s">
        <v>360</v>
      </c>
      <c r="K64" s="5" t="s">
        <v>196</v>
      </c>
      <c r="L64">
        <v>3</v>
      </c>
      <c r="M64">
        <v>82.14</v>
      </c>
      <c r="N64" s="8">
        <v>12.32</v>
      </c>
      <c r="O64" s="8">
        <v>234.1</v>
      </c>
      <c r="P64" s="8">
        <v>11.71</v>
      </c>
      <c r="Q64" s="10">
        <v>0</v>
      </c>
      <c r="R64" s="10">
        <v>0</v>
      </c>
      <c r="S64" s="8">
        <v>245.81</v>
      </c>
      <c r="T64">
        <v>31</v>
      </c>
      <c r="U64" t="str">
        <f t="shared" si="0"/>
        <v>Sunday</v>
      </c>
    </row>
    <row r="65" spans="1:21" x14ac:dyDescent="0.3">
      <c r="A65" s="5" t="s">
        <v>361</v>
      </c>
      <c r="B65" s="3" t="s">
        <v>3688</v>
      </c>
      <c r="C65" s="5" t="s">
        <v>362</v>
      </c>
      <c r="D65" s="5" t="s">
        <v>21</v>
      </c>
      <c r="E65" s="5" t="s">
        <v>69</v>
      </c>
      <c r="F65" s="5" t="s">
        <v>23</v>
      </c>
      <c r="G65" t="s">
        <v>363</v>
      </c>
      <c r="H65" s="5" t="s">
        <v>3674</v>
      </c>
      <c r="I65" s="5" t="s">
        <v>364</v>
      </c>
      <c r="J65" s="5" t="s">
        <v>365</v>
      </c>
      <c r="K65" s="5" t="s">
        <v>40</v>
      </c>
      <c r="L65">
        <v>1</v>
      </c>
      <c r="M65">
        <v>122.6</v>
      </c>
      <c r="N65" s="8">
        <v>0</v>
      </c>
      <c r="O65" s="8">
        <v>122.6</v>
      </c>
      <c r="P65" s="8">
        <v>6.13</v>
      </c>
      <c r="Q65" s="10">
        <v>10</v>
      </c>
      <c r="R65" s="10">
        <v>10</v>
      </c>
      <c r="S65" s="8">
        <v>148.72999999999999</v>
      </c>
      <c r="T65">
        <v>35</v>
      </c>
      <c r="U65" t="str">
        <f t="shared" si="0"/>
        <v>Saturday</v>
      </c>
    </row>
    <row r="66" spans="1:21" x14ac:dyDescent="0.3">
      <c r="A66" s="5" t="s">
        <v>366</v>
      </c>
      <c r="B66" s="3" t="s">
        <v>3693</v>
      </c>
      <c r="C66" s="5" t="s">
        <v>367</v>
      </c>
      <c r="D66" s="5" t="s">
        <v>21</v>
      </c>
      <c r="E66" s="5" t="s">
        <v>36</v>
      </c>
      <c r="F66" s="5" t="s">
        <v>42</v>
      </c>
      <c r="G66" t="s">
        <v>368</v>
      </c>
      <c r="H66" s="5" t="s">
        <v>100</v>
      </c>
      <c r="I66" s="5" t="s">
        <v>369</v>
      </c>
      <c r="J66" s="5" t="s">
        <v>370</v>
      </c>
      <c r="K66" s="5" t="s">
        <v>196</v>
      </c>
      <c r="L66">
        <v>5</v>
      </c>
      <c r="M66">
        <v>52.09</v>
      </c>
      <c r="N66" s="8">
        <v>0</v>
      </c>
      <c r="O66" s="8">
        <v>260.45</v>
      </c>
      <c r="P66" s="8">
        <v>13.02</v>
      </c>
      <c r="Q66" s="10">
        <v>10</v>
      </c>
      <c r="R66" s="10">
        <v>0</v>
      </c>
      <c r="S66" s="8">
        <v>283.47000000000003</v>
      </c>
      <c r="T66">
        <v>29</v>
      </c>
      <c r="U66" t="str">
        <f t="shared" si="0"/>
        <v>Thursday</v>
      </c>
    </row>
    <row r="67" spans="1:21" x14ac:dyDescent="0.3">
      <c r="A67" s="5" t="s">
        <v>371</v>
      </c>
      <c r="B67" s="3" t="s">
        <v>3720</v>
      </c>
      <c r="C67" s="5" t="s">
        <v>372</v>
      </c>
      <c r="D67" s="5" t="s">
        <v>21</v>
      </c>
      <c r="E67" s="5" t="s">
        <v>76</v>
      </c>
      <c r="F67" s="5" t="s">
        <v>42</v>
      </c>
      <c r="G67" t="s">
        <v>373</v>
      </c>
      <c r="H67" s="5" t="s">
        <v>3675</v>
      </c>
      <c r="I67" s="5" t="s">
        <v>374</v>
      </c>
      <c r="J67" s="5" t="s">
        <v>375</v>
      </c>
      <c r="K67" s="5" t="s">
        <v>34</v>
      </c>
      <c r="L67">
        <v>4</v>
      </c>
      <c r="M67">
        <v>155.44</v>
      </c>
      <c r="N67" s="8">
        <v>0</v>
      </c>
      <c r="O67" s="8">
        <v>621.76</v>
      </c>
      <c r="P67" s="8">
        <v>31.09</v>
      </c>
      <c r="Q67" s="10">
        <v>10</v>
      </c>
      <c r="R67" s="10">
        <v>15</v>
      </c>
      <c r="S67" s="8">
        <v>677.85</v>
      </c>
      <c r="T67">
        <v>36</v>
      </c>
      <c r="U67" t="str">
        <f t="shared" ref="U67:U130" si="1">TEXT(B67,"dddd")</f>
        <v>Monday</v>
      </c>
    </row>
    <row r="68" spans="1:21" x14ac:dyDescent="0.3">
      <c r="A68" s="5" t="s">
        <v>376</v>
      </c>
      <c r="B68" s="3" t="s">
        <v>3705</v>
      </c>
      <c r="C68" s="5" t="s">
        <v>377</v>
      </c>
      <c r="D68" s="5" t="s">
        <v>21</v>
      </c>
      <c r="E68" s="5" t="s">
        <v>69</v>
      </c>
      <c r="F68" s="5" t="s">
        <v>37</v>
      </c>
      <c r="G68" t="s">
        <v>378</v>
      </c>
      <c r="H68" s="5" t="s">
        <v>3673</v>
      </c>
      <c r="I68" s="5" t="s">
        <v>379</v>
      </c>
      <c r="J68" s="5" t="s">
        <v>380</v>
      </c>
      <c r="K68" s="5" t="s">
        <v>22</v>
      </c>
      <c r="L68">
        <v>3</v>
      </c>
      <c r="M68">
        <v>162.9</v>
      </c>
      <c r="N68" s="8">
        <v>16.29</v>
      </c>
      <c r="O68" s="8">
        <v>472.41</v>
      </c>
      <c r="P68" s="8">
        <v>23.62</v>
      </c>
      <c r="Q68" s="10">
        <v>20</v>
      </c>
      <c r="R68" s="10">
        <v>5</v>
      </c>
      <c r="S68" s="8">
        <v>521.03</v>
      </c>
      <c r="T68">
        <v>28</v>
      </c>
      <c r="U68" t="str">
        <f t="shared" si="1"/>
        <v>Tuesday</v>
      </c>
    </row>
    <row r="69" spans="1:21" x14ac:dyDescent="0.3">
      <c r="A69" s="5" t="s">
        <v>381</v>
      </c>
      <c r="B69" s="3" t="s">
        <v>3708</v>
      </c>
      <c r="C69" s="5" t="s">
        <v>382</v>
      </c>
      <c r="D69" s="5" t="s">
        <v>21</v>
      </c>
      <c r="E69" s="5" t="s">
        <v>36</v>
      </c>
      <c r="F69" s="5" t="s">
        <v>37</v>
      </c>
      <c r="H69" s="5" t="s">
        <v>3677</v>
      </c>
      <c r="I69" s="5" t="s">
        <v>383</v>
      </c>
      <c r="J69" s="5" t="s">
        <v>384</v>
      </c>
      <c r="K69" s="5" t="s">
        <v>103</v>
      </c>
      <c r="L69">
        <v>1</v>
      </c>
      <c r="M69">
        <v>109.97</v>
      </c>
      <c r="N69" s="8">
        <v>5.5</v>
      </c>
      <c r="O69" s="8">
        <v>104.47</v>
      </c>
      <c r="P69" s="8">
        <v>5.22</v>
      </c>
      <c r="Q69" s="10">
        <v>30</v>
      </c>
      <c r="R69" s="10">
        <v>5</v>
      </c>
      <c r="S69" s="8">
        <v>144.69</v>
      </c>
      <c r="T69">
        <v>26</v>
      </c>
      <c r="U69" t="str">
        <f t="shared" si="1"/>
        <v>Sunday</v>
      </c>
    </row>
    <row r="70" spans="1:21" x14ac:dyDescent="0.3">
      <c r="A70" s="5" t="s">
        <v>385</v>
      </c>
      <c r="B70" s="3" t="s">
        <v>3697</v>
      </c>
      <c r="C70" s="5" t="s">
        <v>386</v>
      </c>
      <c r="D70" s="5" t="s">
        <v>21</v>
      </c>
      <c r="E70" s="5" t="s">
        <v>69</v>
      </c>
      <c r="F70" s="5" t="s">
        <v>42</v>
      </c>
      <c r="G70" t="s">
        <v>387</v>
      </c>
      <c r="H70" s="5" t="s">
        <v>25</v>
      </c>
      <c r="I70" s="5" t="s">
        <v>388</v>
      </c>
      <c r="J70" s="5" t="s">
        <v>389</v>
      </c>
      <c r="K70" s="5" t="s">
        <v>56</v>
      </c>
      <c r="L70">
        <v>3</v>
      </c>
      <c r="M70">
        <v>110.85</v>
      </c>
      <c r="N70" s="8">
        <v>0</v>
      </c>
      <c r="O70" s="8">
        <v>332.55</v>
      </c>
      <c r="P70" s="8">
        <v>16.63</v>
      </c>
      <c r="Q70" s="10">
        <v>30</v>
      </c>
      <c r="R70" s="10">
        <v>5</v>
      </c>
      <c r="S70" s="8">
        <v>384.17999999999989</v>
      </c>
      <c r="T70">
        <v>29</v>
      </c>
      <c r="U70" t="str">
        <f t="shared" si="1"/>
        <v>Saturday</v>
      </c>
    </row>
    <row r="71" spans="1:21" x14ac:dyDescent="0.3">
      <c r="A71" s="5" t="s">
        <v>390</v>
      </c>
      <c r="B71" s="3" t="s">
        <v>3713</v>
      </c>
      <c r="C71" s="5" t="s">
        <v>391</v>
      </c>
      <c r="D71" s="5" t="s">
        <v>21</v>
      </c>
      <c r="E71" s="5" t="s">
        <v>112</v>
      </c>
      <c r="F71" s="5" t="s">
        <v>23</v>
      </c>
      <c r="G71" t="s">
        <v>392</v>
      </c>
      <c r="H71" s="5" t="s">
        <v>3673</v>
      </c>
      <c r="I71" s="5" t="s">
        <v>393</v>
      </c>
      <c r="J71" s="5" t="s">
        <v>394</v>
      </c>
      <c r="K71" s="5" t="s">
        <v>40</v>
      </c>
      <c r="L71">
        <v>3</v>
      </c>
      <c r="M71">
        <v>73.069999999999993</v>
      </c>
      <c r="N71" s="8">
        <v>3.65</v>
      </c>
      <c r="O71" s="8">
        <v>215.56</v>
      </c>
      <c r="P71" s="8">
        <v>10.78</v>
      </c>
      <c r="Q71" s="10">
        <v>20</v>
      </c>
      <c r="R71" s="10">
        <v>10</v>
      </c>
      <c r="S71" s="8">
        <v>256.33999999999997</v>
      </c>
      <c r="T71">
        <v>18</v>
      </c>
      <c r="U71" t="str">
        <f t="shared" si="1"/>
        <v>Tuesday</v>
      </c>
    </row>
    <row r="72" spans="1:21" x14ac:dyDescent="0.3">
      <c r="A72" s="5" t="s">
        <v>395</v>
      </c>
      <c r="B72" s="3" t="s">
        <v>3694</v>
      </c>
      <c r="C72" s="5" t="s">
        <v>396</v>
      </c>
      <c r="D72" s="5" t="s">
        <v>82</v>
      </c>
      <c r="E72" s="5" t="s">
        <v>83</v>
      </c>
      <c r="F72" s="5" t="s">
        <v>37</v>
      </c>
      <c r="G72" t="s">
        <v>397</v>
      </c>
      <c r="H72" s="5" t="s">
        <v>3677</v>
      </c>
      <c r="I72" s="5" t="s">
        <v>398</v>
      </c>
      <c r="J72" s="5" t="s">
        <v>399</v>
      </c>
      <c r="K72" s="5" t="s">
        <v>45</v>
      </c>
      <c r="L72">
        <v>3</v>
      </c>
      <c r="M72">
        <v>125.4</v>
      </c>
      <c r="N72" s="8">
        <v>6.27</v>
      </c>
      <c r="O72" s="8">
        <v>369.93000000000012</v>
      </c>
      <c r="P72" s="8">
        <v>18.5</v>
      </c>
      <c r="Q72" s="10">
        <v>0</v>
      </c>
      <c r="R72" s="10">
        <v>10</v>
      </c>
      <c r="S72" s="8">
        <v>398.43000000000012</v>
      </c>
      <c r="T72">
        <v>22</v>
      </c>
      <c r="U72" t="str">
        <f t="shared" si="1"/>
        <v>Thursday</v>
      </c>
    </row>
    <row r="73" spans="1:21" x14ac:dyDescent="0.3">
      <c r="A73" s="5" t="s">
        <v>400</v>
      </c>
      <c r="B73" s="3" t="s">
        <v>3681</v>
      </c>
      <c r="C73" s="5" t="s">
        <v>401</v>
      </c>
      <c r="D73" s="5" t="s">
        <v>21</v>
      </c>
      <c r="E73" s="5" t="s">
        <v>36</v>
      </c>
      <c r="F73" s="5" t="s">
        <v>23</v>
      </c>
      <c r="G73" t="s">
        <v>402</v>
      </c>
      <c r="H73" s="5" t="s">
        <v>3677</v>
      </c>
      <c r="I73" s="5" t="s">
        <v>403</v>
      </c>
      <c r="J73" s="5" t="s">
        <v>404</v>
      </c>
      <c r="K73" s="5" t="s">
        <v>45</v>
      </c>
      <c r="L73">
        <v>3</v>
      </c>
      <c r="M73">
        <v>134.96</v>
      </c>
      <c r="N73" s="8">
        <v>20.239999999999998</v>
      </c>
      <c r="O73" s="8">
        <v>384.64</v>
      </c>
      <c r="P73" s="8">
        <v>19.23</v>
      </c>
      <c r="Q73" s="10">
        <v>30</v>
      </c>
      <c r="R73" s="10">
        <v>10</v>
      </c>
      <c r="S73" s="8">
        <v>443.87</v>
      </c>
      <c r="T73">
        <v>40</v>
      </c>
      <c r="U73" t="str">
        <f t="shared" si="1"/>
        <v>Wednesday</v>
      </c>
    </row>
    <row r="74" spans="1:21" x14ac:dyDescent="0.3">
      <c r="A74" s="5" t="s">
        <v>405</v>
      </c>
      <c r="B74" s="3" t="s">
        <v>3708</v>
      </c>
      <c r="C74" s="5" t="s">
        <v>406</v>
      </c>
      <c r="D74" s="5" t="s">
        <v>21</v>
      </c>
      <c r="E74" s="5" t="s">
        <v>76</v>
      </c>
      <c r="F74" s="5" t="s">
        <v>23</v>
      </c>
      <c r="G74" t="s">
        <v>407</v>
      </c>
      <c r="H74" s="5" t="s">
        <v>3674</v>
      </c>
      <c r="I74" s="5" t="s">
        <v>408</v>
      </c>
      <c r="J74" s="5" t="s">
        <v>409</v>
      </c>
      <c r="K74" s="5" t="s">
        <v>73</v>
      </c>
      <c r="L74">
        <v>5</v>
      </c>
      <c r="M74">
        <v>33.51</v>
      </c>
      <c r="N74" s="8">
        <v>1.68</v>
      </c>
      <c r="O74" s="8">
        <v>165.87</v>
      </c>
      <c r="P74" s="8">
        <v>8.2899999999999991</v>
      </c>
      <c r="Q74" s="10">
        <v>20</v>
      </c>
      <c r="R74" s="10">
        <v>20</v>
      </c>
      <c r="S74" s="8">
        <v>214.16</v>
      </c>
      <c r="T74">
        <v>32</v>
      </c>
      <c r="U74" t="str">
        <f t="shared" si="1"/>
        <v>Sunday</v>
      </c>
    </row>
    <row r="75" spans="1:21" x14ac:dyDescent="0.3">
      <c r="A75" s="5" t="s">
        <v>410</v>
      </c>
      <c r="B75" s="3" t="s">
        <v>3721</v>
      </c>
      <c r="C75" s="5" t="s">
        <v>411</v>
      </c>
      <c r="D75" s="5" t="s">
        <v>21</v>
      </c>
      <c r="E75" s="5" t="s">
        <v>76</v>
      </c>
      <c r="F75" s="5" t="s">
        <v>37</v>
      </c>
      <c r="G75" t="s">
        <v>412</v>
      </c>
      <c r="H75" s="5" t="s">
        <v>3676</v>
      </c>
      <c r="I75" s="5" t="s">
        <v>413</v>
      </c>
      <c r="J75" s="5" t="s">
        <v>414</v>
      </c>
      <c r="K75" s="5" t="s">
        <v>103</v>
      </c>
      <c r="L75">
        <v>4</v>
      </c>
      <c r="M75">
        <v>93.21</v>
      </c>
      <c r="N75" s="8">
        <v>9.32</v>
      </c>
      <c r="O75" s="8">
        <v>363.52</v>
      </c>
      <c r="P75" s="8">
        <v>18.18</v>
      </c>
      <c r="Q75" s="10">
        <v>20</v>
      </c>
      <c r="R75" s="10">
        <v>10</v>
      </c>
      <c r="S75" s="8">
        <v>411.7</v>
      </c>
      <c r="T75">
        <v>24.67</v>
      </c>
      <c r="U75" t="str">
        <f t="shared" si="1"/>
        <v>Tuesday</v>
      </c>
    </row>
    <row r="76" spans="1:21" x14ac:dyDescent="0.3">
      <c r="A76" s="5" t="s">
        <v>415</v>
      </c>
      <c r="B76" s="3" t="s">
        <v>3717</v>
      </c>
      <c r="C76" s="5" t="s">
        <v>416</v>
      </c>
      <c r="D76" s="5" t="s">
        <v>82</v>
      </c>
      <c r="E76" s="5" t="s">
        <v>83</v>
      </c>
      <c r="F76" s="5" t="s">
        <v>42</v>
      </c>
      <c r="G76" t="s">
        <v>417</v>
      </c>
      <c r="H76" s="5" t="s">
        <v>3673</v>
      </c>
      <c r="I76" s="5" t="s">
        <v>418</v>
      </c>
      <c r="J76" s="5" t="s">
        <v>419</v>
      </c>
      <c r="K76" s="5" t="s">
        <v>145</v>
      </c>
      <c r="L76">
        <v>3</v>
      </c>
      <c r="M76">
        <v>98.22</v>
      </c>
      <c r="N76" s="8">
        <v>0</v>
      </c>
      <c r="O76" s="8">
        <v>294.66000000000003</v>
      </c>
      <c r="P76" s="8">
        <v>14.73</v>
      </c>
      <c r="Q76" s="10">
        <v>20</v>
      </c>
      <c r="R76" s="10">
        <v>10</v>
      </c>
      <c r="S76" s="8">
        <v>339.39</v>
      </c>
      <c r="T76">
        <v>26</v>
      </c>
      <c r="U76" t="str">
        <f t="shared" si="1"/>
        <v>Tuesday</v>
      </c>
    </row>
    <row r="77" spans="1:21" x14ac:dyDescent="0.3">
      <c r="A77" s="5" t="s">
        <v>420</v>
      </c>
      <c r="B77" s="3" t="s">
        <v>3722</v>
      </c>
      <c r="C77" s="5" t="s">
        <v>421</v>
      </c>
      <c r="D77" s="5" t="s">
        <v>21</v>
      </c>
      <c r="E77" s="5" t="s">
        <v>112</v>
      </c>
      <c r="F77" s="5" t="s">
        <v>42</v>
      </c>
      <c r="G77" t="s">
        <v>422</v>
      </c>
      <c r="H77" s="5" t="s">
        <v>3673</v>
      </c>
      <c r="I77" s="5" t="s">
        <v>423</v>
      </c>
      <c r="J77" s="5" t="s">
        <v>424</v>
      </c>
      <c r="K77" s="5" t="s">
        <v>28</v>
      </c>
      <c r="L77">
        <v>1</v>
      </c>
      <c r="M77">
        <v>234.65</v>
      </c>
      <c r="N77" s="8">
        <v>35.200000000000003</v>
      </c>
      <c r="O77" s="8">
        <v>199.45</v>
      </c>
      <c r="P77" s="8">
        <v>9.9700000000000006</v>
      </c>
      <c r="Q77" s="10">
        <v>30</v>
      </c>
      <c r="R77" s="10">
        <v>20</v>
      </c>
      <c r="S77" s="8">
        <v>259.42</v>
      </c>
      <c r="T77">
        <v>28</v>
      </c>
      <c r="U77" t="str">
        <f t="shared" si="1"/>
        <v>Friday</v>
      </c>
    </row>
    <row r="78" spans="1:21" x14ac:dyDescent="0.3">
      <c r="A78" s="5" t="s">
        <v>425</v>
      </c>
      <c r="B78" s="3" t="s">
        <v>3689</v>
      </c>
      <c r="C78" s="5" t="s">
        <v>426</v>
      </c>
      <c r="D78" s="5" t="s">
        <v>21</v>
      </c>
      <c r="E78" s="5" t="s">
        <v>36</v>
      </c>
      <c r="F78" s="5" t="s">
        <v>42</v>
      </c>
      <c r="H78" s="5" t="s">
        <v>3674</v>
      </c>
      <c r="I78" s="5" t="s">
        <v>427</v>
      </c>
      <c r="J78" s="5" t="s">
        <v>428</v>
      </c>
      <c r="K78" s="5" t="s">
        <v>145</v>
      </c>
      <c r="L78">
        <v>1</v>
      </c>
      <c r="M78">
        <v>188.2</v>
      </c>
      <c r="N78" s="8">
        <v>28.23</v>
      </c>
      <c r="O78" s="8">
        <v>159.97</v>
      </c>
      <c r="P78" s="8">
        <v>8</v>
      </c>
      <c r="Q78" s="10">
        <v>30</v>
      </c>
      <c r="R78" s="10">
        <v>15</v>
      </c>
      <c r="S78" s="8">
        <v>212.97</v>
      </c>
      <c r="T78">
        <v>20</v>
      </c>
      <c r="U78" t="str">
        <f t="shared" si="1"/>
        <v>Wednesday</v>
      </c>
    </row>
    <row r="79" spans="1:21" x14ac:dyDescent="0.3">
      <c r="A79" s="5" t="s">
        <v>429</v>
      </c>
      <c r="B79" s="3" t="s">
        <v>3718</v>
      </c>
      <c r="C79" s="5" t="s">
        <v>430</v>
      </c>
      <c r="D79" s="5" t="s">
        <v>21</v>
      </c>
      <c r="E79" s="5" t="s">
        <v>69</v>
      </c>
      <c r="F79" s="5" t="s">
        <v>37</v>
      </c>
      <c r="G79" t="s">
        <v>431</v>
      </c>
      <c r="H79" s="5" t="s">
        <v>3673</v>
      </c>
      <c r="I79" s="5" t="s">
        <v>432</v>
      </c>
      <c r="J79" s="5" t="s">
        <v>433</v>
      </c>
      <c r="K79" s="5" t="s">
        <v>73</v>
      </c>
      <c r="L79">
        <v>1</v>
      </c>
      <c r="M79">
        <v>232.87</v>
      </c>
      <c r="N79" s="8">
        <v>11.64</v>
      </c>
      <c r="O79" s="8">
        <v>221.23</v>
      </c>
      <c r="P79" s="8">
        <v>11.06</v>
      </c>
      <c r="Q79" s="10">
        <v>20</v>
      </c>
      <c r="R79" s="10">
        <v>5</v>
      </c>
      <c r="S79" s="8">
        <v>257.29000000000002</v>
      </c>
      <c r="T79">
        <v>31</v>
      </c>
      <c r="U79" t="str">
        <f t="shared" si="1"/>
        <v>Wednesday</v>
      </c>
    </row>
    <row r="80" spans="1:21" x14ac:dyDescent="0.3">
      <c r="A80" s="5" t="s">
        <v>434</v>
      </c>
      <c r="B80" s="3" t="s">
        <v>3690</v>
      </c>
      <c r="C80" s="5" t="s">
        <v>435</v>
      </c>
      <c r="D80" s="5" t="s">
        <v>21</v>
      </c>
      <c r="E80" s="5" t="s">
        <v>36</v>
      </c>
      <c r="F80" s="5" t="s">
        <v>23</v>
      </c>
      <c r="G80" t="s">
        <v>436</v>
      </c>
      <c r="H80" s="5" t="s">
        <v>3673</v>
      </c>
      <c r="I80" s="5" t="s">
        <v>437</v>
      </c>
      <c r="J80" s="5" t="s">
        <v>438</v>
      </c>
      <c r="K80" s="5" t="s">
        <v>40</v>
      </c>
      <c r="L80">
        <v>2</v>
      </c>
      <c r="M80">
        <v>46.21</v>
      </c>
      <c r="N80" s="8">
        <v>0</v>
      </c>
      <c r="O80" s="8">
        <v>92.42</v>
      </c>
      <c r="P80" s="8">
        <v>4.62</v>
      </c>
      <c r="Q80" s="10">
        <v>20</v>
      </c>
      <c r="R80" s="10">
        <v>5</v>
      </c>
      <c r="S80" s="8">
        <v>122.04</v>
      </c>
      <c r="T80">
        <v>24.67</v>
      </c>
      <c r="U80" t="str">
        <f t="shared" si="1"/>
        <v>Sunday</v>
      </c>
    </row>
    <row r="81" spans="1:21" x14ac:dyDescent="0.3">
      <c r="A81" s="5" t="s">
        <v>439</v>
      </c>
      <c r="B81" s="3" t="s">
        <v>3716</v>
      </c>
      <c r="C81" s="5" t="s">
        <v>440</v>
      </c>
      <c r="D81" s="5" t="s">
        <v>21</v>
      </c>
      <c r="E81" s="5" t="s">
        <v>36</v>
      </c>
      <c r="F81" s="5" t="s">
        <v>37</v>
      </c>
      <c r="G81" t="s">
        <v>441</v>
      </c>
      <c r="H81" s="5" t="s">
        <v>3675</v>
      </c>
      <c r="I81" s="5" t="s">
        <v>442</v>
      </c>
      <c r="J81" s="5" t="s">
        <v>443</v>
      </c>
      <c r="K81" s="5" t="s">
        <v>103</v>
      </c>
      <c r="L81">
        <v>2</v>
      </c>
      <c r="M81">
        <v>170.05</v>
      </c>
      <c r="N81" s="8">
        <v>0</v>
      </c>
      <c r="O81" s="8">
        <v>340.1</v>
      </c>
      <c r="P81" s="8">
        <v>17.010000000000002</v>
      </c>
      <c r="Q81" s="10">
        <v>30</v>
      </c>
      <c r="R81" s="10">
        <v>15</v>
      </c>
      <c r="S81" s="8">
        <v>402.11</v>
      </c>
      <c r="T81">
        <v>20</v>
      </c>
      <c r="U81" t="str">
        <f t="shared" si="1"/>
        <v>Saturday</v>
      </c>
    </row>
    <row r="82" spans="1:21" x14ac:dyDescent="0.3">
      <c r="A82" s="5" t="s">
        <v>444</v>
      </c>
      <c r="B82" s="3" t="s">
        <v>3693</v>
      </c>
      <c r="C82" s="5" t="s">
        <v>445</v>
      </c>
      <c r="D82" s="5" t="s">
        <v>82</v>
      </c>
      <c r="E82" s="5" t="s">
        <v>83</v>
      </c>
      <c r="F82" s="5" t="s">
        <v>37</v>
      </c>
      <c r="G82" t="s">
        <v>446</v>
      </c>
      <c r="H82" s="5" t="s">
        <v>3673</v>
      </c>
      <c r="I82" s="5" t="s">
        <v>447</v>
      </c>
      <c r="J82" s="5" t="s">
        <v>448</v>
      </c>
      <c r="K82" s="5" t="s">
        <v>56</v>
      </c>
      <c r="L82">
        <v>2</v>
      </c>
      <c r="M82">
        <v>98.72</v>
      </c>
      <c r="N82" s="8">
        <v>4.9400000000000004</v>
      </c>
      <c r="O82" s="8">
        <v>192.5</v>
      </c>
      <c r="P82" s="8">
        <v>9.6199999999999992</v>
      </c>
      <c r="Q82" s="10">
        <v>0</v>
      </c>
      <c r="R82" s="10">
        <v>5</v>
      </c>
      <c r="S82" s="8">
        <v>207.12</v>
      </c>
      <c r="T82">
        <v>31</v>
      </c>
      <c r="U82" t="str">
        <f t="shared" si="1"/>
        <v>Thursday</v>
      </c>
    </row>
    <row r="83" spans="1:21" x14ac:dyDescent="0.3">
      <c r="A83" s="5" t="s">
        <v>449</v>
      </c>
      <c r="B83" s="3" t="s">
        <v>3723</v>
      </c>
      <c r="C83" s="5" t="s">
        <v>450</v>
      </c>
      <c r="D83" s="5" t="s">
        <v>21</v>
      </c>
      <c r="E83" s="5" t="s">
        <v>76</v>
      </c>
      <c r="F83" s="5" t="s">
        <v>42</v>
      </c>
      <c r="G83" t="s">
        <v>451</v>
      </c>
      <c r="H83" s="5" t="s">
        <v>25</v>
      </c>
      <c r="I83" s="5" t="s">
        <v>452</v>
      </c>
      <c r="J83" s="5" t="s">
        <v>453</v>
      </c>
      <c r="K83" s="5" t="s">
        <v>196</v>
      </c>
      <c r="L83">
        <v>2</v>
      </c>
      <c r="M83">
        <v>99.38</v>
      </c>
      <c r="N83" s="8">
        <v>14.91</v>
      </c>
      <c r="O83" s="8">
        <v>183.85</v>
      </c>
      <c r="P83" s="8">
        <v>9.19</v>
      </c>
      <c r="Q83" s="10">
        <v>10</v>
      </c>
      <c r="R83" s="10">
        <v>10</v>
      </c>
      <c r="S83" s="8">
        <v>213.04</v>
      </c>
      <c r="T83">
        <v>40</v>
      </c>
      <c r="U83" t="str">
        <f t="shared" si="1"/>
        <v>Monday</v>
      </c>
    </row>
    <row r="84" spans="1:21" x14ac:dyDescent="0.3">
      <c r="A84" s="5" t="s">
        <v>454</v>
      </c>
      <c r="B84" s="3" t="s">
        <v>3724</v>
      </c>
      <c r="C84" s="5" t="s">
        <v>455</v>
      </c>
      <c r="D84" s="5" t="s">
        <v>106</v>
      </c>
      <c r="E84" s="5" t="s">
        <v>83</v>
      </c>
      <c r="F84" s="5" t="s">
        <v>42</v>
      </c>
      <c r="H84" s="5" t="s">
        <v>3673</v>
      </c>
      <c r="I84" s="5" t="s">
        <v>456</v>
      </c>
      <c r="J84" s="5" t="s">
        <v>457</v>
      </c>
      <c r="K84" s="5" t="s">
        <v>56</v>
      </c>
      <c r="L84">
        <v>5</v>
      </c>
      <c r="M84">
        <v>64.239999999999995</v>
      </c>
      <c r="N84" s="8">
        <v>0</v>
      </c>
      <c r="O84" s="8">
        <v>321.2</v>
      </c>
      <c r="P84" s="8">
        <v>16.059999999999999</v>
      </c>
      <c r="Q84" s="10">
        <v>30</v>
      </c>
      <c r="R84" s="10">
        <v>10</v>
      </c>
      <c r="S84" s="8">
        <v>377.26</v>
      </c>
      <c r="T84">
        <v>12</v>
      </c>
      <c r="U84" t="str">
        <f t="shared" si="1"/>
        <v>Sunday</v>
      </c>
    </row>
    <row r="85" spans="1:21" x14ac:dyDescent="0.3">
      <c r="A85" s="5" t="s">
        <v>458</v>
      </c>
      <c r="B85" s="3" t="s">
        <v>3704</v>
      </c>
      <c r="C85" s="5" t="s">
        <v>459</v>
      </c>
      <c r="D85" s="5" t="s">
        <v>106</v>
      </c>
      <c r="E85" s="5" t="s">
        <v>83</v>
      </c>
      <c r="F85" s="5" t="s">
        <v>42</v>
      </c>
      <c r="H85" s="5" t="s">
        <v>3673</v>
      </c>
      <c r="I85" s="5" t="s">
        <v>460</v>
      </c>
      <c r="J85" s="5" t="s">
        <v>461</v>
      </c>
      <c r="K85" s="5" t="s">
        <v>145</v>
      </c>
      <c r="L85">
        <v>5</v>
      </c>
      <c r="M85">
        <v>115.07</v>
      </c>
      <c r="N85" s="8">
        <v>0</v>
      </c>
      <c r="O85" s="8">
        <v>575.34999999999991</v>
      </c>
      <c r="P85" s="8">
        <v>28.77</v>
      </c>
      <c r="Q85" s="10">
        <v>30</v>
      </c>
      <c r="R85" s="10">
        <v>0</v>
      </c>
      <c r="S85" s="8">
        <v>634.11999999999989</v>
      </c>
      <c r="T85">
        <v>36</v>
      </c>
      <c r="U85" t="str">
        <f t="shared" si="1"/>
        <v>Tuesday</v>
      </c>
    </row>
    <row r="86" spans="1:21" x14ac:dyDescent="0.3">
      <c r="A86" s="5" t="s">
        <v>462</v>
      </c>
      <c r="B86" s="3" t="s">
        <v>3716</v>
      </c>
      <c r="C86" s="5" t="s">
        <v>463</v>
      </c>
      <c r="D86" s="5" t="s">
        <v>21</v>
      </c>
      <c r="E86" s="5" t="s">
        <v>36</v>
      </c>
      <c r="F86" s="5" t="s">
        <v>42</v>
      </c>
      <c r="G86" t="s">
        <v>464</v>
      </c>
      <c r="H86" s="5" t="s">
        <v>3676</v>
      </c>
      <c r="I86" s="5" t="s">
        <v>465</v>
      </c>
      <c r="J86" s="5" t="s">
        <v>466</v>
      </c>
      <c r="K86" s="5" t="s">
        <v>145</v>
      </c>
      <c r="L86">
        <v>2</v>
      </c>
      <c r="M86">
        <v>91.09</v>
      </c>
      <c r="N86" s="8">
        <v>4.55</v>
      </c>
      <c r="O86" s="8">
        <v>177.63</v>
      </c>
      <c r="P86" s="8">
        <v>8.8800000000000008</v>
      </c>
      <c r="Q86" s="10">
        <v>30</v>
      </c>
      <c r="R86" s="10">
        <v>10</v>
      </c>
      <c r="S86" s="8">
        <v>226.51</v>
      </c>
      <c r="T86">
        <v>32</v>
      </c>
      <c r="U86" t="str">
        <f t="shared" si="1"/>
        <v>Saturday</v>
      </c>
    </row>
    <row r="87" spans="1:21" x14ac:dyDescent="0.3">
      <c r="A87" s="5" t="s">
        <v>467</v>
      </c>
      <c r="B87" s="3" t="s">
        <v>3724</v>
      </c>
      <c r="C87" s="5" t="s">
        <v>468</v>
      </c>
      <c r="D87" s="5" t="s">
        <v>21</v>
      </c>
      <c r="E87" s="5" t="s">
        <v>112</v>
      </c>
      <c r="F87" s="5" t="s">
        <v>42</v>
      </c>
      <c r="G87" t="s">
        <v>469</v>
      </c>
      <c r="H87" s="5" t="s">
        <v>3677</v>
      </c>
      <c r="I87" s="5" t="s">
        <v>470</v>
      </c>
      <c r="J87" s="5" t="s">
        <v>471</v>
      </c>
      <c r="K87" s="5" t="s">
        <v>145</v>
      </c>
      <c r="L87">
        <v>4</v>
      </c>
      <c r="M87">
        <v>97.79</v>
      </c>
      <c r="N87" s="8">
        <v>9.7799999999999994</v>
      </c>
      <c r="O87" s="8">
        <v>381.38000000000011</v>
      </c>
      <c r="P87" s="8">
        <v>19.07</v>
      </c>
      <c r="Q87" s="10">
        <v>20</v>
      </c>
      <c r="R87" s="10">
        <v>10</v>
      </c>
      <c r="S87" s="8">
        <v>430.45</v>
      </c>
      <c r="T87">
        <v>25</v>
      </c>
      <c r="U87" t="str">
        <f t="shared" si="1"/>
        <v>Sunday</v>
      </c>
    </row>
    <row r="88" spans="1:21" x14ac:dyDescent="0.3">
      <c r="A88" s="5" t="s">
        <v>472</v>
      </c>
      <c r="B88" s="3" t="s">
        <v>3725</v>
      </c>
      <c r="C88" s="5" t="s">
        <v>473</v>
      </c>
      <c r="D88" s="5" t="s">
        <v>21</v>
      </c>
      <c r="E88" s="5" t="s">
        <v>76</v>
      </c>
      <c r="F88" s="5" t="s">
        <v>42</v>
      </c>
      <c r="G88" t="s">
        <v>474</v>
      </c>
      <c r="H88" s="5" t="s">
        <v>3677</v>
      </c>
      <c r="I88" s="5" t="s">
        <v>475</v>
      </c>
      <c r="J88" s="5" t="s">
        <v>476</v>
      </c>
      <c r="K88" s="5" t="s">
        <v>28</v>
      </c>
      <c r="L88">
        <v>4</v>
      </c>
      <c r="M88">
        <v>104.59</v>
      </c>
      <c r="N88" s="8">
        <v>10.46</v>
      </c>
      <c r="O88" s="8">
        <v>407.9</v>
      </c>
      <c r="P88" s="8">
        <v>20.399999999999999</v>
      </c>
      <c r="Q88" s="10">
        <v>10</v>
      </c>
      <c r="R88" s="10">
        <v>0</v>
      </c>
      <c r="S88" s="8">
        <v>438.3</v>
      </c>
      <c r="T88">
        <v>37</v>
      </c>
      <c r="U88" t="str">
        <f t="shared" si="1"/>
        <v>Wednesday</v>
      </c>
    </row>
    <row r="89" spans="1:21" x14ac:dyDescent="0.3">
      <c r="A89" s="5" t="s">
        <v>477</v>
      </c>
      <c r="B89" s="3" t="s">
        <v>3715</v>
      </c>
      <c r="C89" s="5" t="s">
        <v>478</v>
      </c>
      <c r="D89" s="5" t="s">
        <v>21</v>
      </c>
      <c r="E89" s="5" t="s">
        <v>36</v>
      </c>
      <c r="F89" s="5" t="s">
        <v>42</v>
      </c>
      <c r="G89" t="s">
        <v>479</v>
      </c>
      <c r="H89" s="5" t="s">
        <v>3674</v>
      </c>
      <c r="I89" s="5" t="s">
        <v>480</v>
      </c>
      <c r="J89" s="5" t="s">
        <v>481</v>
      </c>
      <c r="K89" s="5" t="s">
        <v>196</v>
      </c>
      <c r="L89">
        <v>3</v>
      </c>
      <c r="M89">
        <v>34.43</v>
      </c>
      <c r="N89" s="8">
        <v>5.16</v>
      </c>
      <c r="O89" s="8">
        <v>98.13</v>
      </c>
      <c r="P89" s="8">
        <v>4.91</v>
      </c>
      <c r="Q89" s="10">
        <v>30</v>
      </c>
      <c r="R89" s="10">
        <v>15</v>
      </c>
      <c r="S89" s="8">
        <v>148.04</v>
      </c>
      <c r="T89">
        <v>31</v>
      </c>
      <c r="U89" t="str">
        <f t="shared" si="1"/>
        <v>Saturday</v>
      </c>
    </row>
    <row r="90" spans="1:21" x14ac:dyDescent="0.3">
      <c r="A90" s="5" t="s">
        <v>482</v>
      </c>
      <c r="B90" s="3" t="s">
        <v>3719</v>
      </c>
      <c r="C90" s="5" t="s">
        <v>483</v>
      </c>
      <c r="D90" s="5" t="s">
        <v>21</v>
      </c>
      <c r="E90" s="5" t="s">
        <v>112</v>
      </c>
      <c r="F90" s="5" t="s">
        <v>23</v>
      </c>
      <c r="G90" t="s">
        <v>484</v>
      </c>
      <c r="H90" s="5" t="s">
        <v>25</v>
      </c>
      <c r="I90" s="5" t="s">
        <v>485</v>
      </c>
      <c r="J90" s="5" t="s">
        <v>486</v>
      </c>
      <c r="K90" s="5" t="s">
        <v>34</v>
      </c>
      <c r="L90">
        <v>1</v>
      </c>
      <c r="M90">
        <v>92.14</v>
      </c>
      <c r="N90" s="8">
        <v>9.2100000000000009</v>
      </c>
      <c r="O90" s="8">
        <v>82.93</v>
      </c>
      <c r="P90" s="8">
        <v>4.1500000000000004</v>
      </c>
      <c r="Q90" s="10">
        <v>30</v>
      </c>
      <c r="R90" s="10">
        <v>5</v>
      </c>
      <c r="S90" s="8">
        <v>122.08</v>
      </c>
      <c r="T90">
        <v>24.67</v>
      </c>
      <c r="U90" t="str">
        <f t="shared" si="1"/>
        <v>Sunday</v>
      </c>
    </row>
    <row r="91" spans="1:21" x14ac:dyDescent="0.3">
      <c r="A91" s="5" t="s">
        <v>487</v>
      </c>
      <c r="B91" s="3" t="s">
        <v>3694</v>
      </c>
      <c r="C91" s="5" t="s">
        <v>488</v>
      </c>
      <c r="D91" s="5" t="s">
        <v>21</v>
      </c>
      <c r="E91" s="5" t="s">
        <v>22</v>
      </c>
      <c r="F91" s="5" t="s">
        <v>23</v>
      </c>
      <c r="G91" t="s">
        <v>489</v>
      </c>
      <c r="H91" s="5" t="s">
        <v>3676</v>
      </c>
      <c r="I91" s="5" t="s">
        <v>490</v>
      </c>
      <c r="J91" s="5" t="s">
        <v>491</v>
      </c>
      <c r="K91" s="5" t="s">
        <v>196</v>
      </c>
      <c r="L91">
        <v>4</v>
      </c>
      <c r="M91">
        <v>16.93</v>
      </c>
      <c r="N91" s="8">
        <v>0</v>
      </c>
      <c r="O91" s="8">
        <v>67.72</v>
      </c>
      <c r="P91" s="8">
        <v>3.39</v>
      </c>
      <c r="Q91" s="10">
        <v>30</v>
      </c>
      <c r="R91" s="10">
        <v>10</v>
      </c>
      <c r="S91" s="8">
        <v>111.11</v>
      </c>
      <c r="T91">
        <v>20</v>
      </c>
      <c r="U91" t="str">
        <f t="shared" si="1"/>
        <v>Thursday</v>
      </c>
    </row>
    <row r="92" spans="1:21" x14ac:dyDescent="0.3">
      <c r="A92" s="5" t="s">
        <v>492</v>
      </c>
      <c r="B92" s="3" t="s">
        <v>3726</v>
      </c>
      <c r="C92" s="5" t="s">
        <v>493</v>
      </c>
      <c r="D92" s="5" t="s">
        <v>106</v>
      </c>
      <c r="E92" s="5" t="s">
        <v>83</v>
      </c>
      <c r="F92" s="5" t="s">
        <v>37</v>
      </c>
      <c r="G92" t="s">
        <v>494</v>
      </c>
      <c r="H92" s="5" t="s">
        <v>3674</v>
      </c>
      <c r="I92" s="5" t="s">
        <v>495</v>
      </c>
      <c r="J92" s="5" t="s">
        <v>496</v>
      </c>
      <c r="K92" s="5" t="s">
        <v>40</v>
      </c>
      <c r="L92">
        <v>1</v>
      </c>
      <c r="M92">
        <v>237.77</v>
      </c>
      <c r="N92" s="8">
        <v>35.67</v>
      </c>
      <c r="O92" s="8">
        <v>202.1</v>
      </c>
      <c r="P92" s="8">
        <v>10.11</v>
      </c>
      <c r="Q92" s="10">
        <v>30</v>
      </c>
      <c r="R92" s="10">
        <v>5</v>
      </c>
      <c r="S92" s="8">
        <v>247.21</v>
      </c>
      <c r="T92">
        <v>21</v>
      </c>
      <c r="U92" t="str">
        <f t="shared" si="1"/>
        <v>Monday</v>
      </c>
    </row>
    <row r="93" spans="1:21" x14ac:dyDescent="0.3">
      <c r="A93" s="5" t="s">
        <v>497</v>
      </c>
      <c r="B93" s="3" t="s">
        <v>3727</v>
      </c>
      <c r="C93" s="5" t="s">
        <v>498</v>
      </c>
      <c r="D93" s="5" t="s">
        <v>21</v>
      </c>
      <c r="E93" s="5" t="s">
        <v>112</v>
      </c>
      <c r="F93" s="5" t="s">
        <v>23</v>
      </c>
      <c r="G93" t="s">
        <v>499</v>
      </c>
      <c r="H93" s="5" t="s">
        <v>3676</v>
      </c>
      <c r="I93" s="5" t="s">
        <v>500</v>
      </c>
      <c r="J93" s="5" t="s">
        <v>501</v>
      </c>
      <c r="K93" s="5" t="s">
        <v>34</v>
      </c>
      <c r="L93">
        <v>5</v>
      </c>
      <c r="M93">
        <v>164.53</v>
      </c>
      <c r="N93" s="8">
        <v>16.45</v>
      </c>
      <c r="O93" s="8">
        <v>806.19999999999993</v>
      </c>
      <c r="P93" s="8">
        <v>40.31</v>
      </c>
      <c r="Q93" s="10">
        <v>30</v>
      </c>
      <c r="R93" s="10">
        <v>15</v>
      </c>
      <c r="S93" s="8">
        <v>891.51</v>
      </c>
      <c r="T93">
        <v>27</v>
      </c>
      <c r="U93" t="str">
        <f t="shared" si="1"/>
        <v>Friday</v>
      </c>
    </row>
    <row r="94" spans="1:21" x14ac:dyDescent="0.3">
      <c r="A94" s="5" t="s">
        <v>502</v>
      </c>
      <c r="B94" s="3" t="s">
        <v>3689</v>
      </c>
      <c r="C94" s="5" t="s">
        <v>503</v>
      </c>
      <c r="D94" s="5" t="s">
        <v>21</v>
      </c>
      <c r="E94" s="5" t="s">
        <v>36</v>
      </c>
      <c r="F94" s="5" t="s">
        <v>37</v>
      </c>
      <c r="G94" t="s">
        <v>504</v>
      </c>
      <c r="H94" s="5" t="s">
        <v>3677</v>
      </c>
      <c r="I94" s="5" t="s">
        <v>505</v>
      </c>
      <c r="J94" s="5" t="s">
        <v>506</v>
      </c>
      <c r="K94" s="5" t="s">
        <v>34</v>
      </c>
      <c r="L94">
        <v>3</v>
      </c>
      <c r="M94">
        <v>104.2</v>
      </c>
      <c r="N94" s="8">
        <v>15.63</v>
      </c>
      <c r="O94" s="8">
        <v>296.97000000000003</v>
      </c>
      <c r="P94" s="8">
        <v>14.85</v>
      </c>
      <c r="Q94" s="10">
        <v>10</v>
      </c>
      <c r="R94" s="10">
        <v>5</v>
      </c>
      <c r="S94" s="8">
        <v>326.82000000000011</v>
      </c>
      <c r="T94">
        <v>20</v>
      </c>
      <c r="U94" t="str">
        <f t="shared" si="1"/>
        <v>Wednesday</v>
      </c>
    </row>
    <row r="95" spans="1:21" x14ac:dyDescent="0.3">
      <c r="A95" s="5" t="s">
        <v>507</v>
      </c>
      <c r="B95" s="3" t="s">
        <v>3717</v>
      </c>
      <c r="C95" s="5" t="s">
        <v>508</v>
      </c>
      <c r="D95" s="5" t="s">
        <v>106</v>
      </c>
      <c r="E95" s="5" t="s">
        <v>83</v>
      </c>
      <c r="F95" s="5" t="s">
        <v>37</v>
      </c>
      <c r="G95" t="s">
        <v>509</v>
      </c>
      <c r="H95" s="5" t="s">
        <v>3675</v>
      </c>
      <c r="I95" s="5" t="s">
        <v>510</v>
      </c>
      <c r="J95" s="5" t="s">
        <v>511</v>
      </c>
      <c r="K95" s="5" t="s">
        <v>196</v>
      </c>
      <c r="L95">
        <v>2</v>
      </c>
      <c r="M95">
        <v>50.5</v>
      </c>
      <c r="N95" s="8">
        <v>0</v>
      </c>
      <c r="O95" s="8">
        <v>101</v>
      </c>
      <c r="P95" s="8">
        <v>5.05</v>
      </c>
      <c r="Q95" s="10">
        <v>20</v>
      </c>
      <c r="R95" s="10">
        <v>0</v>
      </c>
      <c r="S95" s="8">
        <v>126.05</v>
      </c>
      <c r="T95">
        <v>18</v>
      </c>
      <c r="U95" t="str">
        <f t="shared" si="1"/>
        <v>Tuesday</v>
      </c>
    </row>
    <row r="96" spans="1:21" x14ac:dyDescent="0.3">
      <c r="A96" s="5" t="s">
        <v>512</v>
      </c>
      <c r="B96" s="3" t="s">
        <v>3728</v>
      </c>
      <c r="C96" s="5" t="s">
        <v>513</v>
      </c>
      <c r="D96" s="5" t="s">
        <v>21</v>
      </c>
      <c r="E96" s="5" t="s">
        <v>112</v>
      </c>
      <c r="F96" s="5" t="s">
        <v>42</v>
      </c>
      <c r="G96" t="s">
        <v>514</v>
      </c>
      <c r="H96" s="5" t="s">
        <v>3676</v>
      </c>
      <c r="I96" s="5" t="s">
        <v>515</v>
      </c>
      <c r="J96" s="5" t="s">
        <v>516</v>
      </c>
      <c r="K96" s="5" t="s">
        <v>103</v>
      </c>
      <c r="L96">
        <v>1</v>
      </c>
      <c r="M96">
        <v>67.42</v>
      </c>
      <c r="N96" s="8">
        <v>3.37</v>
      </c>
      <c r="O96" s="8">
        <v>64.05</v>
      </c>
      <c r="P96" s="8">
        <v>3.2</v>
      </c>
      <c r="Q96" s="10">
        <v>10</v>
      </c>
      <c r="R96" s="10">
        <v>5</v>
      </c>
      <c r="S96" s="8">
        <v>82.25</v>
      </c>
      <c r="T96">
        <v>25</v>
      </c>
      <c r="U96" t="str">
        <f t="shared" si="1"/>
        <v>Friday</v>
      </c>
    </row>
    <row r="97" spans="1:21" x14ac:dyDescent="0.3">
      <c r="A97" s="5" t="s">
        <v>517</v>
      </c>
      <c r="B97" s="3" t="s">
        <v>3729</v>
      </c>
      <c r="C97" s="5" t="s">
        <v>518</v>
      </c>
      <c r="D97" s="5" t="s">
        <v>21</v>
      </c>
      <c r="E97" s="5" t="s">
        <v>112</v>
      </c>
      <c r="F97" s="5" t="s">
        <v>42</v>
      </c>
      <c r="G97" t="s">
        <v>519</v>
      </c>
      <c r="H97" s="5" t="s">
        <v>3673</v>
      </c>
      <c r="I97" s="5" t="s">
        <v>520</v>
      </c>
      <c r="J97" s="5" t="s">
        <v>521</v>
      </c>
      <c r="K97" s="5" t="s">
        <v>45</v>
      </c>
      <c r="L97">
        <v>1</v>
      </c>
      <c r="M97">
        <v>53.56</v>
      </c>
      <c r="N97" s="8">
        <v>0</v>
      </c>
      <c r="O97" s="8">
        <v>53.56</v>
      </c>
      <c r="P97" s="8">
        <v>2.68</v>
      </c>
      <c r="Q97" s="10">
        <v>20</v>
      </c>
      <c r="R97" s="10">
        <v>5</v>
      </c>
      <c r="S97" s="8">
        <v>81.240000000000009</v>
      </c>
      <c r="T97">
        <v>42</v>
      </c>
      <c r="U97" t="str">
        <f t="shared" si="1"/>
        <v>Monday</v>
      </c>
    </row>
    <row r="98" spans="1:21" x14ac:dyDescent="0.3">
      <c r="A98" s="5" t="s">
        <v>522</v>
      </c>
      <c r="B98" s="3" t="s">
        <v>3707</v>
      </c>
      <c r="C98" s="5" t="s">
        <v>523</v>
      </c>
      <c r="D98" s="5" t="s">
        <v>21</v>
      </c>
      <c r="E98" s="5" t="s">
        <v>112</v>
      </c>
      <c r="F98" s="5" t="s">
        <v>23</v>
      </c>
      <c r="G98" t="s">
        <v>524</v>
      </c>
      <c r="H98" s="5" t="s">
        <v>3673</v>
      </c>
      <c r="I98" s="5" t="s">
        <v>525</v>
      </c>
      <c r="J98" s="5" t="s">
        <v>526</v>
      </c>
      <c r="K98" s="5" t="s">
        <v>145</v>
      </c>
      <c r="L98">
        <v>4</v>
      </c>
      <c r="M98">
        <v>141.11000000000001</v>
      </c>
      <c r="N98" s="8">
        <v>7.06</v>
      </c>
      <c r="O98" s="8">
        <v>557.38000000000011</v>
      </c>
      <c r="P98" s="8">
        <v>27.87</v>
      </c>
      <c r="Q98" s="10">
        <v>10</v>
      </c>
      <c r="R98" s="10">
        <v>10</v>
      </c>
      <c r="S98" s="8">
        <v>605.25000000000011</v>
      </c>
      <c r="T98">
        <v>26</v>
      </c>
      <c r="U98" t="str">
        <f t="shared" si="1"/>
        <v>Wednesday</v>
      </c>
    </row>
    <row r="99" spans="1:21" x14ac:dyDescent="0.3">
      <c r="A99" s="5" t="s">
        <v>527</v>
      </c>
      <c r="B99" s="3" t="s">
        <v>3681</v>
      </c>
      <c r="C99" s="5" t="s">
        <v>528</v>
      </c>
      <c r="D99" s="5" t="s">
        <v>106</v>
      </c>
      <c r="E99" s="5" t="s">
        <v>83</v>
      </c>
      <c r="F99" s="5" t="s">
        <v>37</v>
      </c>
      <c r="G99" t="s">
        <v>529</v>
      </c>
      <c r="H99" s="5" t="s">
        <v>3673</v>
      </c>
      <c r="I99" s="5" t="s">
        <v>530</v>
      </c>
      <c r="J99" s="5" t="s">
        <v>531</v>
      </c>
      <c r="K99" s="5" t="s">
        <v>145</v>
      </c>
      <c r="L99">
        <v>3</v>
      </c>
      <c r="M99">
        <v>172.82</v>
      </c>
      <c r="N99" s="8">
        <v>17.28</v>
      </c>
      <c r="O99" s="8">
        <v>501.18000000000012</v>
      </c>
      <c r="P99" s="8">
        <v>25.06</v>
      </c>
      <c r="Q99" s="10">
        <v>30</v>
      </c>
      <c r="R99" s="10">
        <v>20</v>
      </c>
      <c r="S99" s="8">
        <v>576.24</v>
      </c>
      <c r="T99">
        <v>25</v>
      </c>
      <c r="U99" t="str">
        <f t="shared" si="1"/>
        <v>Wednesday</v>
      </c>
    </row>
    <row r="100" spans="1:21" x14ac:dyDescent="0.3">
      <c r="A100" s="5" t="s">
        <v>532</v>
      </c>
      <c r="B100" s="3" t="s">
        <v>3717</v>
      </c>
      <c r="C100" s="5" t="s">
        <v>533</v>
      </c>
      <c r="D100" s="5" t="s">
        <v>21</v>
      </c>
      <c r="E100" s="5" t="s">
        <v>69</v>
      </c>
      <c r="F100" s="5" t="s">
        <v>42</v>
      </c>
      <c r="G100" t="s">
        <v>534</v>
      </c>
      <c r="H100" s="5" t="s">
        <v>3673</v>
      </c>
      <c r="I100" s="5" t="s">
        <v>535</v>
      </c>
      <c r="J100" s="5" t="s">
        <v>536</v>
      </c>
      <c r="K100" s="5" t="s">
        <v>45</v>
      </c>
      <c r="L100">
        <v>1</v>
      </c>
      <c r="M100">
        <v>195.91</v>
      </c>
      <c r="N100" s="8">
        <v>29.39</v>
      </c>
      <c r="O100" s="8">
        <v>166.52</v>
      </c>
      <c r="P100" s="8">
        <v>8.33</v>
      </c>
      <c r="Q100" s="10">
        <v>20</v>
      </c>
      <c r="R100" s="10">
        <v>15</v>
      </c>
      <c r="S100" s="8">
        <v>209.85</v>
      </c>
      <c r="T100">
        <v>24.67</v>
      </c>
      <c r="U100" t="str">
        <f t="shared" si="1"/>
        <v>Tuesday</v>
      </c>
    </row>
    <row r="101" spans="1:21" x14ac:dyDescent="0.3">
      <c r="A101" s="5" t="s">
        <v>537</v>
      </c>
      <c r="B101" s="3" t="s">
        <v>3685</v>
      </c>
      <c r="C101" s="5" t="s">
        <v>538</v>
      </c>
      <c r="D101" s="5" t="s">
        <v>21</v>
      </c>
      <c r="E101" s="5" t="s">
        <v>36</v>
      </c>
      <c r="F101" s="5" t="s">
        <v>23</v>
      </c>
      <c r="H101" s="5" t="s">
        <v>3673</v>
      </c>
      <c r="I101" s="5" t="s">
        <v>539</v>
      </c>
      <c r="J101" s="5" t="s">
        <v>540</v>
      </c>
      <c r="K101" s="5" t="s">
        <v>145</v>
      </c>
      <c r="L101">
        <v>4</v>
      </c>
      <c r="M101">
        <v>246.95</v>
      </c>
      <c r="N101" s="8">
        <v>0</v>
      </c>
      <c r="O101" s="8">
        <v>987.8</v>
      </c>
      <c r="P101" s="8">
        <v>49.39</v>
      </c>
      <c r="Q101" s="10">
        <v>20</v>
      </c>
      <c r="R101" s="10">
        <v>5</v>
      </c>
      <c r="S101" s="8">
        <v>1062.19</v>
      </c>
      <c r="T101">
        <v>22</v>
      </c>
      <c r="U101" t="str">
        <f t="shared" si="1"/>
        <v>Thursday</v>
      </c>
    </row>
    <row r="102" spans="1:21" x14ac:dyDescent="0.3">
      <c r="A102" s="5" t="s">
        <v>541</v>
      </c>
      <c r="B102" s="3" t="s">
        <v>3697</v>
      </c>
      <c r="C102" s="5" t="s">
        <v>542</v>
      </c>
      <c r="D102" s="5" t="s">
        <v>21</v>
      </c>
      <c r="E102" s="5" t="s">
        <v>112</v>
      </c>
      <c r="F102" s="5" t="s">
        <v>23</v>
      </c>
      <c r="G102" t="s">
        <v>543</v>
      </c>
      <c r="H102" s="5" t="s">
        <v>3676</v>
      </c>
      <c r="I102" s="5" t="s">
        <v>544</v>
      </c>
      <c r="J102" s="5" t="s">
        <v>545</v>
      </c>
      <c r="K102" s="5" t="s">
        <v>28</v>
      </c>
      <c r="L102">
        <v>5</v>
      </c>
      <c r="M102">
        <v>131.86000000000001</v>
      </c>
      <c r="N102" s="8">
        <v>6.59</v>
      </c>
      <c r="O102" s="8">
        <v>652.71</v>
      </c>
      <c r="P102" s="8">
        <v>32.64</v>
      </c>
      <c r="Q102" s="10">
        <v>0</v>
      </c>
      <c r="R102" s="10">
        <v>15</v>
      </c>
      <c r="S102" s="8">
        <v>700.35</v>
      </c>
      <c r="T102">
        <v>24.67</v>
      </c>
      <c r="U102" t="str">
        <f t="shared" si="1"/>
        <v>Saturday</v>
      </c>
    </row>
    <row r="103" spans="1:21" x14ac:dyDescent="0.3">
      <c r="A103" s="5" t="s">
        <v>546</v>
      </c>
      <c r="B103" s="3" t="s">
        <v>3711</v>
      </c>
      <c r="C103" s="5" t="s">
        <v>547</v>
      </c>
      <c r="D103" s="5" t="s">
        <v>21</v>
      </c>
      <c r="E103" s="5" t="s">
        <v>36</v>
      </c>
      <c r="F103" s="5" t="s">
        <v>37</v>
      </c>
      <c r="G103" t="s">
        <v>548</v>
      </c>
      <c r="H103" s="5" t="s">
        <v>3673</v>
      </c>
      <c r="I103" s="5" t="s">
        <v>549</v>
      </c>
      <c r="J103" s="5" t="s">
        <v>550</v>
      </c>
      <c r="K103" s="5" t="s">
        <v>145</v>
      </c>
      <c r="L103">
        <v>3</v>
      </c>
      <c r="M103">
        <v>250.95</v>
      </c>
      <c r="N103" s="8">
        <v>25.09</v>
      </c>
      <c r="O103" s="8">
        <v>727.75999999999988</v>
      </c>
      <c r="P103" s="8">
        <v>36.39</v>
      </c>
      <c r="Q103" s="10">
        <v>20</v>
      </c>
      <c r="R103" s="10">
        <v>5</v>
      </c>
      <c r="S103" s="8">
        <v>789.14999999999986</v>
      </c>
      <c r="T103">
        <v>41</v>
      </c>
      <c r="U103" t="str">
        <f t="shared" si="1"/>
        <v>Wednesday</v>
      </c>
    </row>
    <row r="104" spans="1:21" x14ac:dyDescent="0.3">
      <c r="A104" s="5" t="s">
        <v>551</v>
      </c>
      <c r="B104" s="3" t="s">
        <v>3690</v>
      </c>
      <c r="C104" s="5" t="s">
        <v>552</v>
      </c>
      <c r="D104" s="5" t="s">
        <v>21</v>
      </c>
      <c r="E104" s="5" t="s">
        <v>76</v>
      </c>
      <c r="F104" s="5" t="s">
        <v>42</v>
      </c>
      <c r="G104" t="s">
        <v>553</v>
      </c>
      <c r="H104" s="5" t="s">
        <v>3677</v>
      </c>
      <c r="I104" s="5" t="s">
        <v>554</v>
      </c>
      <c r="J104" s="5" t="s">
        <v>555</v>
      </c>
      <c r="K104" s="5" t="s">
        <v>145</v>
      </c>
      <c r="L104">
        <v>2</v>
      </c>
      <c r="M104">
        <v>80.91</v>
      </c>
      <c r="N104" s="8">
        <v>4.05</v>
      </c>
      <c r="O104" s="8">
        <v>157.77000000000001</v>
      </c>
      <c r="P104" s="8">
        <v>7.89</v>
      </c>
      <c r="Q104" s="10">
        <v>0</v>
      </c>
      <c r="R104" s="10">
        <v>15</v>
      </c>
      <c r="S104" s="8">
        <v>180.66</v>
      </c>
      <c r="T104">
        <v>20</v>
      </c>
      <c r="U104" t="str">
        <f t="shared" si="1"/>
        <v>Sunday</v>
      </c>
    </row>
    <row r="105" spans="1:21" x14ac:dyDescent="0.3">
      <c r="A105" s="5" t="s">
        <v>556</v>
      </c>
      <c r="B105" s="3" t="s">
        <v>3682</v>
      </c>
      <c r="C105" s="5" t="s">
        <v>557</v>
      </c>
      <c r="D105" s="5" t="s">
        <v>21</v>
      </c>
      <c r="E105" s="5" t="s">
        <v>76</v>
      </c>
      <c r="F105" s="5" t="s">
        <v>37</v>
      </c>
      <c r="G105" t="s">
        <v>558</v>
      </c>
      <c r="H105" s="5" t="s">
        <v>3673</v>
      </c>
      <c r="I105" s="5" t="s">
        <v>559</v>
      </c>
      <c r="J105" s="5" t="s">
        <v>560</v>
      </c>
      <c r="K105" s="5" t="s">
        <v>45</v>
      </c>
      <c r="L105">
        <v>1</v>
      </c>
      <c r="M105">
        <v>88.24</v>
      </c>
      <c r="N105" s="8">
        <v>8.82</v>
      </c>
      <c r="O105" s="8">
        <v>79.419999999999987</v>
      </c>
      <c r="P105" s="8">
        <v>3.97</v>
      </c>
      <c r="Q105" s="10">
        <v>0</v>
      </c>
      <c r="R105" s="10">
        <v>5</v>
      </c>
      <c r="S105" s="8">
        <v>88.389999999999986</v>
      </c>
      <c r="T105">
        <v>19</v>
      </c>
      <c r="U105" t="str">
        <f t="shared" si="1"/>
        <v>Tuesday</v>
      </c>
    </row>
    <row r="106" spans="1:21" x14ac:dyDescent="0.3">
      <c r="A106" s="5" t="s">
        <v>561</v>
      </c>
      <c r="B106" s="3" t="s">
        <v>3706</v>
      </c>
      <c r="C106" s="5" t="s">
        <v>562</v>
      </c>
      <c r="D106" s="5" t="s">
        <v>21</v>
      </c>
      <c r="E106" s="5" t="s">
        <v>112</v>
      </c>
      <c r="F106" s="5" t="s">
        <v>42</v>
      </c>
      <c r="G106" t="s">
        <v>563</v>
      </c>
      <c r="H106" s="5" t="s">
        <v>100</v>
      </c>
      <c r="I106" s="5" t="s">
        <v>564</v>
      </c>
      <c r="J106" s="5" t="s">
        <v>565</v>
      </c>
      <c r="K106" s="5" t="s">
        <v>40</v>
      </c>
      <c r="L106">
        <v>2</v>
      </c>
      <c r="M106">
        <v>223.65</v>
      </c>
      <c r="N106" s="8">
        <v>33.549999999999997</v>
      </c>
      <c r="O106" s="8">
        <v>413.75</v>
      </c>
      <c r="P106" s="8">
        <v>20.69</v>
      </c>
      <c r="Q106" s="10">
        <v>0</v>
      </c>
      <c r="R106" s="10">
        <v>15</v>
      </c>
      <c r="S106" s="8">
        <v>449.44</v>
      </c>
      <c r="T106">
        <v>24.67</v>
      </c>
      <c r="U106" t="str">
        <f t="shared" si="1"/>
        <v>Thursday</v>
      </c>
    </row>
    <row r="107" spans="1:21" x14ac:dyDescent="0.3">
      <c r="A107" s="5" t="s">
        <v>566</v>
      </c>
      <c r="B107" s="3" t="s">
        <v>3730</v>
      </c>
      <c r="C107" s="5" t="s">
        <v>567</v>
      </c>
      <c r="D107" s="5" t="s">
        <v>21</v>
      </c>
      <c r="E107" s="5" t="s">
        <v>36</v>
      </c>
      <c r="F107" s="5" t="s">
        <v>42</v>
      </c>
      <c r="G107" t="s">
        <v>568</v>
      </c>
      <c r="H107" s="5" t="s">
        <v>3673</v>
      </c>
      <c r="I107" s="5" t="s">
        <v>569</v>
      </c>
      <c r="J107" s="5" t="s">
        <v>570</v>
      </c>
      <c r="K107" s="5" t="s">
        <v>45</v>
      </c>
      <c r="L107">
        <v>3</v>
      </c>
      <c r="M107">
        <v>52.33</v>
      </c>
      <c r="N107" s="8">
        <v>7.85</v>
      </c>
      <c r="O107" s="8">
        <v>149.13999999999999</v>
      </c>
      <c r="P107" s="8">
        <v>7.46</v>
      </c>
      <c r="Q107" s="10">
        <v>20</v>
      </c>
      <c r="R107" s="10">
        <v>0</v>
      </c>
      <c r="S107" s="8">
        <v>176.6</v>
      </c>
      <c r="T107">
        <v>30</v>
      </c>
      <c r="U107" t="str">
        <f t="shared" si="1"/>
        <v>Friday</v>
      </c>
    </row>
    <row r="108" spans="1:21" x14ac:dyDescent="0.3">
      <c r="A108" s="5" t="s">
        <v>571</v>
      </c>
      <c r="B108" s="3" t="s">
        <v>3715</v>
      </c>
      <c r="C108" s="5" t="s">
        <v>572</v>
      </c>
      <c r="D108" s="5" t="s">
        <v>21</v>
      </c>
      <c r="E108" s="5" t="s">
        <v>76</v>
      </c>
      <c r="F108" s="5" t="s">
        <v>23</v>
      </c>
      <c r="G108" t="s">
        <v>573</v>
      </c>
      <c r="H108" s="5" t="s">
        <v>3675</v>
      </c>
      <c r="I108" s="5" t="s">
        <v>574</v>
      </c>
      <c r="J108" s="5" t="s">
        <v>575</v>
      </c>
      <c r="K108" s="5" t="s">
        <v>145</v>
      </c>
      <c r="L108">
        <v>2</v>
      </c>
      <c r="M108">
        <v>19.88</v>
      </c>
      <c r="N108" s="8">
        <v>2.98</v>
      </c>
      <c r="O108" s="8">
        <v>36.78</v>
      </c>
      <c r="P108" s="8">
        <v>1.84</v>
      </c>
      <c r="Q108" s="10">
        <v>0</v>
      </c>
      <c r="R108" s="10">
        <v>5</v>
      </c>
      <c r="S108" s="8">
        <v>43.62</v>
      </c>
      <c r="T108">
        <v>24</v>
      </c>
      <c r="U108" t="str">
        <f t="shared" si="1"/>
        <v>Saturday</v>
      </c>
    </row>
    <row r="109" spans="1:21" x14ac:dyDescent="0.3">
      <c r="A109" s="5" t="s">
        <v>576</v>
      </c>
      <c r="B109" s="3" t="s">
        <v>3708</v>
      </c>
      <c r="C109" s="5" t="s">
        <v>577</v>
      </c>
      <c r="D109" s="5" t="s">
        <v>21</v>
      </c>
      <c r="E109" s="5" t="s">
        <v>22</v>
      </c>
      <c r="F109" s="5" t="s">
        <v>42</v>
      </c>
      <c r="G109" t="s">
        <v>578</v>
      </c>
      <c r="H109" s="5" t="s">
        <v>3677</v>
      </c>
      <c r="I109" s="5" t="s">
        <v>579</v>
      </c>
      <c r="J109" s="5" t="s">
        <v>580</v>
      </c>
      <c r="K109" s="5" t="s">
        <v>28</v>
      </c>
      <c r="L109">
        <v>4</v>
      </c>
      <c r="M109">
        <v>8.14</v>
      </c>
      <c r="N109" s="8">
        <v>1.22</v>
      </c>
      <c r="O109" s="8">
        <v>31.34</v>
      </c>
      <c r="P109" s="8">
        <v>1.57</v>
      </c>
      <c r="Q109" s="10">
        <v>20</v>
      </c>
      <c r="R109" s="10">
        <v>15</v>
      </c>
      <c r="S109" s="8">
        <v>67.91</v>
      </c>
      <c r="T109">
        <v>15</v>
      </c>
      <c r="U109" t="str">
        <f t="shared" si="1"/>
        <v>Sunday</v>
      </c>
    </row>
    <row r="110" spans="1:21" x14ac:dyDescent="0.3">
      <c r="A110" s="5" t="s">
        <v>581</v>
      </c>
      <c r="B110" s="3" t="s">
        <v>3688</v>
      </c>
      <c r="C110" s="5" t="s">
        <v>582</v>
      </c>
      <c r="D110" s="5" t="s">
        <v>21</v>
      </c>
      <c r="E110" s="5" t="s">
        <v>22</v>
      </c>
      <c r="F110" s="5" t="s">
        <v>23</v>
      </c>
      <c r="G110" t="s">
        <v>583</v>
      </c>
      <c r="H110" s="5" t="s">
        <v>3674</v>
      </c>
      <c r="I110" s="5" t="s">
        <v>584</v>
      </c>
      <c r="J110" s="5" t="s">
        <v>585</v>
      </c>
      <c r="K110" s="5" t="s">
        <v>103</v>
      </c>
      <c r="L110">
        <v>3</v>
      </c>
      <c r="M110">
        <v>182.83</v>
      </c>
      <c r="N110" s="8">
        <v>27.42</v>
      </c>
      <c r="O110" s="8">
        <v>521.07000000000005</v>
      </c>
      <c r="P110" s="8">
        <v>26.05</v>
      </c>
      <c r="Q110" s="10">
        <v>20</v>
      </c>
      <c r="R110" s="10">
        <v>0</v>
      </c>
      <c r="S110" s="8">
        <v>567.12</v>
      </c>
      <c r="T110">
        <v>24</v>
      </c>
      <c r="U110" t="str">
        <f t="shared" si="1"/>
        <v>Saturday</v>
      </c>
    </row>
    <row r="111" spans="1:21" x14ac:dyDescent="0.3">
      <c r="A111" s="5" t="s">
        <v>586</v>
      </c>
      <c r="B111" s="3" t="s">
        <v>3687</v>
      </c>
      <c r="C111" s="5" t="s">
        <v>587</v>
      </c>
      <c r="D111" s="5" t="s">
        <v>21</v>
      </c>
      <c r="E111" s="5" t="s">
        <v>36</v>
      </c>
      <c r="F111" s="5" t="s">
        <v>23</v>
      </c>
      <c r="G111" t="s">
        <v>588</v>
      </c>
      <c r="H111" s="5" t="s">
        <v>3676</v>
      </c>
      <c r="I111" s="5" t="s">
        <v>589</v>
      </c>
      <c r="J111" s="5" t="s">
        <v>590</v>
      </c>
      <c r="K111" s="5" t="s">
        <v>40</v>
      </c>
      <c r="L111">
        <v>2</v>
      </c>
      <c r="M111">
        <v>199.02</v>
      </c>
      <c r="N111" s="8">
        <v>19.899999999999999</v>
      </c>
      <c r="O111" s="8">
        <v>378.14</v>
      </c>
      <c r="P111" s="8">
        <v>18.91</v>
      </c>
      <c r="Q111" s="10">
        <v>30</v>
      </c>
      <c r="R111" s="10">
        <v>20</v>
      </c>
      <c r="S111" s="8">
        <v>447.05000000000013</v>
      </c>
      <c r="T111">
        <v>29</v>
      </c>
      <c r="U111" t="str">
        <f t="shared" si="1"/>
        <v>Friday</v>
      </c>
    </row>
    <row r="112" spans="1:21" x14ac:dyDescent="0.3">
      <c r="A112" s="5" t="s">
        <v>591</v>
      </c>
      <c r="B112" s="3" t="s">
        <v>3719</v>
      </c>
      <c r="C112" s="5" t="s">
        <v>592</v>
      </c>
      <c r="D112" s="5" t="s">
        <v>106</v>
      </c>
      <c r="E112" s="5" t="s">
        <v>83</v>
      </c>
      <c r="F112" s="5" t="s">
        <v>23</v>
      </c>
      <c r="G112" t="s">
        <v>593</v>
      </c>
      <c r="H112" s="5" t="s">
        <v>3673</v>
      </c>
      <c r="I112" s="5" t="s">
        <v>594</v>
      </c>
      <c r="J112" s="5" t="s">
        <v>595</v>
      </c>
      <c r="K112" s="5" t="s">
        <v>103</v>
      </c>
      <c r="L112">
        <v>4</v>
      </c>
      <c r="M112">
        <v>130.76</v>
      </c>
      <c r="N112" s="8">
        <v>19.61</v>
      </c>
      <c r="O112" s="8">
        <v>503.42999999999989</v>
      </c>
      <c r="P112" s="8">
        <v>25.17</v>
      </c>
      <c r="Q112" s="10">
        <v>30</v>
      </c>
      <c r="R112" s="10">
        <v>0</v>
      </c>
      <c r="S112" s="8">
        <v>558.59999999999991</v>
      </c>
      <c r="T112">
        <v>18</v>
      </c>
      <c r="U112" t="str">
        <f t="shared" si="1"/>
        <v>Sunday</v>
      </c>
    </row>
    <row r="113" spans="1:21" x14ac:dyDescent="0.3">
      <c r="A113" s="5" t="s">
        <v>596</v>
      </c>
      <c r="B113" s="3" t="s">
        <v>3700</v>
      </c>
      <c r="C113" s="5" t="s">
        <v>597</v>
      </c>
      <c r="D113" s="5" t="s">
        <v>106</v>
      </c>
      <c r="E113" s="5" t="s">
        <v>83</v>
      </c>
      <c r="F113" s="5" t="s">
        <v>42</v>
      </c>
      <c r="G113" t="s">
        <v>598</v>
      </c>
      <c r="H113" s="5" t="s">
        <v>3673</v>
      </c>
      <c r="I113" s="5" t="s">
        <v>599</v>
      </c>
      <c r="J113" s="5" t="s">
        <v>600</v>
      </c>
      <c r="K113" s="5" t="s">
        <v>40</v>
      </c>
      <c r="L113">
        <v>1</v>
      </c>
      <c r="M113">
        <v>82.47</v>
      </c>
      <c r="N113" s="8">
        <v>8.25</v>
      </c>
      <c r="O113" s="8">
        <v>74.22</v>
      </c>
      <c r="P113" s="8">
        <v>3.71</v>
      </c>
      <c r="Q113" s="10">
        <v>0</v>
      </c>
      <c r="R113" s="10">
        <v>10</v>
      </c>
      <c r="S113" s="8">
        <v>87.929999999999993</v>
      </c>
      <c r="T113">
        <v>28</v>
      </c>
      <c r="U113" t="str">
        <f t="shared" si="1"/>
        <v>Saturday</v>
      </c>
    </row>
    <row r="114" spans="1:21" x14ac:dyDescent="0.3">
      <c r="A114" s="5" t="s">
        <v>601</v>
      </c>
      <c r="B114" s="3" t="s">
        <v>3697</v>
      </c>
      <c r="C114" s="5" t="s">
        <v>602</v>
      </c>
      <c r="D114" s="5" t="s">
        <v>21</v>
      </c>
      <c r="E114" s="5" t="s">
        <v>22</v>
      </c>
      <c r="F114" s="5" t="s">
        <v>23</v>
      </c>
      <c r="G114" t="s">
        <v>603</v>
      </c>
      <c r="H114" s="5" t="s">
        <v>3675</v>
      </c>
      <c r="I114" s="5" t="s">
        <v>604</v>
      </c>
      <c r="J114" s="5" t="s">
        <v>605</v>
      </c>
      <c r="K114" s="5" t="s">
        <v>73</v>
      </c>
      <c r="L114">
        <v>3</v>
      </c>
      <c r="M114">
        <v>102.51</v>
      </c>
      <c r="N114" s="8">
        <v>0</v>
      </c>
      <c r="O114" s="8">
        <v>307.52999999999997</v>
      </c>
      <c r="P114" s="8">
        <v>15.38</v>
      </c>
      <c r="Q114" s="10">
        <v>20</v>
      </c>
      <c r="R114" s="10">
        <v>20</v>
      </c>
      <c r="S114" s="8">
        <v>362.91</v>
      </c>
      <c r="T114">
        <v>30</v>
      </c>
      <c r="U114" t="str">
        <f t="shared" si="1"/>
        <v>Saturday</v>
      </c>
    </row>
    <row r="115" spans="1:21" x14ac:dyDescent="0.3">
      <c r="A115" s="5" t="s">
        <v>606</v>
      </c>
      <c r="B115" s="3" t="s">
        <v>3697</v>
      </c>
      <c r="C115" s="5" t="s">
        <v>607</v>
      </c>
      <c r="D115" s="5" t="s">
        <v>21</v>
      </c>
      <c r="E115" s="5" t="s">
        <v>76</v>
      </c>
      <c r="F115" s="5" t="s">
        <v>23</v>
      </c>
      <c r="G115" t="s">
        <v>608</v>
      </c>
      <c r="H115" s="5" t="s">
        <v>3674</v>
      </c>
      <c r="I115" s="5" t="s">
        <v>609</v>
      </c>
      <c r="J115" s="5" t="s">
        <v>610</v>
      </c>
      <c r="K115" s="5" t="s">
        <v>45</v>
      </c>
      <c r="L115">
        <v>2</v>
      </c>
      <c r="M115">
        <v>14.07</v>
      </c>
      <c r="N115" s="8">
        <v>0.7</v>
      </c>
      <c r="O115" s="8">
        <v>27.44</v>
      </c>
      <c r="P115" s="8">
        <v>1.37</v>
      </c>
      <c r="Q115" s="10">
        <v>30</v>
      </c>
      <c r="R115" s="10">
        <v>10</v>
      </c>
      <c r="S115" s="8">
        <v>68.81</v>
      </c>
      <c r="T115">
        <v>27</v>
      </c>
      <c r="U115" t="str">
        <f t="shared" si="1"/>
        <v>Saturday</v>
      </c>
    </row>
    <row r="116" spans="1:21" x14ac:dyDescent="0.3">
      <c r="A116" s="5" t="s">
        <v>611</v>
      </c>
      <c r="B116" s="3" t="s">
        <v>3697</v>
      </c>
      <c r="C116" s="5" t="s">
        <v>612</v>
      </c>
      <c r="D116" s="5" t="s">
        <v>21</v>
      </c>
      <c r="E116" s="5" t="s">
        <v>112</v>
      </c>
      <c r="F116" s="5" t="s">
        <v>42</v>
      </c>
      <c r="G116" t="s">
        <v>613</v>
      </c>
      <c r="H116" s="5" t="s">
        <v>3673</v>
      </c>
      <c r="I116" s="5" t="s">
        <v>614</v>
      </c>
      <c r="J116" s="5" t="s">
        <v>615</v>
      </c>
      <c r="K116" s="5" t="s">
        <v>145</v>
      </c>
      <c r="L116">
        <v>2</v>
      </c>
      <c r="M116">
        <v>52.82</v>
      </c>
      <c r="N116" s="8">
        <v>0</v>
      </c>
      <c r="O116" s="8">
        <v>105.64</v>
      </c>
      <c r="P116" s="8">
        <v>5.28</v>
      </c>
      <c r="Q116" s="10">
        <v>10</v>
      </c>
      <c r="R116" s="10">
        <v>20</v>
      </c>
      <c r="S116" s="8">
        <v>140.91999999999999</v>
      </c>
      <c r="T116">
        <v>33</v>
      </c>
      <c r="U116" t="str">
        <f t="shared" si="1"/>
        <v>Saturday</v>
      </c>
    </row>
    <row r="117" spans="1:21" x14ac:dyDescent="0.3">
      <c r="A117" s="5" t="s">
        <v>616</v>
      </c>
      <c r="B117" s="3" t="s">
        <v>3730</v>
      </c>
      <c r="C117" s="5" t="s">
        <v>617</v>
      </c>
      <c r="D117" s="5" t="s">
        <v>21</v>
      </c>
      <c r="E117" s="5" t="s">
        <v>112</v>
      </c>
      <c r="F117" s="5" t="s">
        <v>42</v>
      </c>
      <c r="G117" t="s">
        <v>618</v>
      </c>
      <c r="H117" s="5" t="s">
        <v>3673</v>
      </c>
      <c r="I117" s="5" t="s">
        <v>619</v>
      </c>
      <c r="J117" s="5" t="s">
        <v>620</v>
      </c>
      <c r="K117" s="5" t="s">
        <v>22</v>
      </c>
      <c r="L117">
        <v>1</v>
      </c>
      <c r="M117">
        <v>91.94</v>
      </c>
      <c r="N117" s="8">
        <v>13.79</v>
      </c>
      <c r="O117" s="8">
        <v>78.150000000000006</v>
      </c>
      <c r="P117" s="8">
        <v>3.91</v>
      </c>
      <c r="Q117" s="10">
        <v>20</v>
      </c>
      <c r="R117" s="10">
        <v>10</v>
      </c>
      <c r="S117" s="8">
        <v>112.06</v>
      </c>
      <c r="T117">
        <v>28</v>
      </c>
      <c r="U117" t="str">
        <f t="shared" si="1"/>
        <v>Friday</v>
      </c>
    </row>
    <row r="118" spans="1:21" x14ac:dyDescent="0.3">
      <c r="A118" s="5" t="s">
        <v>621</v>
      </c>
      <c r="B118" s="3" t="s">
        <v>3731</v>
      </c>
      <c r="C118" s="5" t="s">
        <v>622</v>
      </c>
      <c r="D118" s="5" t="s">
        <v>21</v>
      </c>
      <c r="E118" s="5" t="s">
        <v>22</v>
      </c>
      <c r="F118" s="5" t="s">
        <v>23</v>
      </c>
      <c r="G118" t="s">
        <v>623</v>
      </c>
      <c r="H118" s="5" t="s">
        <v>3676</v>
      </c>
      <c r="I118" s="5" t="s">
        <v>624</v>
      </c>
      <c r="J118" s="5" t="s">
        <v>625</v>
      </c>
      <c r="K118" s="5" t="s">
        <v>56</v>
      </c>
      <c r="L118">
        <v>3</v>
      </c>
      <c r="M118">
        <v>102.03</v>
      </c>
      <c r="N118" s="8">
        <v>15.3</v>
      </c>
      <c r="O118" s="8">
        <v>290.79000000000002</v>
      </c>
      <c r="P118" s="8">
        <v>14.54</v>
      </c>
      <c r="Q118" s="10">
        <v>0</v>
      </c>
      <c r="R118" s="10">
        <v>0</v>
      </c>
      <c r="S118" s="8">
        <v>305.33</v>
      </c>
      <c r="T118">
        <v>25</v>
      </c>
      <c r="U118" t="str">
        <f t="shared" si="1"/>
        <v>Monday</v>
      </c>
    </row>
    <row r="119" spans="1:21" x14ac:dyDescent="0.3">
      <c r="A119" s="5" t="s">
        <v>626</v>
      </c>
      <c r="B119" s="3" t="s">
        <v>3725</v>
      </c>
      <c r="C119" s="5" t="s">
        <v>627</v>
      </c>
      <c r="D119" s="5" t="s">
        <v>106</v>
      </c>
      <c r="E119" s="5" t="s">
        <v>83</v>
      </c>
      <c r="F119" s="5" t="s">
        <v>42</v>
      </c>
      <c r="G119" t="s">
        <v>628</v>
      </c>
      <c r="H119" s="5" t="s">
        <v>3674</v>
      </c>
      <c r="I119" s="5" t="s">
        <v>629</v>
      </c>
      <c r="J119" s="5" t="s">
        <v>630</v>
      </c>
      <c r="K119" s="5" t="s">
        <v>145</v>
      </c>
      <c r="L119">
        <v>1</v>
      </c>
      <c r="M119">
        <v>66.78</v>
      </c>
      <c r="N119" s="8">
        <v>3.34</v>
      </c>
      <c r="O119" s="8">
        <v>63.44</v>
      </c>
      <c r="P119" s="8">
        <v>3.17</v>
      </c>
      <c r="Q119" s="10">
        <v>20</v>
      </c>
      <c r="R119" s="10">
        <v>10</v>
      </c>
      <c r="S119" s="8">
        <v>96.61</v>
      </c>
      <c r="T119">
        <v>29</v>
      </c>
      <c r="U119" t="str">
        <f t="shared" si="1"/>
        <v>Wednesday</v>
      </c>
    </row>
    <row r="120" spans="1:21" x14ac:dyDescent="0.3">
      <c r="A120" s="5" t="s">
        <v>631</v>
      </c>
      <c r="B120" s="3" t="s">
        <v>3707</v>
      </c>
      <c r="C120" s="5" t="s">
        <v>632</v>
      </c>
      <c r="D120" s="5" t="s">
        <v>21</v>
      </c>
      <c r="E120" s="5" t="s">
        <v>69</v>
      </c>
      <c r="F120" s="5" t="s">
        <v>42</v>
      </c>
      <c r="G120" t="s">
        <v>633</v>
      </c>
      <c r="H120" s="5" t="s">
        <v>3675</v>
      </c>
      <c r="I120" s="5" t="s">
        <v>634</v>
      </c>
      <c r="J120" s="5" t="s">
        <v>635</v>
      </c>
      <c r="K120" s="5" t="s">
        <v>45</v>
      </c>
      <c r="L120">
        <v>4</v>
      </c>
      <c r="M120">
        <v>126.91</v>
      </c>
      <c r="N120" s="8">
        <v>0</v>
      </c>
      <c r="O120" s="8">
        <v>507.64</v>
      </c>
      <c r="P120" s="8">
        <v>25.38</v>
      </c>
      <c r="Q120" s="10">
        <v>30</v>
      </c>
      <c r="R120" s="10">
        <v>20</v>
      </c>
      <c r="S120" s="8">
        <v>583.02</v>
      </c>
      <c r="T120">
        <v>21</v>
      </c>
      <c r="U120" t="str">
        <f t="shared" si="1"/>
        <v>Wednesday</v>
      </c>
    </row>
    <row r="121" spans="1:21" x14ac:dyDescent="0.3">
      <c r="A121" s="5" t="s">
        <v>636</v>
      </c>
      <c r="B121" s="3" t="s">
        <v>3730</v>
      </c>
      <c r="C121" s="5" t="s">
        <v>637</v>
      </c>
      <c r="D121" s="5" t="s">
        <v>21</v>
      </c>
      <c r="E121" s="5" t="s">
        <v>76</v>
      </c>
      <c r="F121" s="5" t="s">
        <v>37</v>
      </c>
      <c r="G121" t="s">
        <v>638</v>
      </c>
      <c r="H121" s="5" t="s">
        <v>3677</v>
      </c>
      <c r="I121" s="5" t="s">
        <v>639</v>
      </c>
      <c r="J121" s="5" t="s">
        <v>640</v>
      </c>
      <c r="K121" s="5" t="s">
        <v>40</v>
      </c>
      <c r="L121">
        <v>2</v>
      </c>
      <c r="M121">
        <v>21.8</v>
      </c>
      <c r="N121" s="8">
        <v>0</v>
      </c>
      <c r="O121" s="8">
        <v>43.6</v>
      </c>
      <c r="P121" s="8">
        <v>2.1800000000000002</v>
      </c>
      <c r="Q121" s="10">
        <v>20</v>
      </c>
      <c r="R121" s="10">
        <v>10</v>
      </c>
      <c r="S121" s="8">
        <v>75.78</v>
      </c>
      <c r="T121">
        <v>24.67</v>
      </c>
      <c r="U121" t="str">
        <f t="shared" si="1"/>
        <v>Friday</v>
      </c>
    </row>
    <row r="122" spans="1:21" x14ac:dyDescent="0.3">
      <c r="A122" s="5" t="s">
        <v>641</v>
      </c>
      <c r="B122" s="3" t="s">
        <v>3732</v>
      </c>
      <c r="C122" s="5" t="s">
        <v>642</v>
      </c>
      <c r="D122" s="5" t="s">
        <v>21</v>
      </c>
      <c r="E122" s="5" t="s">
        <v>112</v>
      </c>
      <c r="F122" s="5" t="s">
        <v>23</v>
      </c>
      <c r="G122" t="s">
        <v>643</v>
      </c>
      <c r="H122" s="5" t="s">
        <v>3673</v>
      </c>
      <c r="I122" s="5" t="s">
        <v>644</v>
      </c>
      <c r="J122" s="5" t="s">
        <v>645</v>
      </c>
      <c r="K122" s="5" t="s">
        <v>40</v>
      </c>
      <c r="L122">
        <v>5</v>
      </c>
      <c r="M122">
        <v>162.43</v>
      </c>
      <c r="N122" s="8">
        <v>24.36</v>
      </c>
      <c r="O122" s="8">
        <v>787.79000000000008</v>
      </c>
      <c r="P122" s="8">
        <v>39.39</v>
      </c>
      <c r="Q122" s="10">
        <v>0</v>
      </c>
      <c r="R122" s="10">
        <v>5</v>
      </c>
      <c r="S122" s="8">
        <v>832.18000000000006</v>
      </c>
      <c r="T122">
        <v>34</v>
      </c>
      <c r="U122" t="str">
        <f t="shared" si="1"/>
        <v>Wednesday</v>
      </c>
    </row>
    <row r="123" spans="1:21" x14ac:dyDescent="0.3">
      <c r="A123" s="5" t="s">
        <v>646</v>
      </c>
      <c r="B123" s="3" t="s">
        <v>3700</v>
      </c>
      <c r="C123" s="5" t="s">
        <v>647</v>
      </c>
      <c r="D123" s="5" t="s">
        <v>106</v>
      </c>
      <c r="E123" s="5" t="s">
        <v>83</v>
      </c>
      <c r="F123" s="5" t="s">
        <v>37</v>
      </c>
      <c r="G123" t="s">
        <v>648</v>
      </c>
      <c r="H123" s="5" t="s">
        <v>3673</v>
      </c>
      <c r="I123" s="5" t="s">
        <v>649</v>
      </c>
      <c r="J123" s="5" t="s">
        <v>650</v>
      </c>
      <c r="K123" s="5" t="s">
        <v>56</v>
      </c>
      <c r="L123">
        <v>3</v>
      </c>
      <c r="M123">
        <v>185.37</v>
      </c>
      <c r="N123" s="8">
        <v>0</v>
      </c>
      <c r="O123" s="8">
        <v>556.11</v>
      </c>
      <c r="P123" s="8">
        <v>27.81</v>
      </c>
      <c r="Q123" s="10">
        <v>30</v>
      </c>
      <c r="R123" s="10">
        <v>5</v>
      </c>
      <c r="S123" s="8">
        <v>618.91999999999996</v>
      </c>
      <c r="T123">
        <v>24.67</v>
      </c>
      <c r="U123" t="str">
        <f t="shared" si="1"/>
        <v>Saturday</v>
      </c>
    </row>
    <row r="124" spans="1:21" x14ac:dyDescent="0.3">
      <c r="A124" s="5" t="s">
        <v>651</v>
      </c>
      <c r="B124" s="3" t="s">
        <v>3713</v>
      </c>
      <c r="C124" s="5" t="s">
        <v>652</v>
      </c>
      <c r="D124" s="5" t="s">
        <v>82</v>
      </c>
      <c r="E124" s="5" t="s">
        <v>83</v>
      </c>
      <c r="F124" s="5" t="s">
        <v>23</v>
      </c>
      <c r="G124" t="s">
        <v>653</v>
      </c>
      <c r="H124" s="5" t="s">
        <v>3673</v>
      </c>
      <c r="I124" s="5" t="s">
        <v>654</v>
      </c>
      <c r="J124" s="5" t="s">
        <v>655</v>
      </c>
      <c r="K124" s="5" t="s">
        <v>56</v>
      </c>
      <c r="L124">
        <v>2</v>
      </c>
      <c r="M124">
        <v>92.94</v>
      </c>
      <c r="N124" s="8">
        <v>9.2899999999999991</v>
      </c>
      <c r="O124" s="8">
        <v>176.59</v>
      </c>
      <c r="P124" s="8">
        <v>8.83</v>
      </c>
      <c r="Q124" s="10">
        <v>20</v>
      </c>
      <c r="R124" s="10">
        <v>20</v>
      </c>
      <c r="S124" s="8">
        <v>225.42</v>
      </c>
      <c r="T124">
        <v>32</v>
      </c>
      <c r="U124" t="str">
        <f t="shared" si="1"/>
        <v>Tuesday</v>
      </c>
    </row>
    <row r="125" spans="1:21" x14ac:dyDescent="0.3">
      <c r="A125" s="5" t="s">
        <v>656</v>
      </c>
      <c r="B125" s="3" t="s">
        <v>3714</v>
      </c>
      <c r="C125" s="5" t="s">
        <v>657</v>
      </c>
      <c r="D125" s="5" t="s">
        <v>106</v>
      </c>
      <c r="E125" s="5" t="s">
        <v>83</v>
      </c>
      <c r="F125" s="5" t="s">
        <v>37</v>
      </c>
      <c r="G125" t="s">
        <v>658</v>
      </c>
      <c r="H125" s="5" t="s">
        <v>3673</v>
      </c>
      <c r="I125" s="5" t="s">
        <v>659</v>
      </c>
      <c r="J125" s="5" t="s">
        <v>660</v>
      </c>
      <c r="K125" s="5" t="s">
        <v>22</v>
      </c>
      <c r="L125">
        <v>2</v>
      </c>
      <c r="M125">
        <v>84.67</v>
      </c>
      <c r="N125" s="8">
        <v>0</v>
      </c>
      <c r="O125" s="8">
        <v>169.34</v>
      </c>
      <c r="P125" s="8">
        <v>8.4700000000000006</v>
      </c>
      <c r="Q125" s="10">
        <v>20</v>
      </c>
      <c r="R125" s="10">
        <v>20</v>
      </c>
      <c r="S125" s="8">
        <v>217.81</v>
      </c>
      <c r="T125">
        <v>25</v>
      </c>
      <c r="U125" t="str">
        <f t="shared" si="1"/>
        <v>Thursday</v>
      </c>
    </row>
    <row r="126" spans="1:21" x14ac:dyDescent="0.3">
      <c r="A126" s="5" t="s">
        <v>661</v>
      </c>
      <c r="B126" s="3" t="s">
        <v>3687</v>
      </c>
      <c r="C126" s="5" t="s">
        <v>662</v>
      </c>
      <c r="D126" s="5" t="s">
        <v>21</v>
      </c>
      <c r="E126" s="5" t="s">
        <v>112</v>
      </c>
      <c r="F126" s="5" t="s">
        <v>42</v>
      </c>
      <c r="G126" t="s">
        <v>663</v>
      </c>
      <c r="H126" s="5" t="s">
        <v>3674</v>
      </c>
      <c r="I126" s="5" t="s">
        <v>664</v>
      </c>
      <c r="J126" s="5" t="s">
        <v>665</v>
      </c>
      <c r="K126" s="5" t="s">
        <v>45</v>
      </c>
      <c r="L126">
        <v>4</v>
      </c>
      <c r="M126">
        <v>140.79</v>
      </c>
      <c r="N126" s="8">
        <v>7.04</v>
      </c>
      <c r="O126" s="8">
        <v>556.12</v>
      </c>
      <c r="P126" s="8">
        <v>27.81</v>
      </c>
      <c r="Q126" s="10">
        <v>0</v>
      </c>
      <c r="R126" s="10">
        <v>15</v>
      </c>
      <c r="S126" s="8">
        <v>598.92999999999995</v>
      </c>
      <c r="T126">
        <v>26</v>
      </c>
      <c r="U126" t="str">
        <f t="shared" si="1"/>
        <v>Friday</v>
      </c>
    </row>
    <row r="127" spans="1:21" x14ac:dyDescent="0.3">
      <c r="A127" s="5" t="s">
        <v>666</v>
      </c>
      <c r="B127" s="3" t="s">
        <v>3732</v>
      </c>
      <c r="C127" s="5" t="s">
        <v>667</v>
      </c>
      <c r="D127" s="5" t="s">
        <v>21</v>
      </c>
      <c r="E127" s="5" t="s">
        <v>22</v>
      </c>
      <c r="F127" s="5" t="s">
        <v>42</v>
      </c>
      <c r="G127" t="s">
        <v>668</v>
      </c>
      <c r="H127" s="5" t="s">
        <v>3673</v>
      </c>
      <c r="I127" s="5" t="s">
        <v>669</v>
      </c>
      <c r="J127" s="5" t="s">
        <v>670</v>
      </c>
      <c r="K127" s="5" t="s">
        <v>45</v>
      </c>
      <c r="L127">
        <v>1</v>
      </c>
      <c r="M127">
        <v>67.73</v>
      </c>
      <c r="N127" s="8">
        <v>6.77</v>
      </c>
      <c r="O127" s="8">
        <v>60.960000000000008</v>
      </c>
      <c r="P127" s="8">
        <v>3.05</v>
      </c>
      <c r="Q127" s="10">
        <v>20</v>
      </c>
      <c r="R127" s="10">
        <v>15</v>
      </c>
      <c r="S127" s="8">
        <v>99.01</v>
      </c>
      <c r="T127">
        <v>29</v>
      </c>
      <c r="U127" t="str">
        <f t="shared" si="1"/>
        <v>Wednesday</v>
      </c>
    </row>
    <row r="128" spans="1:21" x14ac:dyDescent="0.3">
      <c r="A128" s="5" t="s">
        <v>671</v>
      </c>
      <c r="B128" s="3" t="s">
        <v>3694</v>
      </c>
      <c r="C128" s="5" t="s">
        <v>672</v>
      </c>
      <c r="D128" s="5" t="s">
        <v>21</v>
      </c>
      <c r="E128" s="5" t="s">
        <v>112</v>
      </c>
      <c r="F128" s="5" t="s">
        <v>37</v>
      </c>
      <c r="G128" t="s">
        <v>673</v>
      </c>
      <c r="H128" s="5" t="s">
        <v>3676</v>
      </c>
      <c r="I128" s="5" t="s">
        <v>674</v>
      </c>
      <c r="J128" s="5" t="s">
        <v>675</v>
      </c>
      <c r="K128" s="5" t="s">
        <v>73</v>
      </c>
      <c r="L128">
        <v>5</v>
      </c>
      <c r="M128">
        <v>57.61</v>
      </c>
      <c r="N128" s="8">
        <v>8.64</v>
      </c>
      <c r="O128" s="8">
        <v>279.41000000000003</v>
      </c>
      <c r="P128" s="8">
        <v>13.97</v>
      </c>
      <c r="Q128" s="10">
        <v>20</v>
      </c>
      <c r="R128" s="10">
        <v>20</v>
      </c>
      <c r="S128" s="8">
        <v>333.38000000000011</v>
      </c>
      <c r="T128">
        <v>17</v>
      </c>
      <c r="U128" t="str">
        <f t="shared" si="1"/>
        <v>Thursday</v>
      </c>
    </row>
    <row r="129" spans="1:21" x14ac:dyDescent="0.3">
      <c r="A129" s="5" t="s">
        <v>676</v>
      </c>
      <c r="B129" s="3" t="s">
        <v>3681</v>
      </c>
      <c r="C129" s="5" t="s">
        <v>677</v>
      </c>
      <c r="D129" s="5" t="s">
        <v>21</v>
      </c>
      <c r="E129" s="5" t="s">
        <v>76</v>
      </c>
      <c r="F129" s="5" t="s">
        <v>42</v>
      </c>
      <c r="G129" t="s">
        <v>678</v>
      </c>
      <c r="H129" s="5" t="s">
        <v>3673</v>
      </c>
      <c r="I129" s="5" t="s">
        <v>679</v>
      </c>
      <c r="J129" s="5" t="s">
        <v>680</v>
      </c>
      <c r="K129" s="5" t="s">
        <v>56</v>
      </c>
      <c r="L129">
        <v>4</v>
      </c>
      <c r="M129">
        <v>136.59</v>
      </c>
      <c r="N129" s="8">
        <v>13.66</v>
      </c>
      <c r="O129" s="8">
        <v>532.70000000000005</v>
      </c>
      <c r="P129" s="8">
        <v>26.64</v>
      </c>
      <c r="Q129" s="10">
        <v>10</v>
      </c>
      <c r="R129" s="10">
        <v>20</v>
      </c>
      <c r="S129" s="8">
        <v>589.34</v>
      </c>
      <c r="T129">
        <v>18</v>
      </c>
      <c r="U129" t="str">
        <f t="shared" si="1"/>
        <v>Wednesday</v>
      </c>
    </row>
    <row r="130" spans="1:21" x14ac:dyDescent="0.3">
      <c r="A130" s="5" t="s">
        <v>681</v>
      </c>
      <c r="B130" s="3" t="s">
        <v>3687</v>
      </c>
      <c r="C130" s="5" t="s">
        <v>682</v>
      </c>
      <c r="D130" s="5" t="s">
        <v>21</v>
      </c>
      <c r="E130" s="5" t="s">
        <v>36</v>
      </c>
      <c r="F130" s="5" t="s">
        <v>37</v>
      </c>
      <c r="G130" t="s">
        <v>683</v>
      </c>
      <c r="H130" s="5" t="s">
        <v>3673</v>
      </c>
      <c r="I130" s="5" t="s">
        <v>684</v>
      </c>
      <c r="J130" s="5" t="s">
        <v>685</v>
      </c>
      <c r="K130" s="5" t="s">
        <v>145</v>
      </c>
      <c r="L130">
        <v>2</v>
      </c>
      <c r="M130">
        <v>133.05000000000001</v>
      </c>
      <c r="N130" s="8">
        <v>6.65</v>
      </c>
      <c r="O130" s="8">
        <v>259.45</v>
      </c>
      <c r="P130" s="8">
        <v>12.97</v>
      </c>
      <c r="Q130" s="10">
        <v>10</v>
      </c>
      <c r="R130" s="10">
        <v>5</v>
      </c>
      <c r="S130" s="8">
        <v>287.42000000000007</v>
      </c>
      <c r="T130">
        <v>23</v>
      </c>
      <c r="U130" t="str">
        <f t="shared" si="1"/>
        <v>Friday</v>
      </c>
    </row>
    <row r="131" spans="1:21" x14ac:dyDescent="0.3">
      <c r="A131" s="5" t="s">
        <v>686</v>
      </c>
      <c r="B131" s="3" t="s">
        <v>3686</v>
      </c>
      <c r="C131" s="5" t="s">
        <v>687</v>
      </c>
      <c r="D131" s="5" t="s">
        <v>21</v>
      </c>
      <c r="E131" s="5" t="s">
        <v>112</v>
      </c>
      <c r="F131" s="5" t="s">
        <v>42</v>
      </c>
      <c r="G131" t="s">
        <v>688</v>
      </c>
      <c r="H131" s="5" t="s">
        <v>25</v>
      </c>
      <c r="I131" s="5" t="s">
        <v>689</v>
      </c>
      <c r="J131" s="5" t="s">
        <v>690</v>
      </c>
      <c r="K131" s="5" t="s">
        <v>145</v>
      </c>
      <c r="L131">
        <v>2</v>
      </c>
      <c r="M131">
        <v>177.78</v>
      </c>
      <c r="N131" s="8">
        <v>0</v>
      </c>
      <c r="O131" s="8">
        <v>355.56</v>
      </c>
      <c r="P131" s="8">
        <v>17.78</v>
      </c>
      <c r="Q131" s="10">
        <v>20</v>
      </c>
      <c r="R131" s="10">
        <v>15</v>
      </c>
      <c r="S131" s="8">
        <v>408.34</v>
      </c>
      <c r="T131">
        <v>28</v>
      </c>
      <c r="U131" t="str">
        <f t="shared" ref="U131:U194" si="2">TEXT(B131,"dddd")</f>
        <v>Saturday</v>
      </c>
    </row>
    <row r="132" spans="1:21" x14ac:dyDescent="0.3">
      <c r="A132" s="5" t="s">
        <v>691</v>
      </c>
      <c r="B132" s="3" t="s">
        <v>3709</v>
      </c>
      <c r="C132" s="5" t="s">
        <v>692</v>
      </c>
      <c r="D132" s="5" t="s">
        <v>21</v>
      </c>
      <c r="E132" s="5" t="s">
        <v>69</v>
      </c>
      <c r="F132" s="5" t="s">
        <v>37</v>
      </c>
      <c r="G132" t="s">
        <v>693</v>
      </c>
      <c r="H132" s="5" t="s">
        <v>3677</v>
      </c>
      <c r="I132" s="5" t="s">
        <v>694</v>
      </c>
      <c r="J132" s="5" t="s">
        <v>695</v>
      </c>
      <c r="K132" s="5" t="s">
        <v>145</v>
      </c>
      <c r="L132">
        <v>5</v>
      </c>
      <c r="M132">
        <v>191.22</v>
      </c>
      <c r="N132" s="8">
        <v>9.56</v>
      </c>
      <c r="O132" s="8">
        <v>946.54000000000008</v>
      </c>
      <c r="P132" s="8">
        <v>47.33</v>
      </c>
      <c r="Q132" s="10">
        <v>20</v>
      </c>
      <c r="R132" s="10">
        <v>15</v>
      </c>
      <c r="S132" s="8">
        <v>1028.8699999999999</v>
      </c>
      <c r="T132">
        <v>33</v>
      </c>
      <c r="U132" t="str">
        <f t="shared" si="2"/>
        <v>Thursday</v>
      </c>
    </row>
    <row r="133" spans="1:21" x14ac:dyDescent="0.3">
      <c r="A133" s="5" t="s">
        <v>696</v>
      </c>
      <c r="B133" s="3" t="s">
        <v>3722</v>
      </c>
      <c r="C133" s="5" t="s">
        <v>697</v>
      </c>
      <c r="D133" s="5" t="s">
        <v>21</v>
      </c>
      <c r="E133" s="5" t="s">
        <v>22</v>
      </c>
      <c r="F133" s="5" t="s">
        <v>37</v>
      </c>
      <c r="G133" t="s">
        <v>698</v>
      </c>
      <c r="H133" s="5" t="s">
        <v>3673</v>
      </c>
      <c r="I133" s="5" t="s">
        <v>699</v>
      </c>
      <c r="J133" s="5" t="s">
        <v>700</v>
      </c>
      <c r="K133" s="5" t="s">
        <v>28</v>
      </c>
      <c r="L133">
        <v>6</v>
      </c>
      <c r="M133">
        <v>180.31</v>
      </c>
      <c r="N133" s="8">
        <v>18.03</v>
      </c>
      <c r="O133" s="8">
        <v>1063.83</v>
      </c>
      <c r="P133" s="8">
        <v>53.19</v>
      </c>
      <c r="Q133" s="10">
        <v>30</v>
      </c>
      <c r="R133" s="10">
        <v>0</v>
      </c>
      <c r="S133" s="8">
        <v>1147.02</v>
      </c>
      <c r="T133">
        <v>22</v>
      </c>
      <c r="U133" t="str">
        <f t="shared" si="2"/>
        <v>Friday</v>
      </c>
    </row>
    <row r="134" spans="1:21" x14ac:dyDescent="0.3">
      <c r="A134" s="5" t="s">
        <v>701</v>
      </c>
      <c r="B134" s="3" t="s">
        <v>3681</v>
      </c>
      <c r="C134" s="5" t="s">
        <v>702</v>
      </c>
      <c r="D134" s="5" t="s">
        <v>21</v>
      </c>
      <c r="E134" s="5" t="s">
        <v>36</v>
      </c>
      <c r="F134" s="5" t="s">
        <v>37</v>
      </c>
      <c r="G134" t="s">
        <v>703</v>
      </c>
      <c r="H134" s="5" t="s">
        <v>3673</v>
      </c>
      <c r="I134" s="5" t="s">
        <v>704</v>
      </c>
      <c r="J134" s="5" t="s">
        <v>705</v>
      </c>
      <c r="K134" s="5" t="s">
        <v>45</v>
      </c>
      <c r="L134">
        <v>6</v>
      </c>
      <c r="M134">
        <v>147.21</v>
      </c>
      <c r="N134" s="8">
        <v>22.08</v>
      </c>
      <c r="O134" s="8">
        <v>861.18</v>
      </c>
      <c r="P134" s="8">
        <v>43.06</v>
      </c>
      <c r="Q134" s="10">
        <v>20</v>
      </c>
      <c r="R134" s="10">
        <v>5</v>
      </c>
      <c r="S134" s="8">
        <v>929.24</v>
      </c>
      <c r="T134">
        <v>24.67</v>
      </c>
      <c r="U134" t="str">
        <f t="shared" si="2"/>
        <v>Wednesday</v>
      </c>
    </row>
    <row r="135" spans="1:21" x14ac:dyDescent="0.3">
      <c r="A135" s="5" t="s">
        <v>706</v>
      </c>
      <c r="B135" s="3" t="s">
        <v>3721</v>
      </c>
      <c r="C135" s="5" t="s">
        <v>707</v>
      </c>
      <c r="D135" s="5" t="s">
        <v>21</v>
      </c>
      <c r="E135" s="5" t="s">
        <v>69</v>
      </c>
      <c r="F135" s="5" t="s">
        <v>23</v>
      </c>
      <c r="G135" t="s">
        <v>708</v>
      </c>
      <c r="H135" s="5" t="s">
        <v>3675</v>
      </c>
      <c r="I135" s="5" t="s">
        <v>709</v>
      </c>
      <c r="J135" s="5" t="s">
        <v>710</v>
      </c>
      <c r="K135" s="5" t="s">
        <v>103</v>
      </c>
      <c r="L135">
        <v>1</v>
      </c>
      <c r="M135">
        <v>63.98</v>
      </c>
      <c r="N135" s="8">
        <v>6.4</v>
      </c>
      <c r="O135" s="8">
        <v>57.58</v>
      </c>
      <c r="P135" s="8">
        <v>2.88</v>
      </c>
      <c r="Q135" s="10">
        <v>0</v>
      </c>
      <c r="R135" s="10">
        <v>5</v>
      </c>
      <c r="S135" s="8">
        <v>65.460000000000008</v>
      </c>
      <c r="T135">
        <v>34</v>
      </c>
      <c r="U135" t="str">
        <f t="shared" si="2"/>
        <v>Tuesday</v>
      </c>
    </row>
    <row r="136" spans="1:21" x14ac:dyDescent="0.3">
      <c r="A136" s="5" t="s">
        <v>711</v>
      </c>
      <c r="B136" s="3" t="s">
        <v>3721</v>
      </c>
      <c r="C136" s="5" t="s">
        <v>712</v>
      </c>
      <c r="D136" s="5" t="s">
        <v>21</v>
      </c>
      <c r="E136" s="5" t="s">
        <v>76</v>
      </c>
      <c r="F136" s="5" t="s">
        <v>42</v>
      </c>
      <c r="G136" t="s">
        <v>713</v>
      </c>
      <c r="H136" s="5" t="s">
        <v>100</v>
      </c>
      <c r="I136" s="5" t="s">
        <v>714</v>
      </c>
      <c r="J136" s="5" t="s">
        <v>715</v>
      </c>
      <c r="K136" s="5" t="s">
        <v>145</v>
      </c>
      <c r="L136">
        <v>2</v>
      </c>
      <c r="M136">
        <v>102.15</v>
      </c>
      <c r="N136" s="8">
        <v>10.220000000000001</v>
      </c>
      <c r="O136" s="8">
        <v>194.08</v>
      </c>
      <c r="P136" s="8">
        <v>9.6999999999999993</v>
      </c>
      <c r="Q136" s="10">
        <v>10</v>
      </c>
      <c r="R136" s="10">
        <v>5</v>
      </c>
      <c r="S136" s="8">
        <v>218.78</v>
      </c>
      <c r="T136">
        <v>38</v>
      </c>
      <c r="U136" t="str">
        <f t="shared" si="2"/>
        <v>Tuesday</v>
      </c>
    </row>
    <row r="137" spans="1:21" x14ac:dyDescent="0.3">
      <c r="A137" s="5" t="s">
        <v>716</v>
      </c>
      <c r="B137" s="3" t="s">
        <v>3698</v>
      </c>
      <c r="C137" s="5" t="s">
        <v>717</v>
      </c>
      <c r="D137" s="5" t="s">
        <v>21</v>
      </c>
      <c r="E137" s="5" t="s">
        <v>69</v>
      </c>
      <c r="F137" s="5" t="s">
        <v>42</v>
      </c>
      <c r="G137" t="s">
        <v>718</v>
      </c>
      <c r="H137" s="5" t="s">
        <v>100</v>
      </c>
      <c r="I137" s="5" t="s">
        <v>719</v>
      </c>
      <c r="J137" s="5" t="s">
        <v>720</v>
      </c>
      <c r="K137" s="5" t="s">
        <v>40</v>
      </c>
      <c r="L137">
        <v>3</v>
      </c>
      <c r="M137">
        <v>58.28</v>
      </c>
      <c r="N137" s="8">
        <v>2.91</v>
      </c>
      <c r="O137" s="8">
        <v>171.93</v>
      </c>
      <c r="P137" s="8">
        <v>8.6</v>
      </c>
      <c r="Q137" s="10">
        <v>20</v>
      </c>
      <c r="R137" s="10">
        <v>0</v>
      </c>
      <c r="S137" s="8">
        <v>200.53</v>
      </c>
      <c r="T137">
        <v>36</v>
      </c>
      <c r="U137" t="str">
        <f t="shared" si="2"/>
        <v>Sunday</v>
      </c>
    </row>
    <row r="138" spans="1:21" x14ac:dyDescent="0.3">
      <c r="A138" s="5" t="s">
        <v>721</v>
      </c>
      <c r="B138" s="3" t="s">
        <v>3703</v>
      </c>
      <c r="C138" s="5" t="s">
        <v>722</v>
      </c>
      <c r="D138" s="5" t="s">
        <v>106</v>
      </c>
      <c r="E138" s="5" t="s">
        <v>83</v>
      </c>
      <c r="F138" s="5" t="s">
        <v>42</v>
      </c>
      <c r="G138" t="s">
        <v>723</v>
      </c>
      <c r="H138" s="5" t="s">
        <v>3673</v>
      </c>
      <c r="I138" s="5" t="s">
        <v>724</v>
      </c>
      <c r="J138" s="5" t="s">
        <v>725</v>
      </c>
      <c r="K138" s="5" t="s">
        <v>145</v>
      </c>
      <c r="L138">
        <v>1</v>
      </c>
      <c r="M138">
        <v>1.17</v>
      </c>
      <c r="N138" s="8">
        <v>0</v>
      </c>
      <c r="O138" s="8">
        <v>1.17</v>
      </c>
      <c r="P138" s="8">
        <v>0.06</v>
      </c>
      <c r="Q138" s="10">
        <v>0</v>
      </c>
      <c r="R138" s="10">
        <v>0</v>
      </c>
      <c r="S138" s="8">
        <v>1.23</v>
      </c>
      <c r="T138">
        <v>35</v>
      </c>
      <c r="U138" t="str">
        <f t="shared" si="2"/>
        <v>Friday</v>
      </c>
    </row>
    <row r="139" spans="1:21" x14ac:dyDescent="0.3">
      <c r="A139" s="5" t="s">
        <v>726</v>
      </c>
      <c r="B139" s="3" t="s">
        <v>3733</v>
      </c>
      <c r="C139" s="5" t="s">
        <v>727</v>
      </c>
      <c r="D139" s="5" t="s">
        <v>21</v>
      </c>
      <c r="E139" s="5" t="s">
        <v>69</v>
      </c>
      <c r="F139" s="5" t="s">
        <v>42</v>
      </c>
      <c r="G139" t="s">
        <v>728</v>
      </c>
      <c r="H139" s="5" t="s">
        <v>3673</v>
      </c>
      <c r="I139" s="5" t="s">
        <v>729</v>
      </c>
      <c r="J139" s="5" t="s">
        <v>730</v>
      </c>
      <c r="K139" s="5" t="s">
        <v>40</v>
      </c>
      <c r="L139">
        <v>5</v>
      </c>
      <c r="M139">
        <v>254.77</v>
      </c>
      <c r="N139" s="8">
        <v>12.74</v>
      </c>
      <c r="O139" s="8">
        <v>1261.1099999999999</v>
      </c>
      <c r="P139" s="8">
        <v>63.06</v>
      </c>
      <c r="Q139" s="10">
        <v>20</v>
      </c>
      <c r="R139" s="10">
        <v>20</v>
      </c>
      <c r="S139" s="8">
        <v>1364.17</v>
      </c>
      <c r="T139">
        <v>41</v>
      </c>
      <c r="U139" t="str">
        <f t="shared" si="2"/>
        <v>Sunday</v>
      </c>
    </row>
    <row r="140" spans="1:21" x14ac:dyDescent="0.3">
      <c r="A140" s="5" t="s">
        <v>731</v>
      </c>
      <c r="B140" s="3" t="s">
        <v>3704</v>
      </c>
      <c r="C140" s="5" t="s">
        <v>732</v>
      </c>
      <c r="D140" s="5" t="s">
        <v>82</v>
      </c>
      <c r="E140" s="5" t="s">
        <v>83</v>
      </c>
      <c r="F140" s="5" t="s">
        <v>23</v>
      </c>
      <c r="G140" t="s">
        <v>733</v>
      </c>
      <c r="H140" s="5" t="s">
        <v>3673</v>
      </c>
      <c r="I140" s="5" t="s">
        <v>734</v>
      </c>
      <c r="J140" s="5" t="s">
        <v>735</v>
      </c>
      <c r="K140" s="5" t="s">
        <v>56</v>
      </c>
      <c r="L140">
        <v>5</v>
      </c>
      <c r="M140">
        <v>120.17</v>
      </c>
      <c r="N140" s="8">
        <v>6.01</v>
      </c>
      <c r="O140" s="8">
        <v>594.84</v>
      </c>
      <c r="P140" s="8">
        <v>29.74</v>
      </c>
      <c r="Q140" s="10">
        <v>10</v>
      </c>
      <c r="R140" s="10">
        <v>15</v>
      </c>
      <c r="S140" s="8">
        <v>649.58000000000004</v>
      </c>
      <c r="T140">
        <v>41</v>
      </c>
      <c r="U140" t="str">
        <f t="shared" si="2"/>
        <v>Tuesday</v>
      </c>
    </row>
    <row r="141" spans="1:21" x14ac:dyDescent="0.3">
      <c r="A141" s="5" t="s">
        <v>736</v>
      </c>
      <c r="B141" s="3" t="s">
        <v>3678</v>
      </c>
      <c r="C141" s="5" t="s">
        <v>737</v>
      </c>
      <c r="D141" s="5" t="s">
        <v>21</v>
      </c>
      <c r="E141" s="5" t="s">
        <v>36</v>
      </c>
      <c r="F141" s="5" t="s">
        <v>23</v>
      </c>
      <c r="G141" t="s">
        <v>738</v>
      </c>
      <c r="H141" s="5" t="s">
        <v>3674</v>
      </c>
      <c r="I141" s="5" t="s">
        <v>739</v>
      </c>
      <c r="J141" s="5" t="s">
        <v>740</v>
      </c>
      <c r="K141" s="5" t="s">
        <v>73</v>
      </c>
      <c r="L141">
        <v>1</v>
      </c>
      <c r="M141">
        <v>130.26</v>
      </c>
      <c r="N141" s="8">
        <v>6.51</v>
      </c>
      <c r="O141" s="8">
        <v>123.75</v>
      </c>
      <c r="P141" s="8">
        <v>6.19</v>
      </c>
      <c r="Q141" s="10">
        <v>10</v>
      </c>
      <c r="R141" s="10">
        <v>0</v>
      </c>
      <c r="S141" s="8">
        <v>139.94</v>
      </c>
      <c r="T141">
        <v>38</v>
      </c>
      <c r="U141" t="str">
        <f t="shared" si="2"/>
        <v>Saturday</v>
      </c>
    </row>
    <row r="142" spans="1:21" x14ac:dyDescent="0.3">
      <c r="A142" s="5" t="s">
        <v>741</v>
      </c>
      <c r="B142" s="3" t="s">
        <v>3683</v>
      </c>
      <c r="C142" s="5" t="s">
        <v>742</v>
      </c>
      <c r="D142" s="5" t="s">
        <v>21</v>
      </c>
      <c r="E142" s="5" t="s">
        <v>36</v>
      </c>
      <c r="F142" s="5" t="s">
        <v>42</v>
      </c>
      <c r="G142" t="s">
        <v>743</v>
      </c>
      <c r="H142" s="5" t="s">
        <v>25</v>
      </c>
      <c r="I142" s="5" t="s">
        <v>744</v>
      </c>
      <c r="J142" s="5" t="s">
        <v>745</v>
      </c>
      <c r="K142" s="5" t="s">
        <v>28</v>
      </c>
      <c r="L142">
        <v>4</v>
      </c>
      <c r="M142">
        <v>104.84</v>
      </c>
      <c r="N142" s="8">
        <v>5.24</v>
      </c>
      <c r="O142" s="8">
        <v>414.12</v>
      </c>
      <c r="P142" s="8">
        <v>20.71</v>
      </c>
      <c r="Q142" s="10">
        <v>20</v>
      </c>
      <c r="R142" s="10">
        <v>10</v>
      </c>
      <c r="S142" s="8">
        <v>464.83</v>
      </c>
      <c r="T142">
        <v>28</v>
      </c>
      <c r="U142" t="str">
        <f t="shared" si="2"/>
        <v>Thursday</v>
      </c>
    </row>
    <row r="143" spans="1:21" x14ac:dyDescent="0.3">
      <c r="A143" s="5" t="s">
        <v>746</v>
      </c>
      <c r="B143" s="3" t="s">
        <v>3731</v>
      </c>
      <c r="C143" s="5" t="s">
        <v>747</v>
      </c>
      <c r="D143" s="5" t="s">
        <v>21</v>
      </c>
      <c r="E143" s="5" t="s">
        <v>76</v>
      </c>
      <c r="F143" s="5" t="s">
        <v>42</v>
      </c>
      <c r="G143" t="s">
        <v>748</v>
      </c>
      <c r="H143" s="5" t="s">
        <v>3673</v>
      </c>
      <c r="I143" s="5" t="s">
        <v>749</v>
      </c>
      <c r="J143" s="5" t="s">
        <v>750</v>
      </c>
      <c r="K143" s="5" t="s">
        <v>34</v>
      </c>
      <c r="L143">
        <v>1</v>
      </c>
      <c r="M143">
        <v>103.16</v>
      </c>
      <c r="N143" s="8">
        <v>10.32</v>
      </c>
      <c r="O143" s="8">
        <v>92.84</v>
      </c>
      <c r="P143" s="8">
        <v>4.6399999999999997</v>
      </c>
      <c r="Q143" s="10">
        <v>0</v>
      </c>
      <c r="R143" s="10">
        <v>0</v>
      </c>
      <c r="S143" s="8">
        <v>97.48</v>
      </c>
      <c r="T143">
        <v>29</v>
      </c>
      <c r="U143" t="str">
        <f t="shared" si="2"/>
        <v>Monday</v>
      </c>
    </row>
    <row r="144" spans="1:21" x14ac:dyDescent="0.3">
      <c r="A144" s="5" t="s">
        <v>751</v>
      </c>
      <c r="B144" s="3" t="s">
        <v>3705</v>
      </c>
      <c r="C144" s="5" t="s">
        <v>752</v>
      </c>
      <c r="D144" s="5" t="s">
        <v>21</v>
      </c>
      <c r="E144" s="5" t="s">
        <v>76</v>
      </c>
      <c r="F144" s="5" t="s">
        <v>42</v>
      </c>
      <c r="G144" t="s">
        <v>753</v>
      </c>
      <c r="H144" s="5" t="s">
        <v>3674</v>
      </c>
      <c r="I144" s="5" t="s">
        <v>754</v>
      </c>
      <c r="J144" s="5" t="s">
        <v>755</v>
      </c>
      <c r="K144" s="5" t="s">
        <v>145</v>
      </c>
      <c r="L144">
        <v>7</v>
      </c>
      <c r="M144">
        <v>178.25</v>
      </c>
      <c r="N144" s="8">
        <v>17.82</v>
      </c>
      <c r="O144" s="8">
        <v>1229.93</v>
      </c>
      <c r="P144" s="8">
        <v>61.5</v>
      </c>
      <c r="Q144" s="10">
        <v>10</v>
      </c>
      <c r="R144" s="10">
        <v>5</v>
      </c>
      <c r="S144" s="8">
        <v>1306.43</v>
      </c>
      <c r="T144">
        <v>18</v>
      </c>
      <c r="U144" t="str">
        <f t="shared" si="2"/>
        <v>Tuesday</v>
      </c>
    </row>
    <row r="145" spans="1:21" x14ac:dyDescent="0.3">
      <c r="A145" s="5" t="s">
        <v>756</v>
      </c>
      <c r="B145" s="3" t="s">
        <v>3713</v>
      </c>
      <c r="C145" s="5" t="s">
        <v>757</v>
      </c>
      <c r="D145" s="5" t="s">
        <v>21</v>
      </c>
      <c r="E145" s="5" t="s">
        <v>69</v>
      </c>
      <c r="F145" s="5" t="s">
        <v>42</v>
      </c>
      <c r="G145" t="s">
        <v>758</v>
      </c>
      <c r="H145" s="5" t="s">
        <v>25</v>
      </c>
      <c r="I145" s="5" t="s">
        <v>759</v>
      </c>
      <c r="J145" s="5" t="s">
        <v>760</v>
      </c>
      <c r="K145" s="5" t="s">
        <v>73</v>
      </c>
      <c r="L145">
        <v>4</v>
      </c>
      <c r="M145">
        <v>25.77</v>
      </c>
      <c r="N145" s="8">
        <v>2.58</v>
      </c>
      <c r="O145" s="8">
        <v>100.5</v>
      </c>
      <c r="P145" s="8">
        <v>5.03</v>
      </c>
      <c r="Q145" s="10">
        <v>20</v>
      </c>
      <c r="R145" s="10">
        <v>10</v>
      </c>
      <c r="S145" s="8">
        <v>135.53</v>
      </c>
      <c r="T145">
        <v>28</v>
      </c>
      <c r="U145" t="str">
        <f t="shared" si="2"/>
        <v>Tuesday</v>
      </c>
    </row>
    <row r="146" spans="1:21" x14ac:dyDescent="0.3">
      <c r="A146" s="5" t="s">
        <v>761</v>
      </c>
      <c r="B146" s="3" t="s">
        <v>3714</v>
      </c>
      <c r="C146" s="5" t="s">
        <v>762</v>
      </c>
      <c r="D146" s="5" t="s">
        <v>82</v>
      </c>
      <c r="E146" s="5" t="s">
        <v>83</v>
      </c>
      <c r="F146" s="5" t="s">
        <v>42</v>
      </c>
      <c r="G146" t="s">
        <v>763</v>
      </c>
      <c r="H146" s="5" t="s">
        <v>3677</v>
      </c>
      <c r="I146" s="5" t="s">
        <v>764</v>
      </c>
      <c r="J146" s="5" t="s">
        <v>765</v>
      </c>
      <c r="K146" s="5" t="s">
        <v>45</v>
      </c>
      <c r="L146">
        <v>2</v>
      </c>
      <c r="M146">
        <v>111.94</v>
      </c>
      <c r="N146" s="8">
        <v>16.79</v>
      </c>
      <c r="O146" s="8">
        <v>207.09</v>
      </c>
      <c r="P146" s="8">
        <v>10.35</v>
      </c>
      <c r="Q146" s="10">
        <v>30</v>
      </c>
      <c r="R146" s="10">
        <v>20</v>
      </c>
      <c r="S146" s="8">
        <v>267.44</v>
      </c>
      <c r="T146">
        <v>23</v>
      </c>
      <c r="U146" t="str">
        <f t="shared" si="2"/>
        <v>Thursday</v>
      </c>
    </row>
    <row r="147" spans="1:21" x14ac:dyDescent="0.3">
      <c r="A147" s="5" t="s">
        <v>766</v>
      </c>
      <c r="B147" s="3" t="s">
        <v>3681</v>
      </c>
      <c r="C147" s="5" t="s">
        <v>767</v>
      </c>
      <c r="D147" s="5" t="s">
        <v>21</v>
      </c>
      <c r="E147" s="5" t="s">
        <v>36</v>
      </c>
      <c r="F147" s="5" t="s">
        <v>23</v>
      </c>
      <c r="G147" t="s">
        <v>768</v>
      </c>
      <c r="H147" s="5" t="s">
        <v>3674</v>
      </c>
      <c r="I147" s="5" t="s">
        <v>769</v>
      </c>
      <c r="J147" s="5" t="s">
        <v>770</v>
      </c>
      <c r="K147" s="5" t="s">
        <v>103</v>
      </c>
      <c r="L147">
        <v>3</v>
      </c>
      <c r="M147">
        <v>39.96</v>
      </c>
      <c r="N147" s="8">
        <v>0</v>
      </c>
      <c r="O147" s="8">
        <v>119.88</v>
      </c>
      <c r="P147" s="8">
        <v>5.99</v>
      </c>
      <c r="Q147" s="10">
        <v>30</v>
      </c>
      <c r="R147" s="10">
        <v>20</v>
      </c>
      <c r="S147" s="8">
        <v>175.87</v>
      </c>
      <c r="T147">
        <v>34</v>
      </c>
      <c r="U147" t="str">
        <f t="shared" si="2"/>
        <v>Wednesday</v>
      </c>
    </row>
    <row r="148" spans="1:21" x14ac:dyDescent="0.3">
      <c r="A148" s="5" t="s">
        <v>771</v>
      </c>
      <c r="B148" s="3" t="s">
        <v>3699</v>
      </c>
      <c r="C148" s="5" t="s">
        <v>772</v>
      </c>
      <c r="D148" s="5" t="s">
        <v>21</v>
      </c>
      <c r="E148" s="5" t="s">
        <v>36</v>
      </c>
      <c r="F148" s="5" t="s">
        <v>23</v>
      </c>
      <c r="G148" t="s">
        <v>773</v>
      </c>
      <c r="H148" s="5" t="s">
        <v>100</v>
      </c>
      <c r="I148" s="5" t="s">
        <v>774</v>
      </c>
      <c r="J148" s="5" t="s">
        <v>775</v>
      </c>
      <c r="K148" s="5" t="s">
        <v>34</v>
      </c>
      <c r="L148">
        <v>1</v>
      </c>
      <c r="M148">
        <v>203.84</v>
      </c>
      <c r="N148" s="8">
        <v>20.38</v>
      </c>
      <c r="O148" s="8">
        <v>183.46</v>
      </c>
      <c r="P148" s="8">
        <v>9.17</v>
      </c>
      <c r="Q148" s="10">
        <v>20</v>
      </c>
      <c r="R148" s="10">
        <v>10</v>
      </c>
      <c r="S148" s="8">
        <v>222.63</v>
      </c>
      <c r="T148">
        <v>24</v>
      </c>
      <c r="U148" t="str">
        <f t="shared" si="2"/>
        <v>Sunday</v>
      </c>
    </row>
    <row r="149" spans="1:21" x14ac:dyDescent="0.3">
      <c r="A149" s="5" t="s">
        <v>776</v>
      </c>
      <c r="B149" s="3" t="s">
        <v>3726</v>
      </c>
      <c r="C149" s="5" t="s">
        <v>777</v>
      </c>
      <c r="D149" s="5" t="s">
        <v>21</v>
      </c>
      <c r="E149" s="5" t="s">
        <v>112</v>
      </c>
      <c r="F149" s="5" t="s">
        <v>42</v>
      </c>
      <c r="G149" t="s">
        <v>778</v>
      </c>
      <c r="H149" s="5" t="s">
        <v>3676</v>
      </c>
      <c r="I149" s="5" t="s">
        <v>779</v>
      </c>
      <c r="J149" s="5" t="s">
        <v>780</v>
      </c>
      <c r="K149" s="5" t="s">
        <v>145</v>
      </c>
      <c r="L149">
        <v>1</v>
      </c>
      <c r="M149">
        <v>124.11</v>
      </c>
      <c r="N149" s="8">
        <v>12.41</v>
      </c>
      <c r="O149" s="8">
        <v>111.7</v>
      </c>
      <c r="P149" s="8">
        <v>5.59</v>
      </c>
      <c r="Q149" s="10">
        <v>30</v>
      </c>
      <c r="R149" s="10">
        <v>20</v>
      </c>
      <c r="S149" s="8">
        <v>167.29</v>
      </c>
      <c r="T149">
        <v>37</v>
      </c>
      <c r="U149" t="str">
        <f t="shared" si="2"/>
        <v>Monday</v>
      </c>
    </row>
    <row r="150" spans="1:21" x14ac:dyDescent="0.3">
      <c r="A150" s="5" t="s">
        <v>781</v>
      </c>
      <c r="B150" s="3" t="s">
        <v>3698</v>
      </c>
      <c r="C150" s="5" t="s">
        <v>782</v>
      </c>
      <c r="D150" s="5" t="s">
        <v>21</v>
      </c>
      <c r="E150" s="5" t="s">
        <v>76</v>
      </c>
      <c r="F150" s="5" t="s">
        <v>23</v>
      </c>
      <c r="G150" t="s">
        <v>783</v>
      </c>
      <c r="H150" s="5" t="s">
        <v>3673</v>
      </c>
      <c r="I150" s="5" t="s">
        <v>784</v>
      </c>
      <c r="J150" s="5" t="s">
        <v>785</v>
      </c>
      <c r="K150" s="5" t="s">
        <v>45</v>
      </c>
      <c r="L150">
        <v>3</v>
      </c>
      <c r="M150">
        <v>199.52</v>
      </c>
      <c r="N150" s="8">
        <v>0</v>
      </c>
      <c r="O150" s="8">
        <v>598.56000000000006</v>
      </c>
      <c r="P150" s="8">
        <v>29.93</v>
      </c>
      <c r="Q150" s="10">
        <v>10</v>
      </c>
      <c r="R150" s="10">
        <v>15</v>
      </c>
      <c r="S150" s="8">
        <v>653.49</v>
      </c>
      <c r="T150">
        <v>29</v>
      </c>
      <c r="U150" t="str">
        <f t="shared" si="2"/>
        <v>Sunday</v>
      </c>
    </row>
    <row r="151" spans="1:21" x14ac:dyDescent="0.3">
      <c r="A151" s="5" t="s">
        <v>786</v>
      </c>
      <c r="B151" s="3" t="s">
        <v>3729</v>
      </c>
      <c r="C151" s="5" t="s">
        <v>787</v>
      </c>
      <c r="D151" s="5" t="s">
        <v>82</v>
      </c>
      <c r="E151" s="5" t="s">
        <v>83</v>
      </c>
      <c r="F151" s="5" t="s">
        <v>37</v>
      </c>
      <c r="G151" t="s">
        <v>788</v>
      </c>
      <c r="H151" s="5" t="s">
        <v>3677</v>
      </c>
      <c r="I151" s="5" t="s">
        <v>789</v>
      </c>
      <c r="J151" s="5" t="s">
        <v>790</v>
      </c>
      <c r="K151" s="5" t="s">
        <v>40</v>
      </c>
      <c r="L151">
        <v>2</v>
      </c>
      <c r="M151">
        <v>55.11</v>
      </c>
      <c r="N151" s="8">
        <v>8.27</v>
      </c>
      <c r="O151" s="8">
        <v>101.95</v>
      </c>
      <c r="P151" s="8">
        <v>5.0999999999999996</v>
      </c>
      <c r="Q151" s="10">
        <v>10</v>
      </c>
      <c r="R151" s="10">
        <v>0</v>
      </c>
      <c r="S151" s="8">
        <v>117.05</v>
      </c>
      <c r="T151">
        <v>22</v>
      </c>
      <c r="U151" t="str">
        <f t="shared" si="2"/>
        <v>Monday</v>
      </c>
    </row>
    <row r="152" spans="1:21" x14ac:dyDescent="0.3">
      <c r="A152" s="5" t="s">
        <v>791</v>
      </c>
      <c r="B152" s="3" t="s">
        <v>3710</v>
      </c>
      <c r="C152" s="5" t="s">
        <v>792</v>
      </c>
      <c r="D152" s="5" t="s">
        <v>21</v>
      </c>
      <c r="E152" s="5" t="s">
        <v>22</v>
      </c>
      <c r="F152" s="5" t="s">
        <v>42</v>
      </c>
      <c r="G152" t="s">
        <v>793</v>
      </c>
      <c r="H152" s="5" t="s">
        <v>3677</v>
      </c>
      <c r="I152" s="5" t="s">
        <v>794</v>
      </c>
      <c r="J152" s="5" t="s">
        <v>795</v>
      </c>
      <c r="K152" s="5" t="s">
        <v>103</v>
      </c>
      <c r="L152">
        <v>4</v>
      </c>
      <c r="M152">
        <v>68.56</v>
      </c>
      <c r="N152" s="8">
        <v>0</v>
      </c>
      <c r="O152" s="8">
        <v>274.24</v>
      </c>
      <c r="P152" s="8">
        <v>13.71</v>
      </c>
      <c r="Q152" s="10">
        <v>30</v>
      </c>
      <c r="R152" s="10">
        <v>5</v>
      </c>
      <c r="S152" s="8">
        <v>322.95</v>
      </c>
      <c r="T152">
        <v>14</v>
      </c>
      <c r="U152" t="str">
        <f t="shared" si="2"/>
        <v>Monday</v>
      </c>
    </row>
    <row r="153" spans="1:21" x14ac:dyDescent="0.3">
      <c r="A153" s="5" t="s">
        <v>796</v>
      </c>
      <c r="B153" s="3" t="s">
        <v>3685</v>
      </c>
      <c r="C153" s="5" t="s">
        <v>797</v>
      </c>
      <c r="D153" s="5" t="s">
        <v>106</v>
      </c>
      <c r="E153" s="5" t="s">
        <v>83</v>
      </c>
      <c r="F153" s="5" t="s">
        <v>23</v>
      </c>
      <c r="G153" t="s">
        <v>798</v>
      </c>
      <c r="H153" s="5" t="s">
        <v>3673</v>
      </c>
      <c r="I153" s="5" t="s">
        <v>799</v>
      </c>
      <c r="J153" s="5" t="s">
        <v>800</v>
      </c>
      <c r="K153" s="5" t="s">
        <v>40</v>
      </c>
      <c r="L153">
        <v>3</v>
      </c>
      <c r="M153">
        <v>173.54</v>
      </c>
      <c r="N153" s="8">
        <v>26.03</v>
      </c>
      <c r="O153" s="8">
        <v>494.59</v>
      </c>
      <c r="P153" s="8">
        <v>24.73</v>
      </c>
      <c r="Q153" s="10">
        <v>10</v>
      </c>
      <c r="R153" s="10">
        <v>15</v>
      </c>
      <c r="S153" s="8">
        <v>544.32000000000005</v>
      </c>
      <c r="T153">
        <v>27</v>
      </c>
      <c r="U153" t="str">
        <f t="shared" si="2"/>
        <v>Thursday</v>
      </c>
    </row>
    <row r="154" spans="1:21" x14ac:dyDescent="0.3">
      <c r="A154" s="5" t="s">
        <v>801</v>
      </c>
      <c r="B154" s="3" t="s">
        <v>3687</v>
      </c>
      <c r="C154" s="5" t="s">
        <v>802</v>
      </c>
      <c r="D154" s="5" t="s">
        <v>21</v>
      </c>
      <c r="E154" s="5" t="s">
        <v>22</v>
      </c>
      <c r="F154" s="5" t="s">
        <v>37</v>
      </c>
      <c r="G154" t="s">
        <v>803</v>
      </c>
      <c r="H154" s="5" t="s">
        <v>25</v>
      </c>
      <c r="I154" s="5" t="s">
        <v>804</v>
      </c>
      <c r="J154" s="5" t="s">
        <v>805</v>
      </c>
      <c r="K154" s="5" t="s">
        <v>34</v>
      </c>
      <c r="L154">
        <v>1</v>
      </c>
      <c r="M154">
        <v>51.47</v>
      </c>
      <c r="N154" s="8">
        <v>2.57</v>
      </c>
      <c r="O154" s="8">
        <v>48.9</v>
      </c>
      <c r="P154" s="8">
        <v>2.4500000000000002</v>
      </c>
      <c r="Q154" s="10">
        <v>0</v>
      </c>
      <c r="R154" s="10">
        <v>0</v>
      </c>
      <c r="S154" s="8">
        <v>51.35</v>
      </c>
      <c r="T154">
        <v>22</v>
      </c>
      <c r="U154" t="str">
        <f t="shared" si="2"/>
        <v>Friday</v>
      </c>
    </row>
    <row r="155" spans="1:21" x14ac:dyDescent="0.3">
      <c r="A155" s="5" t="s">
        <v>806</v>
      </c>
      <c r="B155" s="3" t="s">
        <v>3712</v>
      </c>
      <c r="C155" s="5" t="s">
        <v>807</v>
      </c>
      <c r="D155" s="5" t="s">
        <v>21</v>
      </c>
      <c r="E155" s="5" t="s">
        <v>112</v>
      </c>
      <c r="F155" s="5" t="s">
        <v>23</v>
      </c>
      <c r="G155" t="s">
        <v>808</v>
      </c>
      <c r="H155" s="5" t="s">
        <v>100</v>
      </c>
      <c r="I155" s="5" t="s">
        <v>809</v>
      </c>
      <c r="J155" s="5" t="s">
        <v>810</v>
      </c>
      <c r="K155" s="5" t="s">
        <v>34</v>
      </c>
      <c r="L155">
        <v>2</v>
      </c>
      <c r="M155">
        <v>185.6</v>
      </c>
      <c r="N155" s="8">
        <v>9.2799999999999994</v>
      </c>
      <c r="O155" s="8">
        <v>361.92</v>
      </c>
      <c r="P155" s="8">
        <v>18.100000000000001</v>
      </c>
      <c r="Q155" s="10">
        <v>30</v>
      </c>
      <c r="R155" s="10">
        <v>20</v>
      </c>
      <c r="S155" s="8">
        <v>430.02</v>
      </c>
      <c r="T155">
        <v>37</v>
      </c>
      <c r="U155" t="str">
        <f t="shared" si="2"/>
        <v>Thursday</v>
      </c>
    </row>
    <row r="156" spans="1:21" x14ac:dyDescent="0.3">
      <c r="A156" s="5" t="s">
        <v>811</v>
      </c>
      <c r="B156" s="3" t="s">
        <v>3721</v>
      </c>
      <c r="C156" s="5" t="s">
        <v>812</v>
      </c>
      <c r="D156" s="5" t="s">
        <v>21</v>
      </c>
      <c r="E156" s="5" t="s">
        <v>36</v>
      </c>
      <c r="F156" s="5" t="s">
        <v>23</v>
      </c>
      <c r="G156" t="s">
        <v>813</v>
      </c>
      <c r="H156" s="5" t="s">
        <v>3677</v>
      </c>
      <c r="I156" s="5" t="s">
        <v>814</v>
      </c>
      <c r="J156" s="5" t="s">
        <v>815</v>
      </c>
      <c r="K156" s="5" t="s">
        <v>40</v>
      </c>
      <c r="L156">
        <v>6</v>
      </c>
      <c r="M156">
        <v>40.409999999999997</v>
      </c>
      <c r="N156" s="8">
        <v>0</v>
      </c>
      <c r="O156" s="8">
        <v>242.46</v>
      </c>
      <c r="P156" s="8">
        <v>12.12</v>
      </c>
      <c r="Q156" s="10">
        <v>30</v>
      </c>
      <c r="R156" s="10">
        <v>10</v>
      </c>
      <c r="S156" s="8">
        <v>294.58</v>
      </c>
      <c r="T156">
        <v>32</v>
      </c>
      <c r="U156" t="str">
        <f t="shared" si="2"/>
        <v>Tuesday</v>
      </c>
    </row>
    <row r="157" spans="1:21" x14ac:dyDescent="0.3">
      <c r="A157" s="5" t="s">
        <v>816</v>
      </c>
      <c r="B157" s="3" t="s">
        <v>3694</v>
      </c>
      <c r="C157" s="5" t="s">
        <v>817</v>
      </c>
      <c r="D157" s="5" t="s">
        <v>21</v>
      </c>
      <c r="E157" s="5" t="s">
        <v>69</v>
      </c>
      <c r="F157" s="5" t="s">
        <v>42</v>
      </c>
      <c r="G157" t="s">
        <v>818</v>
      </c>
      <c r="H157" s="5" t="s">
        <v>3673</v>
      </c>
      <c r="I157" s="5" t="s">
        <v>819</v>
      </c>
      <c r="J157" s="5" t="s">
        <v>820</v>
      </c>
      <c r="K157" s="5" t="s">
        <v>145</v>
      </c>
      <c r="L157">
        <v>3</v>
      </c>
      <c r="M157">
        <v>119.87</v>
      </c>
      <c r="N157" s="8">
        <v>0</v>
      </c>
      <c r="O157" s="8">
        <v>359.61</v>
      </c>
      <c r="P157" s="8">
        <v>17.98</v>
      </c>
      <c r="Q157" s="10">
        <v>0</v>
      </c>
      <c r="R157" s="10">
        <v>10</v>
      </c>
      <c r="S157" s="8">
        <v>387.59</v>
      </c>
      <c r="T157">
        <v>41</v>
      </c>
      <c r="U157" t="str">
        <f t="shared" si="2"/>
        <v>Thursday</v>
      </c>
    </row>
    <row r="158" spans="1:21" x14ac:dyDescent="0.3">
      <c r="A158" s="5" t="s">
        <v>821</v>
      </c>
      <c r="B158" s="3" t="s">
        <v>3690</v>
      </c>
      <c r="C158" s="5" t="s">
        <v>822</v>
      </c>
      <c r="D158" s="5" t="s">
        <v>21</v>
      </c>
      <c r="E158" s="5" t="s">
        <v>76</v>
      </c>
      <c r="F158" s="5" t="s">
        <v>23</v>
      </c>
      <c r="G158" t="s">
        <v>823</v>
      </c>
      <c r="H158" s="5" t="s">
        <v>3673</v>
      </c>
      <c r="I158" s="5" t="s">
        <v>824</v>
      </c>
      <c r="J158" s="5" t="s">
        <v>825</v>
      </c>
      <c r="K158" s="5" t="s">
        <v>73</v>
      </c>
      <c r="L158">
        <v>4</v>
      </c>
      <c r="M158">
        <v>220.66</v>
      </c>
      <c r="N158" s="8">
        <v>33.1</v>
      </c>
      <c r="O158" s="8">
        <v>849.54</v>
      </c>
      <c r="P158" s="8">
        <v>42.48</v>
      </c>
      <c r="Q158" s="10">
        <v>20</v>
      </c>
      <c r="R158" s="10">
        <v>15</v>
      </c>
      <c r="S158" s="8">
        <v>927.02</v>
      </c>
      <c r="T158">
        <v>19</v>
      </c>
      <c r="U158" t="str">
        <f t="shared" si="2"/>
        <v>Sunday</v>
      </c>
    </row>
    <row r="159" spans="1:21" x14ac:dyDescent="0.3">
      <c r="A159" s="5" t="s">
        <v>826</v>
      </c>
      <c r="B159" s="3" t="s">
        <v>3692</v>
      </c>
      <c r="C159" s="5" t="s">
        <v>827</v>
      </c>
      <c r="D159" s="5" t="s">
        <v>21</v>
      </c>
      <c r="E159" s="5" t="s">
        <v>22</v>
      </c>
      <c r="F159" s="5" t="s">
        <v>23</v>
      </c>
      <c r="H159" s="5" t="s">
        <v>3674</v>
      </c>
      <c r="I159" s="5" t="s">
        <v>828</v>
      </c>
      <c r="J159" s="5" t="s">
        <v>829</v>
      </c>
      <c r="K159" s="5" t="s">
        <v>45</v>
      </c>
      <c r="L159">
        <v>3</v>
      </c>
      <c r="M159">
        <v>87.95</v>
      </c>
      <c r="N159" s="8">
        <v>8.7899999999999991</v>
      </c>
      <c r="O159" s="8">
        <v>255.06</v>
      </c>
      <c r="P159" s="8">
        <v>12.75</v>
      </c>
      <c r="Q159" s="10">
        <v>30</v>
      </c>
      <c r="R159" s="10">
        <v>5</v>
      </c>
      <c r="S159" s="8">
        <v>302.81000000000012</v>
      </c>
      <c r="T159">
        <v>26</v>
      </c>
      <c r="U159" t="str">
        <f t="shared" si="2"/>
        <v>Wednesday</v>
      </c>
    </row>
    <row r="160" spans="1:21" x14ac:dyDescent="0.3">
      <c r="A160" s="5" t="s">
        <v>830</v>
      </c>
      <c r="B160" s="3" t="s">
        <v>3702</v>
      </c>
      <c r="C160" s="5" t="s">
        <v>831</v>
      </c>
      <c r="D160" s="5" t="s">
        <v>21</v>
      </c>
      <c r="E160" s="5" t="s">
        <v>22</v>
      </c>
      <c r="F160" s="5" t="s">
        <v>23</v>
      </c>
      <c r="H160" s="5" t="s">
        <v>3675</v>
      </c>
      <c r="I160" s="5" t="s">
        <v>832</v>
      </c>
      <c r="J160" s="5" t="s">
        <v>833</v>
      </c>
      <c r="K160" s="5" t="s">
        <v>34</v>
      </c>
      <c r="L160">
        <v>3</v>
      </c>
      <c r="M160">
        <v>168.57</v>
      </c>
      <c r="N160" s="8">
        <v>16.86</v>
      </c>
      <c r="O160" s="8">
        <v>488.85</v>
      </c>
      <c r="P160" s="8">
        <v>24.44</v>
      </c>
      <c r="Q160" s="10">
        <v>10</v>
      </c>
      <c r="R160" s="10">
        <v>20</v>
      </c>
      <c r="S160" s="8">
        <v>543.29</v>
      </c>
      <c r="T160">
        <v>11</v>
      </c>
      <c r="U160" t="str">
        <f t="shared" si="2"/>
        <v>Monday</v>
      </c>
    </row>
    <row r="161" spans="1:21" x14ac:dyDescent="0.3">
      <c r="A161" s="5" t="s">
        <v>834</v>
      </c>
      <c r="B161" s="3" t="s">
        <v>3721</v>
      </c>
      <c r="C161" s="5" t="s">
        <v>835</v>
      </c>
      <c r="D161" s="5" t="s">
        <v>106</v>
      </c>
      <c r="E161" s="5" t="s">
        <v>83</v>
      </c>
      <c r="F161" s="5" t="s">
        <v>37</v>
      </c>
      <c r="G161" t="s">
        <v>836</v>
      </c>
      <c r="H161" s="5" t="s">
        <v>3673</v>
      </c>
      <c r="I161" s="5" t="s">
        <v>837</v>
      </c>
      <c r="J161" s="5" t="s">
        <v>838</v>
      </c>
      <c r="K161" s="5" t="s">
        <v>45</v>
      </c>
      <c r="L161">
        <v>1</v>
      </c>
      <c r="M161">
        <v>59.11</v>
      </c>
      <c r="N161" s="8">
        <v>5.91</v>
      </c>
      <c r="O161" s="8">
        <v>53.2</v>
      </c>
      <c r="P161" s="8">
        <v>2.66</v>
      </c>
      <c r="Q161" s="10">
        <v>20</v>
      </c>
      <c r="R161" s="10">
        <v>10</v>
      </c>
      <c r="S161" s="8">
        <v>85.86</v>
      </c>
      <c r="T161">
        <v>36</v>
      </c>
      <c r="U161" t="str">
        <f t="shared" si="2"/>
        <v>Tuesday</v>
      </c>
    </row>
    <row r="162" spans="1:21" x14ac:dyDescent="0.3">
      <c r="A162" s="5" t="s">
        <v>839</v>
      </c>
      <c r="B162" s="3" t="s">
        <v>3732</v>
      </c>
      <c r="C162" s="5" t="s">
        <v>840</v>
      </c>
      <c r="D162" s="5" t="s">
        <v>21</v>
      </c>
      <c r="E162" s="5" t="s">
        <v>76</v>
      </c>
      <c r="F162" s="5" t="s">
        <v>42</v>
      </c>
      <c r="G162" t="s">
        <v>841</v>
      </c>
      <c r="H162" s="5" t="s">
        <v>3673</v>
      </c>
      <c r="I162" s="5" t="s">
        <v>842</v>
      </c>
      <c r="J162" s="5" t="s">
        <v>843</v>
      </c>
      <c r="K162" s="5" t="s">
        <v>40</v>
      </c>
      <c r="L162">
        <v>1</v>
      </c>
      <c r="M162">
        <v>74.459999999999994</v>
      </c>
      <c r="N162" s="8">
        <v>7.45</v>
      </c>
      <c r="O162" s="8">
        <v>67.009999999999991</v>
      </c>
      <c r="P162" s="8">
        <v>3.35</v>
      </c>
      <c r="Q162" s="10">
        <v>0</v>
      </c>
      <c r="R162" s="10">
        <v>15</v>
      </c>
      <c r="S162" s="8">
        <v>85.359999999999985</v>
      </c>
      <c r="T162">
        <v>25</v>
      </c>
      <c r="U162" t="str">
        <f t="shared" si="2"/>
        <v>Wednesday</v>
      </c>
    </row>
    <row r="163" spans="1:21" x14ac:dyDescent="0.3">
      <c r="A163" s="5" t="s">
        <v>844</v>
      </c>
      <c r="B163" s="3" t="s">
        <v>3721</v>
      </c>
      <c r="C163" s="5" t="s">
        <v>845</v>
      </c>
      <c r="D163" s="5" t="s">
        <v>82</v>
      </c>
      <c r="E163" s="5" t="s">
        <v>83</v>
      </c>
      <c r="F163" s="5" t="s">
        <v>23</v>
      </c>
      <c r="G163" t="s">
        <v>846</v>
      </c>
      <c r="H163" s="5" t="s">
        <v>3675</v>
      </c>
      <c r="I163" s="5" t="s">
        <v>847</v>
      </c>
      <c r="J163" s="5" t="s">
        <v>848</v>
      </c>
      <c r="K163" s="5" t="s">
        <v>145</v>
      </c>
      <c r="L163">
        <v>3</v>
      </c>
      <c r="M163">
        <v>26.65</v>
      </c>
      <c r="N163" s="8">
        <v>4</v>
      </c>
      <c r="O163" s="8">
        <v>75.949999999999989</v>
      </c>
      <c r="P163" s="8">
        <v>3.8</v>
      </c>
      <c r="Q163" s="10">
        <v>10</v>
      </c>
      <c r="R163" s="10">
        <v>10</v>
      </c>
      <c r="S163" s="8">
        <v>99.749999999999986</v>
      </c>
      <c r="T163">
        <v>41</v>
      </c>
      <c r="U163" t="str">
        <f t="shared" si="2"/>
        <v>Tuesday</v>
      </c>
    </row>
    <row r="164" spans="1:21" x14ac:dyDescent="0.3">
      <c r="A164" s="5" t="s">
        <v>849</v>
      </c>
      <c r="B164" s="3" t="s">
        <v>3712</v>
      </c>
      <c r="C164" s="5" t="s">
        <v>850</v>
      </c>
      <c r="D164" s="5" t="s">
        <v>82</v>
      </c>
      <c r="E164" s="5" t="s">
        <v>83</v>
      </c>
      <c r="F164" s="5" t="s">
        <v>37</v>
      </c>
      <c r="G164" t="s">
        <v>851</v>
      </c>
      <c r="H164" s="5" t="s">
        <v>3673</v>
      </c>
      <c r="I164" s="5" t="s">
        <v>852</v>
      </c>
      <c r="J164" s="5" t="s">
        <v>853</v>
      </c>
      <c r="K164" s="5" t="s">
        <v>145</v>
      </c>
      <c r="L164">
        <v>4</v>
      </c>
      <c r="M164">
        <v>49.64</v>
      </c>
      <c r="N164" s="8">
        <v>2.48</v>
      </c>
      <c r="O164" s="8">
        <v>196.08</v>
      </c>
      <c r="P164" s="8">
        <v>9.8000000000000007</v>
      </c>
      <c r="Q164" s="10">
        <v>20</v>
      </c>
      <c r="R164" s="10">
        <v>0</v>
      </c>
      <c r="S164" s="8">
        <v>225.88</v>
      </c>
      <c r="T164">
        <v>12</v>
      </c>
      <c r="U164" t="str">
        <f t="shared" si="2"/>
        <v>Thursday</v>
      </c>
    </row>
    <row r="165" spans="1:21" x14ac:dyDescent="0.3">
      <c r="A165" s="5" t="s">
        <v>854</v>
      </c>
      <c r="B165" s="3" t="s">
        <v>3708</v>
      </c>
      <c r="C165" s="5" t="s">
        <v>855</v>
      </c>
      <c r="D165" s="5" t="s">
        <v>21</v>
      </c>
      <c r="E165" s="5" t="s">
        <v>112</v>
      </c>
      <c r="F165" s="5" t="s">
        <v>42</v>
      </c>
      <c r="G165" t="s">
        <v>856</v>
      </c>
      <c r="H165" s="5" t="s">
        <v>3676</v>
      </c>
      <c r="I165" s="5" t="s">
        <v>857</v>
      </c>
      <c r="J165" s="5" t="s">
        <v>858</v>
      </c>
      <c r="K165" s="5" t="s">
        <v>28</v>
      </c>
      <c r="L165">
        <v>6</v>
      </c>
      <c r="M165">
        <v>145.13999999999999</v>
      </c>
      <c r="N165" s="8">
        <v>7.26</v>
      </c>
      <c r="O165" s="8">
        <v>863.57999999999993</v>
      </c>
      <c r="P165" s="8">
        <v>43.18</v>
      </c>
      <c r="Q165" s="10">
        <v>10</v>
      </c>
      <c r="R165" s="10">
        <v>20</v>
      </c>
      <c r="S165" s="8">
        <v>936.75999999999988</v>
      </c>
      <c r="T165">
        <v>24.67</v>
      </c>
      <c r="U165" t="str">
        <f t="shared" si="2"/>
        <v>Sunday</v>
      </c>
    </row>
    <row r="166" spans="1:21" x14ac:dyDescent="0.3">
      <c r="A166" s="5" t="s">
        <v>859</v>
      </c>
      <c r="B166" s="3" t="s">
        <v>3717</v>
      </c>
      <c r="C166" s="5" t="s">
        <v>860</v>
      </c>
      <c r="D166" s="5" t="s">
        <v>82</v>
      </c>
      <c r="E166" s="5" t="s">
        <v>83</v>
      </c>
      <c r="F166" s="5" t="s">
        <v>23</v>
      </c>
      <c r="G166" t="s">
        <v>861</v>
      </c>
      <c r="H166" s="5" t="s">
        <v>3677</v>
      </c>
      <c r="I166" s="5" t="s">
        <v>862</v>
      </c>
      <c r="J166" s="5" t="s">
        <v>863</v>
      </c>
      <c r="K166" s="5" t="s">
        <v>56</v>
      </c>
      <c r="L166">
        <v>3</v>
      </c>
      <c r="M166">
        <v>79.150000000000006</v>
      </c>
      <c r="N166" s="8">
        <v>7.92</v>
      </c>
      <c r="O166" s="8">
        <v>229.53</v>
      </c>
      <c r="P166" s="8">
        <v>11.48</v>
      </c>
      <c r="Q166" s="10">
        <v>30</v>
      </c>
      <c r="R166" s="10">
        <v>5</v>
      </c>
      <c r="S166" s="8">
        <v>276.01</v>
      </c>
      <c r="T166">
        <v>24.67</v>
      </c>
      <c r="U166" t="str">
        <f t="shared" si="2"/>
        <v>Tuesday</v>
      </c>
    </row>
    <row r="167" spans="1:21" x14ac:dyDescent="0.3">
      <c r="A167" s="5" t="s">
        <v>864</v>
      </c>
      <c r="B167" s="3" t="s">
        <v>3691</v>
      </c>
      <c r="C167" s="5" t="s">
        <v>865</v>
      </c>
      <c r="D167" s="5" t="s">
        <v>21</v>
      </c>
      <c r="E167" s="5" t="s">
        <v>69</v>
      </c>
      <c r="F167" s="5" t="s">
        <v>37</v>
      </c>
      <c r="G167" t="s">
        <v>866</v>
      </c>
      <c r="H167" s="5" t="s">
        <v>100</v>
      </c>
      <c r="I167" s="5" t="s">
        <v>867</v>
      </c>
      <c r="J167" s="5" t="s">
        <v>868</v>
      </c>
      <c r="K167" s="5" t="s">
        <v>145</v>
      </c>
      <c r="L167">
        <v>5</v>
      </c>
      <c r="M167">
        <v>161.66</v>
      </c>
      <c r="N167" s="8">
        <v>8.08</v>
      </c>
      <c r="O167" s="8">
        <v>800.21999999999991</v>
      </c>
      <c r="P167" s="8">
        <v>40.01</v>
      </c>
      <c r="Q167" s="10">
        <v>30</v>
      </c>
      <c r="R167" s="10">
        <v>10</v>
      </c>
      <c r="S167" s="8">
        <v>880.2299999999999</v>
      </c>
      <c r="T167">
        <v>24.67</v>
      </c>
      <c r="U167" t="str">
        <f t="shared" si="2"/>
        <v>Friday</v>
      </c>
    </row>
    <row r="168" spans="1:21" x14ac:dyDescent="0.3">
      <c r="A168" s="5" t="s">
        <v>869</v>
      </c>
      <c r="B168" s="3" t="s">
        <v>3732</v>
      </c>
      <c r="C168" s="5" t="s">
        <v>870</v>
      </c>
      <c r="D168" s="5" t="s">
        <v>21</v>
      </c>
      <c r="E168" s="5" t="s">
        <v>22</v>
      </c>
      <c r="F168" s="5" t="s">
        <v>42</v>
      </c>
      <c r="G168" t="s">
        <v>871</v>
      </c>
      <c r="H168" s="5" t="s">
        <v>3673</v>
      </c>
      <c r="I168" s="5" t="s">
        <v>872</v>
      </c>
      <c r="J168" s="5" t="s">
        <v>873</v>
      </c>
      <c r="K168" s="5" t="s">
        <v>40</v>
      </c>
      <c r="L168">
        <v>1</v>
      </c>
      <c r="M168">
        <v>10.69</v>
      </c>
      <c r="N168" s="8">
        <v>1.07</v>
      </c>
      <c r="O168" s="8">
        <v>9.6199999999999992</v>
      </c>
      <c r="P168" s="8">
        <v>0.48</v>
      </c>
      <c r="Q168" s="10">
        <v>20</v>
      </c>
      <c r="R168" s="10">
        <v>10</v>
      </c>
      <c r="S168" s="8">
        <v>40.1</v>
      </c>
      <c r="T168">
        <v>17</v>
      </c>
      <c r="U168" t="str">
        <f t="shared" si="2"/>
        <v>Wednesday</v>
      </c>
    </row>
    <row r="169" spans="1:21" x14ac:dyDescent="0.3">
      <c r="A169" s="5" t="s">
        <v>874</v>
      </c>
      <c r="B169" s="3" t="s">
        <v>3733</v>
      </c>
      <c r="C169" s="5" t="s">
        <v>875</v>
      </c>
      <c r="D169" s="5" t="s">
        <v>21</v>
      </c>
      <c r="E169" s="5" t="s">
        <v>22</v>
      </c>
      <c r="F169" s="5" t="s">
        <v>23</v>
      </c>
      <c r="G169" t="s">
        <v>876</v>
      </c>
      <c r="H169" s="5" t="s">
        <v>3676</v>
      </c>
      <c r="I169" s="5" t="s">
        <v>877</v>
      </c>
      <c r="J169" s="5" t="s">
        <v>878</v>
      </c>
      <c r="K169" s="5" t="s">
        <v>196</v>
      </c>
      <c r="L169">
        <v>5</v>
      </c>
      <c r="M169">
        <v>118.8</v>
      </c>
      <c r="N169" s="8">
        <v>11.88</v>
      </c>
      <c r="O169" s="8">
        <v>582.12</v>
      </c>
      <c r="P169" s="8">
        <v>29.11</v>
      </c>
      <c r="Q169" s="10">
        <v>0</v>
      </c>
      <c r="R169" s="10">
        <v>20</v>
      </c>
      <c r="S169" s="8">
        <v>631.23</v>
      </c>
      <c r="T169">
        <v>28</v>
      </c>
      <c r="U169" t="str">
        <f t="shared" si="2"/>
        <v>Sunday</v>
      </c>
    </row>
    <row r="170" spans="1:21" x14ac:dyDescent="0.3">
      <c r="A170" s="5" t="s">
        <v>879</v>
      </c>
      <c r="B170" s="3" t="s">
        <v>3719</v>
      </c>
      <c r="C170" s="5" t="s">
        <v>880</v>
      </c>
      <c r="D170" s="5" t="s">
        <v>21</v>
      </c>
      <c r="E170" s="5" t="s">
        <v>69</v>
      </c>
      <c r="F170" s="5" t="s">
        <v>37</v>
      </c>
      <c r="G170" t="s">
        <v>881</v>
      </c>
      <c r="H170" s="5" t="s">
        <v>3673</v>
      </c>
      <c r="I170" s="5" t="s">
        <v>882</v>
      </c>
      <c r="J170" s="5" t="s">
        <v>883</v>
      </c>
      <c r="K170" s="5" t="s">
        <v>28</v>
      </c>
      <c r="L170">
        <v>1</v>
      </c>
      <c r="M170">
        <v>167.36</v>
      </c>
      <c r="N170" s="8">
        <v>25.1</v>
      </c>
      <c r="O170" s="8">
        <v>142.26</v>
      </c>
      <c r="P170" s="8">
        <v>7.11</v>
      </c>
      <c r="Q170" s="10">
        <v>0</v>
      </c>
      <c r="R170" s="10">
        <v>10</v>
      </c>
      <c r="S170" s="8">
        <v>159.37</v>
      </c>
      <c r="T170">
        <v>48</v>
      </c>
      <c r="U170" t="str">
        <f t="shared" si="2"/>
        <v>Sunday</v>
      </c>
    </row>
    <row r="171" spans="1:21" x14ac:dyDescent="0.3">
      <c r="A171" s="5" t="s">
        <v>884</v>
      </c>
      <c r="B171" s="3" t="s">
        <v>3710</v>
      </c>
      <c r="C171" s="5" t="s">
        <v>885</v>
      </c>
      <c r="D171" s="5" t="s">
        <v>21</v>
      </c>
      <c r="E171" s="5" t="s">
        <v>112</v>
      </c>
      <c r="F171" s="5" t="s">
        <v>37</v>
      </c>
      <c r="G171" t="s">
        <v>886</v>
      </c>
      <c r="H171" s="5" t="s">
        <v>25</v>
      </c>
      <c r="I171" s="5" t="s">
        <v>887</v>
      </c>
      <c r="J171" s="5" t="s">
        <v>888</v>
      </c>
      <c r="K171" s="5" t="s">
        <v>45</v>
      </c>
      <c r="L171">
        <v>3</v>
      </c>
      <c r="M171">
        <v>145.51</v>
      </c>
      <c r="N171" s="8">
        <v>0</v>
      </c>
      <c r="O171" s="8">
        <v>436.53</v>
      </c>
      <c r="P171" s="8">
        <v>21.83</v>
      </c>
      <c r="Q171" s="10">
        <v>20</v>
      </c>
      <c r="R171" s="10">
        <v>10</v>
      </c>
      <c r="S171" s="8">
        <v>488.36</v>
      </c>
      <c r="T171">
        <v>28</v>
      </c>
      <c r="U171" t="str">
        <f t="shared" si="2"/>
        <v>Monday</v>
      </c>
    </row>
    <row r="172" spans="1:21" x14ac:dyDescent="0.3">
      <c r="A172" s="5" t="s">
        <v>889</v>
      </c>
      <c r="B172" s="3" t="s">
        <v>3717</v>
      </c>
      <c r="C172" s="5" t="s">
        <v>890</v>
      </c>
      <c r="D172" s="5" t="s">
        <v>21</v>
      </c>
      <c r="E172" s="5" t="s">
        <v>22</v>
      </c>
      <c r="F172" s="5" t="s">
        <v>42</v>
      </c>
      <c r="G172" t="s">
        <v>891</v>
      </c>
      <c r="H172" s="5" t="s">
        <v>3673</v>
      </c>
      <c r="I172" s="5" t="s">
        <v>892</v>
      </c>
      <c r="J172" s="5" t="s">
        <v>893</v>
      </c>
      <c r="K172" s="5" t="s">
        <v>145</v>
      </c>
      <c r="L172">
        <v>4</v>
      </c>
      <c r="M172">
        <v>177.4</v>
      </c>
      <c r="N172" s="8">
        <v>26.61</v>
      </c>
      <c r="O172" s="8">
        <v>682.99</v>
      </c>
      <c r="P172" s="8">
        <v>34.15</v>
      </c>
      <c r="Q172" s="10">
        <v>10</v>
      </c>
      <c r="R172" s="10">
        <v>5</v>
      </c>
      <c r="S172" s="8">
        <v>732.14</v>
      </c>
      <c r="T172">
        <v>22</v>
      </c>
      <c r="U172" t="str">
        <f t="shared" si="2"/>
        <v>Tuesday</v>
      </c>
    </row>
    <row r="173" spans="1:21" x14ac:dyDescent="0.3">
      <c r="A173" s="5" t="s">
        <v>894</v>
      </c>
      <c r="B173" s="3" t="s">
        <v>3678</v>
      </c>
      <c r="C173" s="5" t="s">
        <v>895</v>
      </c>
      <c r="D173" s="5" t="s">
        <v>21</v>
      </c>
      <c r="E173" s="5" t="s">
        <v>69</v>
      </c>
      <c r="F173" s="5" t="s">
        <v>42</v>
      </c>
      <c r="G173" t="s">
        <v>896</v>
      </c>
      <c r="H173" s="5" t="s">
        <v>25</v>
      </c>
      <c r="I173" s="5" t="s">
        <v>897</v>
      </c>
      <c r="J173" s="5" t="s">
        <v>898</v>
      </c>
      <c r="K173" s="5" t="s">
        <v>145</v>
      </c>
      <c r="L173">
        <v>2</v>
      </c>
      <c r="M173">
        <v>77.739999999999995</v>
      </c>
      <c r="N173" s="8">
        <v>0</v>
      </c>
      <c r="O173" s="8">
        <v>155.47999999999999</v>
      </c>
      <c r="P173" s="8">
        <v>7.77</v>
      </c>
      <c r="Q173" s="10">
        <v>30</v>
      </c>
      <c r="R173" s="10">
        <v>10</v>
      </c>
      <c r="S173" s="8">
        <v>203.25</v>
      </c>
      <c r="T173">
        <v>22</v>
      </c>
      <c r="U173" t="str">
        <f t="shared" si="2"/>
        <v>Saturday</v>
      </c>
    </row>
    <row r="174" spans="1:21" x14ac:dyDescent="0.3">
      <c r="A174" s="5" t="s">
        <v>899</v>
      </c>
      <c r="B174" s="3" t="s">
        <v>3702</v>
      </c>
      <c r="C174" s="5" t="s">
        <v>900</v>
      </c>
      <c r="D174" s="5" t="s">
        <v>21</v>
      </c>
      <c r="E174" s="5" t="s">
        <v>112</v>
      </c>
      <c r="F174" s="5" t="s">
        <v>23</v>
      </c>
      <c r="G174" t="s">
        <v>901</v>
      </c>
      <c r="H174" s="5" t="s">
        <v>3673</v>
      </c>
      <c r="I174" s="5" t="s">
        <v>902</v>
      </c>
      <c r="J174" s="5" t="s">
        <v>903</v>
      </c>
      <c r="K174" s="5" t="s">
        <v>145</v>
      </c>
      <c r="L174">
        <v>5</v>
      </c>
      <c r="M174">
        <v>122.35</v>
      </c>
      <c r="N174" s="8">
        <v>0</v>
      </c>
      <c r="O174" s="8">
        <v>611.75</v>
      </c>
      <c r="P174" s="8">
        <v>30.59</v>
      </c>
      <c r="Q174" s="10">
        <v>0</v>
      </c>
      <c r="R174" s="10">
        <v>10</v>
      </c>
      <c r="S174" s="8">
        <v>652.34</v>
      </c>
      <c r="T174">
        <v>46</v>
      </c>
      <c r="U174" t="str">
        <f t="shared" si="2"/>
        <v>Monday</v>
      </c>
    </row>
    <row r="175" spans="1:21" x14ac:dyDescent="0.3">
      <c r="A175" s="5" t="s">
        <v>904</v>
      </c>
      <c r="B175" s="3" t="s">
        <v>3714</v>
      </c>
      <c r="C175" s="5" t="s">
        <v>905</v>
      </c>
      <c r="D175" s="5" t="s">
        <v>21</v>
      </c>
      <c r="E175" s="5" t="s">
        <v>76</v>
      </c>
      <c r="F175" s="5" t="s">
        <v>23</v>
      </c>
      <c r="G175" t="s">
        <v>906</v>
      </c>
      <c r="H175" s="5" t="s">
        <v>3675</v>
      </c>
      <c r="I175" s="5" t="s">
        <v>907</v>
      </c>
      <c r="J175" s="5" t="s">
        <v>908</v>
      </c>
      <c r="K175" s="5" t="s">
        <v>56</v>
      </c>
      <c r="L175">
        <v>1</v>
      </c>
      <c r="M175">
        <v>146.94</v>
      </c>
      <c r="N175" s="8">
        <v>7.35</v>
      </c>
      <c r="O175" s="8">
        <v>139.59</v>
      </c>
      <c r="P175" s="8">
        <v>6.98</v>
      </c>
      <c r="Q175" s="10">
        <v>20</v>
      </c>
      <c r="R175" s="10">
        <v>5</v>
      </c>
      <c r="S175" s="8">
        <v>171.57</v>
      </c>
      <c r="T175">
        <v>19</v>
      </c>
      <c r="U175" t="str">
        <f t="shared" si="2"/>
        <v>Thursday</v>
      </c>
    </row>
    <row r="176" spans="1:21" x14ac:dyDescent="0.3">
      <c r="A176" s="5" t="s">
        <v>909</v>
      </c>
      <c r="B176" s="3" t="s">
        <v>3707</v>
      </c>
      <c r="C176" s="5" t="s">
        <v>910</v>
      </c>
      <c r="D176" s="5" t="s">
        <v>21</v>
      </c>
      <c r="E176" s="5" t="s">
        <v>69</v>
      </c>
      <c r="F176" s="5" t="s">
        <v>42</v>
      </c>
      <c r="G176" t="s">
        <v>911</v>
      </c>
      <c r="H176" s="5" t="s">
        <v>3673</v>
      </c>
      <c r="I176" s="5" t="s">
        <v>912</v>
      </c>
      <c r="J176" s="5" t="s">
        <v>913</v>
      </c>
      <c r="K176" s="5" t="s">
        <v>145</v>
      </c>
      <c r="L176">
        <v>2</v>
      </c>
      <c r="M176">
        <v>147.84</v>
      </c>
      <c r="N176" s="8">
        <v>7.39</v>
      </c>
      <c r="O176" s="8">
        <v>288.29000000000002</v>
      </c>
      <c r="P176" s="8">
        <v>14.41</v>
      </c>
      <c r="Q176" s="10">
        <v>10</v>
      </c>
      <c r="R176" s="10">
        <v>15</v>
      </c>
      <c r="S176" s="8">
        <v>327.7</v>
      </c>
      <c r="T176">
        <v>33</v>
      </c>
      <c r="U176" t="str">
        <f t="shared" si="2"/>
        <v>Wednesday</v>
      </c>
    </row>
    <row r="177" spans="1:21" x14ac:dyDescent="0.3">
      <c r="A177" s="5" t="s">
        <v>914</v>
      </c>
      <c r="B177" s="3" t="s">
        <v>3707</v>
      </c>
      <c r="C177" s="5" t="s">
        <v>915</v>
      </c>
      <c r="D177" s="5" t="s">
        <v>106</v>
      </c>
      <c r="E177" s="5" t="s">
        <v>83</v>
      </c>
      <c r="F177" s="5" t="s">
        <v>42</v>
      </c>
      <c r="G177" t="s">
        <v>916</v>
      </c>
      <c r="H177" s="5" t="s">
        <v>3677</v>
      </c>
      <c r="I177" s="5" t="s">
        <v>917</v>
      </c>
      <c r="J177" s="5" t="s">
        <v>918</v>
      </c>
      <c r="K177" s="5" t="s">
        <v>56</v>
      </c>
      <c r="L177">
        <v>1</v>
      </c>
      <c r="M177">
        <v>175.14</v>
      </c>
      <c r="N177" s="8">
        <v>26.27</v>
      </c>
      <c r="O177" s="8">
        <v>148.87</v>
      </c>
      <c r="P177" s="8">
        <v>7.44</v>
      </c>
      <c r="Q177" s="10">
        <v>20</v>
      </c>
      <c r="R177" s="10">
        <v>0</v>
      </c>
      <c r="S177" s="8">
        <v>176.31</v>
      </c>
      <c r="T177">
        <v>22</v>
      </c>
      <c r="U177" t="str">
        <f t="shared" si="2"/>
        <v>Wednesday</v>
      </c>
    </row>
    <row r="178" spans="1:21" x14ac:dyDescent="0.3">
      <c r="A178" s="5" t="s">
        <v>919</v>
      </c>
      <c r="B178" s="3" t="s">
        <v>3719</v>
      </c>
      <c r="C178" s="5" t="s">
        <v>920</v>
      </c>
      <c r="D178" s="5" t="s">
        <v>21</v>
      </c>
      <c r="E178" s="5" t="s">
        <v>76</v>
      </c>
      <c r="F178" s="5" t="s">
        <v>42</v>
      </c>
      <c r="G178" t="s">
        <v>921</v>
      </c>
      <c r="H178" s="5" t="s">
        <v>3673</v>
      </c>
      <c r="I178" s="5" t="s">
        <v>922</v>
      </c>
      <c r="J178" s="5" t="s">
        <v>923</v>
      </c>
      <c r="K178" s="5" t="s">
        <v>145</v>
      </c>
      <c r="L178">
        <v>2</v>
      </c>
      <c r="M178">
        <v>92.99</v>
      </c>
      <c r="N178" s="8">
        <v>9.3000000000000007</v>
      </c>
      <c r="O178" s="8">
        <v>176.68</v>
      </c>
      <c r="P178" s="8">
        <v>8.83</v>
      </c>
      <c r="Q178" s="10">
        <v>0</v>
      </c>
      <c r="R178" s="10">
        <v>20</v>
      </c>
      <c r="S178" s="8">
        <v>205.51</v>
      </c>
      <c r="T178">
        <v>23</v>
      </c>
      <c r="U178" t="str">
        <f t="shared" si="2"/>
        <v>Sunday</v>
      </c>
    </row>
    <row r="179" spans="1:21" x14ac:dyDescent="0.3">
      <c r="A179" s="5" t="s">
        <v>924</v>
      </c>
      <c r="B179" s="3" t="s">
        <v>3704</v>
      </c>
      <c r="C179" s="5" t="s">
        <v>925</v>
      </c>
      <c r="D179" s="5" t="s">
        <v>21</v>
      </c>
      <c r="E179" s="5" t="s">
        <v>22</v>
      </c>
      <c r="F179" s="5" t="s">
        <v>42</v>
      </c>
      <c r="G179" t="s">
        <v>926</v>
      </c>
      <c r="H179" s="5" t="s">
        <v>3674</v>
      </c>
      <c r="I179" s="5" t="s">
        <v>927</v>
      </c>
      <c r="J179" s="5" t="s">
        <v>928</v>
      </c>
      <c r="K179" s="5" t="s">
        <v>22</v>
      </c>
      <c r="L179">
        <v>1</v>
      </c>
      <c r="M179">
        <v>93.95</v>
      </c>
      <c r="N179" s="8">
        <v>4.7</v>
      </c>
      <c r="O179" s="8">
        <v>89.25</v>
      </c>
      <c r="P179" s="8">
        <v>4.46</v>
      </c>
      <c r="Q179" s="10">
        <v>20</v>
      </c>
      <c r="R179" s="10">
        <v>10</v>
      </c>
      <c r="S179" s="8">
        <v>123.71</v>
      </c>
      <c r="T179">
        <v>19</v>
      </c>
      <c r="U179" t="str">
        <f t="shared" si="2"/>
        <v>Tuesday</v>
      </c>
    </row>
    <row r="180" spans="1:21" x14ac:dyDescent="0.3">
      <c r="A180" s="5" t="s">
        <v>929</v>
      </c>
      <c r="B180" s="3" t="s">
        <v>3697</v>
      </c>
      <c r="C180" s="5" t="s">
        <v>930</v>
      </c>
      <c r="D180" s="5" t="s">
        <v>21</v>
      </c>
      <c r="E180" s="5" t="s">
        <v>76</v>
      </c>
      <c r="F180" s="5" t="s">
        <v>37</v>
      </c>
      <c r="G180" t="s">
        <v>931</v>
      </c>
      <c r="H180" s="5" t="s">
        <v>3674</v>
      </c>
      <c r="I180" s="5" t="s">
        <v>932</v>
      </c>
      <c r="J180" s="5" t="s">
        <v>933</v>
      </c>
      <c r="K180" s="5" t="s">
        <v>196</v>
      </c>
      <c r="L180">
        <v>4</v>
      </c>
      <c r="M180">
        <v>127.21</v>
      </c>
      <c r="N180" s="8">
        <v>0</v>
      </c>
      <c r="O180" s="8">
        <v>508.84</v>
      </c>
      <c r="P180" s="8">
        <v>25.44</v>
      </c>
      <c r="Q180" s="10">
        <v>20</v>
      </c>
      <c r="R180" s="10">
        <v>20</v>
      </c>
      <c r="S180" s="8">
        <v>574.28</v>
      </c>
      <c r="T180">
        <v>5</v>
      </c>
      <c r="U180" t="str">
        <f t="shared" si="2"/>
        <v>Saturday</v>
      </c>
    </row>
    <row r="181" spans="1:21" x14ac:dyDescent="0.3">
      <c r="A181" s="5" t="s">
        <v>934</v>
      </c>
      <c r="B181" s="3" t="s">
        <v>3734</v>
      </c>
      <c r="C181" s="5" t="s">
        <v>935</v>
      </c>
      <c r="D181" s="5" t="s">
        <v>21</v>
      </c>
      <c r="E181" s="5" t="s">
        <v>76</v>
      </c>
      <c r="F181" s="5" t="s">
        <v>23</v>
      </c>
      <c r="G181" t="s">
        <v>936</v>
      </c>
      <c r="H181" s="5" t="s">
        <v>3674</v>
      </c>
      <c r="I181" s="5" t="s">
        <v>937</v>
      </c>
      <c r="J181" s="5" t="s">
        <v>938</v>
      </c>
      <c r="K181" s="5" t="s">
        <v>28</v>
      </c>
      <c r="L181">
        <v>2</v>
      </c>
      <c r="M181">
        <v>267.89</v>
      </c>
      <c r="N181" s="8">
        <v>40.18</v>
      </c>
      <c r="O181" s="8">
        <v>495.6</v>
      </c>
      <c r="P181" s="8">
        <v>24.78</v>
      </c>
      <c r="Q181" s="10">
        <v>30</v>
      </c>
      <c r="R181" s="10">
        <v>0</v>
      </c>
      <c r="S181" s="8">
        <v>550.38</v>
      </c>
      <c r="T181">
        <v>21</v>
      </c>
      <c r="U181" t="str">
        <f t="shared" si="2"/>
        <v>Monday</v>
      </c>
    </row>
    <row r="182" spans="1:21" x14ac:dyDescent="0.3">
      <c r="A182" s="5" t="s">
        <v>939</v>
      </c>
      <c r="B182" s="3" t="s">
        <v>3709</v>
      </c>
      <c r="C182" s="5" t="s">
        <v>940</v>
      </c>
      <c r="D182" s="5" t="s">
        <v>21</v>
      </c>
      <c r="E182" s="5" t="s">
        <v>22</v>
      </c>
      <c r="F182" s="5" t="s">
        <v>37</v>
      </c>
      <c r="G182" t="s">
        <v>941</v>
      </c>
      <c r="H182" s="5" t="s">
        <v>3677</v>
      </c>
      <c r="I182" s="5" t="s">
        <v>942</v>
      </c>
      <c r="J182" s="5" t="s">
        <v>943</v>
      </c>
      <c r="K182" s="5" t="s">
        <v>40</v>
      </c>
      <c r="L182">
        <v>3</v>
      </c>
      <c r="M182">
        <v>113.06</v>
      </c>
      <c r="N182" s="8">
        <v>5.65</v>
      </c>
      <c r="O182" s="8">
        <v>333.53</v>
      </c>
      <c r="P182" s="8">
        <v>16.68</v>
      </c>
      <c r="Q182" s="10">
        <v>20</v>
      </c>
      <c r="R182" s="10">
        <v>20</v>
      </c>
      <c r="S182" s="8">
        <v>390.21</v>
      </c>
      <c r="T182">
        <v>17</v>
      </c>
      <c r="U182" t="str">
        <f t="shared" si="2"/>
        <v>Thursday</v>
      </c>
    </row>
    <row r="183" spans="1:21" x14ac:dyDescent="0.3">
      <c r="A183" s="5" t="s">
        <v>944</v>
      </c>
      <c r="B183" s="3" t="s">
        <v>3735</v>
      </c>
      <c r="C183" s="5" t="s">
        <v>945</v>
      </c>
      <c r="D183" s="5" t="s">
        <v>21</v>
      </c>
      <c r="E183" s="5" t="s">
        <v>69</v>
      </c>
      <c r="F183" s="5" t="s">
        <v>37</v>
      </c>
      <c r="G183" t="s">
        <v>946</v>
      </c>
      <c r="H183" s="5" t="s">
        <v>3673</v>
      </c>
      <c r="I183" s="5" t="s">
        <v>947</v>
      </c>
      <c r="J183" s="5" t="s">
        <v>948</v>
      </c>
      <c r="K183" s="5" t="s">
        <v>196</v>
      </c>
      <c r="L183">
        <v>3</v>
      </c>
      <c r="M183">
        <v>123.4</v>
      </c>
      <c r="N183" s="8">
        <v>18.510000000000002</v>
      </c>
      <c r="O183" s="8">
        <v>351.69000000000011</v>
      </c>
      <c r="P183" s="8">
        <v>17.579999999999998</v>
      </c>
      <c r="Q183" s="10">
        <v>0</v>
      </c>
      <c r="R183" s="10">
        <v>10</v>
      </c>
      <c r="S183" s="8">
        <v>379.27</v>
      </c>
      <c r="T183">
        <v>30</v>
      </c>
      <c r="U183" t="str">
        <f t="shared" si="2"/>
        <v>Saturday</v>
      </c>
    </row>
    <row r="184" spans="1:21" x14ac:dyDescent="0.3">
      <c r="A184" s="5" t="s">
        <v>949</v>
      </c>
      <c r="B184" s="3" t="s">
        <v>3678</v>
      </c>
      <c r="C184" s="5" t="s">
        <v>950</v>
      </c>
      <c r="D184" s="5" t="s">
        <v>21</v>
      </c>
      <c r="E184" s="5" t="s">
        <v>76</v>
      </c>
      <c r="F184" s="5" t="s">
        <v>37</v>
      </c>
      <c r="G184" t="s">
        <v>951</v>
      </c>
      <c r="H184" s="5" t="s">
        <v>100</v>
      </c>
      <c r="I184" s="5" t="s">
        <v>952</v>
      </c>
      <c r="J184" s="5" t="s">
        <v>953</v>
      </c>
      <c r="K184" s="5" t="s">
        <v>196</v>
      </c>
      <c r="L184">
        <v>1</v>
      </c>
      <c r="M184">
        <v>81.209999999999994</v>
      </c>
      <c r="N184" s="8">
        <v>0</v>
      </c>
      <c r="O184" s="8">
        <v>81.209999999999994</v>
      </c>
      <c r="P184" s="8">
        <v>4.0599999999999996</v>
      </c>
      <c r="Q184" s="10">
        <v>0</v>
      </c>
      <c r="R184" s="10">
        <v>0</v>
      </c>
      <c r="S184" s="8">
        <v>85.27</v>
      </c>
      <c r="T184">
        <v>21</v>
      </c>
      <c r="U184" t="str">
        <f t="shared" si="2"/>
        <v>Saturday</v>
      </c>
    </row>
    <row r="185" spans="1:21" x14ac:dyDescent="0.3">
      <c r="A185" s="5" t="s">
        <v>954</v>
      </c>
      <c r="B185" s="3" t="s">
        <v>3701</v>
      </c>
      <c r="C185" s="5" t="s">
        <v>955</v>
      </c>
      <c r="D185" s="5" t="s">
        <v>106</v>
      </c>
      <c r="E185" s="5" t="s">
        <v>83</v>
      </c>
      <c r="F185" s="5" t="s">
        <v>37</v>
      </c>
      <c r="G185" t="s">
        <v>956</v>
      </c>
      <c r="H185" s="5" t="s">
        <v>3674</v>
      </c>
      <c r="I185" s="5" t="s">
        <v>957</v>
      </c>
      <c r="J185" s="5" t="s">
        <v>958</v>
      </c>
      <c r="K185" s="5" t="s">
        <v>103</v>
      </c>
      <c r="L185">
        <v>4</v>
      </c>
      <c r="M185">
        <v>47.42</v>
      </c>
      <c r="N185" s="8">
        <v>4.74</v>
      </c>
      <c r="O185" s="8">
        <v>184.94</v>
      </c>
      <c r="P185" s="8">
        <v>9.25</v>
      </c>
      <c r="Q185" s="10">
        <v>10</v>
      </c>
      <c r="R185" s="10">
        <v>5</v>
      </c>
      <c r="S185" s="8">
        <v>209.19</v>
      </c>
      <c r="T185">
        <v>30</v>
      </c>
      <c r="U185" t="str">
        <f t="shared" si="2"/>
        <v>Tuesday</v>
      </c>
    </row>
    <row r="186" spans="1:21" x14ac:dyDescent="0.3">
      <c r="A186" s="5" t="s">
        <v>959</v>
      </c>
      <c r="B186" s="3" t="s">
        <v>3679</v>
      </c>
      <c r="C186" s="5" t="s">
        <v>960</v>
      </c>
      <c r="D186" s="5" t="s">
        <v>21</v>
      </c>
      <c r="E186" s="5" t="s">
        <v>76</v>
      </c>
      <c r="F186" s="5" t="s">
        <v>42</v>
      </c>
      <c r="G186" t="s">
        <v>961</v>
      </c>
      <c r="H186" s="5" t="s">
        <v>100</v>
      </c>
      <c r="I186" s="5" t="s">
        <v>962</v>
      </c>
      <c r="J186" s="5" t="s">
        <v>963</v>
      </c>
      <c r="K186" s="5" t="s">
        <v>40</v>
      </c>
      <c r="L186">
        <v>1</v>
      </c>
      <c r="M186">
        <v>145.03</v>
      </c>
      <c r="N186" s="8">
        <v>0</v>
      </c>
      <c r="O186" s="8">
        <v>145.03</v>
      </c>
      <c r="P186" s="8">
        <v>7.25</v>
      </c>
      <c r="Q186" s="10">
        <v>20</v>
      </c>
      <c r="R186" s="10">
        <v>15</v>
      </c>
      <c r="S186" s="8">
        <v>187.28</v>
      </c>
      <c r="T186">
        <v>22</v>
      </c>
      <c r="U186" t="str">
        <f t="shared" si="2"/>
        <v>Friday</v>
      </c>
    </row>
    <row r="187" spans="1:21" x14ac:dyDescent="0.3">
      <c r="A187" s="5" t="s">
        <v>964</v>
      </c>
      <c r="B187" s="3" t="s">
        <v>3735</v>
      </c>
      <c r="C187" s="5" t="s">
        <v>965</v>
      </c>
      <c r="D187" s="5" t="s">
        <v>21</v>
      </c>
      <c r="E187" s="5" t="s">
        <v>22</v>
      </c>
      <c r="F187" s="5" t="s">
        <v>42</v>
      </c>
      <c r="G187" t="s">
        <v>966</v>
      </c>
      <c r="H187" s="5" t="s">
        <v>3675</v>
      </c>
      <c r="I187" s="5" t="s">
        <v>967</v>
      </c>
      <c r="J187" s="5" t="s">
        <v>968</v>
      </c>
      <c r="K187" s="5" t="s">
        <v>145</v>
      </c>
      <c r="L187">
        <v>5</v>
      </c>
      <c r="M187">
        <v>218.37</v>
      </c>
      <c r="N187" s="8">
        <v>32.76</v>
      </c>
      <c r="O187" s="8">
        <v>1059.0899999999999</v>
      </c>
      <c r="P187" s="8">
        <v>52.95</v>
      </c>
      <c r="Q187" s="10">
        <v>10</v>
      </c>
      <c r="R187" s="10">
        <v>5</v>
      </c>
      <c r="S187" s="8">
        <v>1127.04</v>
      </c>
      <c r="T187">
        <v>24</v>
      </c>
      <c r="U187" t="str">
        <f t="shared" si="2"/>
        <v>Saturday</v>
      </c>
    </row>
    <row r="188" spans="1:21" x14ac:dyDescent="0.3">
      <c r="A188" s="5" t="s">
        <v>969</v>
      </c>
      <c r="B188" s="3" t="s">
        <v>3716</v>
      </c>
      <c r="C188" s="5" t="s">
        <v>970</v>
      </c>
      <c r="D188" s="5" t="s">
        <v>21</v>
      </c>
      <c r="E188" s="5" t="s">
        <v>76</v>
      </c>
      <c r="F188" s="5" t="s">
        <v>42</v>
      </c>
      <c r="G188" t="s">
        <v>971</v>
      </c>
      <c r="H188" s="5" t="s">
        <v>3675</v>
      </c>
      <c r="I188" s="5" t="s">
        <v>972</v>
      </c>
      <c r="J188" s="5" t="s">
        <v>973</v>
      </c>
      <c r="K188" s="5" t="s">
        <v>56</v>
      </c>
      <c r="L188">
        <v>1</v>
      </c>
      <c r="M188">
        <v>104.38</v>
      </c>
      <c r="N188" s="8">
        <v>10.44</v>
      </c>
      <c r="O188" s="8">
        <v>93.94</v>
      </c>
      <c r="P188" s="8">
        <v>4.7</v>
      </c>
      <c r="Q188" s="10">
        <v>30</v>
      </c>
      <c r="R188" s="10">
        <v>5</v>
      </c>
      <c r="S188" s="8">
        <v>133.63999999999999</v>
      </c>
      <c r="T188">
        <v>21</v>
      </c>
      <c r="U188" t="str">
        <f t="shared" si="2"/>
        <v>Saturday</v>
      </c>
    </row>
    <row r="189" spans="1:21" x14ac:dyDescent="0.3">
      <c r="A189" s="5" t="s">
        <v>974</v>
      </c>
      <c r="B189" s="3" t="s">
        <v>3695</v>
      </c>
      <c r="C189" s="5" t="s">
        <v>975</v>
      </c>
      <c r="D189" s="5" t="s">
        <v>21</v>
      </c>
      <c r="E189" s="5" t="s">
        <v>76</v>
      </c>
      <c r="F189" s="5" t="s">
        <v>42</v>
      </c>
      <c r="G189" t="s">
        <v>976</v>
      </c>
      <c r="H189" s="5" t="s">
        <v>3675</v>
      </c>
      <c r="I189" s="5" t="s">
        <v>977</v>
      </c>
      <c r="J189" s="5" t="s">
        <v>978</v>
      </c>
      <c r="K189" s="5" t="s">
        <v>145</v>
      </c>
      <c r="L189">
        <v>1</v>
      </c>
      <c r="M189">
        <v>96.71</v>
      </c>
      <c r="N189" s="8">
        <v>14.51</v>
      </c>
      <c r="O189" s="8">
        <v>82.199999999999989</v>
      </c>
      <c r="P189" s="8">
        <v>4.1100000000000003</v>
      </c>
      <c r="Q189" s="10">
        <v>20</v>
      </c>
      <c r="R189" s="10">
        <v>0</v>
      </c>
      <c r="S189" s="8">
        <v>106.31</v>
      </c>
      <c r="T189">
        <v>26</v>
      </c>
      <c r="U189" t="str">
        <f t="shared" si="2"/>
        <v>Thursday</v>
      </c>
    </row>
    <row r="190" spans="1:21" x14ac:dyDescent="0.3">
      <c r="A190" s="5" t="s">
        <v>979</v>
      </c>
      <c r="B190" s="3" t="s">
        <v>3712</v>
      </c>
      <c r="C190" s="5" t="s">
        <v>980</v>
      </c>
      <c r="D190" s="5" t="s">
        <v>21</v>
      </c>
      <c r="E190" s="5" t="s">
        <v>76</v>
      </c>
      <c r="F190" s="5" t="s">
        <v>42</v>
      </c>
      <c r="G190" t="s">
        <v>981</v>
      </c>
      <c r="H190" s="5" t="s">
        <v>3673</v>
      </c>
      <c r="I190" s="5" t="s">
        <v>982</v>
      </c>
      <c r="J190" s="5" t="s">
        <v>983</v>
      </c>
      <c r="K190" s="5" t="s">
        <v>145</v>
      </c>
      <c r="L190">
        <v>1</v>
      </c>
      <c r="M190">
        <v>174.75</v>
      </c>
      <c r="N190" s="8">
        <v>8.74</v>
      </c>
      <c r="O190" s="8">
        <v>166.01</v>
      </c>
      <c r="P190" s="8">
        <v>8.3000000000000007</v>
      </c>
      <c r="Q190" s="10">
        <v>30</v>
      </c>
      <c r="R190" s="10">
        <v>15</v>
      </c>
      <c r="S190" s="8">
        <v>219.31</v>
      </c>
      <c r="T190">
        <v>24.67</v>
      </c>
      <c r="U190" t="str">
        <f t="shared" si="2"/>
        <v>Thursday</v>
      </c>
    </row>
    <row r="191" spans="1:21" x14ac:dyDescent="0.3">
      <c r="A191" s="5" t="s">
        <v>984</v>
      </c>
      <c r="B191" s="3" t="s">
        <v>3685</v>
      </c>
      <c r="C191" s="5" t="s">
        <v>985</v>
      </c>
      <c r="D191" s="5" t="s">
        <v>106</v>
      </c>
      <c r="E191" s="5" t="s">
        <v>83</v>
      </c>
      <c r="F191" s="5" t="s">
        <v>42</v>
      </c>
      <c r="G191" t="s">
        <v>986</v>
      </c>
      <c r="H191" s="5" t="s">
        <v>100</v>
      </c>
      <c r="I191" s="5" t="s">
        <v>987</v>
      </c>
      <c r="J191" s="5" t="s">
        <v>988</v>
      </c>
      <c r="K191" s="5" t="s">
        <v>22</v>
      </c>
      <c r="L191">
        <v>1</v>
      </c>
      <c r="M191">
        <v>176.06</v>
      </c>
      <c r="N191" s="8">
        <v>0</v>
      </c>
      <c r="O191" s="8">
        <v>176.06</v>
      </c>
      <c r="P191" s="8">
        <v>8.8000000000000007</v>
      </c>
      <c r="Q191" s="10">
        <v>20</v>
      </c>
      <c r="R191" s="10">
        <v>10</v>
      </c>
      <c r="S191" s="8">
        <v>214.86</v>
      </c>
      <c r="T191">
        <v>20</v>
      </c>
      <c r="U191" t="str">
        <f t="shared" si="2"/>
        <v>Thursday</v>
      </c>
    </row>
    <row r="192" spans="1:21" x14ac:dyDescent="0.3">
      <c r="A192" s="5" t="s">
        <v>989</v>
      </c>
      <c r="B192" s="3" t="s">
        <v>3678</v>
      </c>
      <c r="C192" s="5" t="s">
        <v>990</v>
      </c>
      <c r="D192" s="5" t="s">
        <v>21</v>
      </c>
      <c r="E192" s="5" t="s">
        <v>22</v>
      </c>
      <c r="F192" s="5" t="s">
        <v>37</v>
      </c>
      <c r="G192" t="s">
        <v>991</v>
      </c>
      <c r="H192" s="5" t="s">
        <v>3677</v>
      </c>
      <c r="I192" s="5" t="s">
        <v>992</v>
      </c>
      <c r="J192" s="5" t="s">
        <v>993</v>
      </c>
      <c r="K192" s="5" t="s">
        <v>28</v>
      </c>
      <c r="L192">
        <v>5</v>
      </c>
      <c r="M192">
        <v>89.57</v>
      </c>
      <c r="N192" s="8">
        <v>0</v>
      </c>
      <c r="O192" s="8">
        <v>447.85</v>
      </c>
      <c r="P192" s="8">
        <v>22.39</v>
      </c>
      <c r="Q192" s="10">
        <v>10</v>
      </c>
      <c r="R192" s="10">
        <v>20</v>
      </c>
      <c r="S192" s="8">
        <v>500.24</v>
      </c>
      <c r="T192">
        <v>24.67</v>
      </c>
      <c r="U192" t="str">
        <f t="shared" si="2"/>
        <v>Saturday</v>
      </c>
    </row>
    <row r="193" spans="1:21" x14ac:dyDescent="0.3">
      <c r="A193" s="5" t="s">
        <v>994</v>
      </c>
      <c r="B193" s="3" t="s">
        <v>3730</v>
      </c>
      <c r="C193" s="5" t="s">
        <v>995</v>
      </c>
      <c r="D193" s="5" t="s">
        <v>21</v>
      </c>
      <c r="E193" s="5" t="s">
        <v>36</v>
      </c>
      <c r="F193" s="5" t="s">
        <v>42</v>
      </c>
      <c r="G193" t="s">
        <v>996</v>
      </c>
      <c r="H193" s="5" t="s">
        <v>100</v>
      </c>
      <c r="I193" s="5" t="s">
        <v>997</v>
      </c>
      <c r="J193" s="5" t="s">
        <v>998</v>
      </c>
      <c r="K193" s="5" t="s">
        <v>40</v>
      </c>
      <c r="L193">
        <v>1</v>
      </c>
      <c r="M193">
        <v>152.49</v>
      </c>
      <c r="N193" s="8">
        <v>7.62</v>
      </c>
      <c r="O193" s="8">
        <v>144.87</v>
      </c>
      <c r="P193" s="8">
        <v>7.24</v>
      </c>
      <c r="Q193" s="10">
        <v>20</v>
      </c>
      <c r="R193" s="10">
        <v>5</v>
      </c>
      <c r="S193" s="8">
        <v>177.11</v>
      </c>
      <c r="T193">
        <v>32</v>
      </c>
      <c r="U193" t="str">
        <f t="shared" si="2"/>
        <v>Friday</v>
      </c>
    </row>
    <row r="194" spans="1:21" x14ac:dyDescent="0.3">
      <c r="A194" s="5" t="s">
        <v>999</v>
      </c>
      <c r="B194" s="3" t="s">
        <v>3707</v>
      </c>
      <c r="C194" s="5" t="s">
        <v>1000</v>
      </c>
      <c r="D194" s="5" t="s">
        <v>21</v>
      </c>
      <c r="E194" s="5" t="s">
        <v>69</v>
      </c>
      <c r="F194" s="5" t="s">
        <v>42</v>
      </c>
      <c r="G194" t="s">
        <v>1001</v>
      </c>
      <c r="H194" s="5" t="s">
        <v>100</v>
      </c>
      <c r="I194" s="5" t="s">
        <v>1002</v>
      </c>
      <c r="J194" s="5" t="s">
        <v>1003</v>
      </c>
      <c r="K194" s="5" t="s">
        <v>22</v>
      </c>
      <c r="L194">
        <v>2</v>
      </c>
      <c r="M194">
        <v>109.54</v>
      </c>
      <c r="N194" s="8">
        <v>5.48</v>
      </c>
      <c r="O194" s="8">
        <v>213.6</v>
      </c>
      <c r="P194" s="8">
        <v>10.68</v>
      </c>
      <c r="Q194" s="10">
        <v>10</v>
      </c>
      <c r="R194" s="10">
        <v>20</v>
      </c>
      <c r="S194" s="8">
        <v>254.28</v>
      </c>
      <c r="T194">
        <v>38</v>
      </c>
      <c r="U194" t="str">
        <f t="shared" si="2"/>
        <v>Wednesday</v>
      </c>
    </row>
    <row r="195" spans="1:21" x14ac:dyDescent="0.3">
      <c r="A195" s="5" t="s">
        <v>1004</v>
      </c>
      <c r="B195" s="3" t="s">
        <v>3680</v>
      </c>
      <c r="C195" s="5" t="s">
        <v>1005</v>
      </c>
      <c r="D195" s="5" t="s">
        <v>21</v>
      </c>
      <c r="E195" s="5" t="s">
        <v>76</v>
      </c>
      <c r="F195" s="5" t="s">
        <v>37</v>
      </c>
      <c r="G195" t="s">
        <v>1006</v>
      </c>
      <c r="H195" s="5" t="s">
        <v>3675</v>
      </c>
      <c r="I195" s="5" t="s">
        <v>1007</v>
      </c>
      <c r="J195" s="5" t="s">
        <v>1008</v>
      </c>
      <c r="K195" s="5" t="s">
        <v>40</v>
      </c>
      <c r="L195">
        <v>2</v>
      </c>
      <c r="M195">
        <v>87.23</v>
      </c>
      <c r="N195" s="8">
        <v>8.7200000000000006</v>
      </c>
      <c r="O195" s="8">
        <v>165.74</v>
      </c>
      <c r="P195" s="8">
        <v>8.2899999999999991</v>
      </c>
      <c r="Q195" s="10">
        <v>10</v>
      </c>
      <c r="R195" s="10">
        <v>20</v>
      </c>
      <c r="S195" s="8">
        <v>204.03</v>
      </c>
      <c r="T195">
        <v>28</v>
      </c>
      <c r="U195" t="str">
        <f t="shared" ref="U195:U258" si="3">TEXT(B195,"dddd")</f>
        <v>Wednesday</v>
      </c>
    </row>
    <row r="196" spans="1:21" x14ac:dyDescent="0.3">
      <c r="A196" s="5" t="s">
        <v>1009</v>
      </c>
      <c r="B196" s="3" t="s">
        <v>3725</v>
      </c>
      <c r="C196" s="5" t="s">
        <v>1010</v>
      </c>
      <c r="D196" s="5" t="s">
        <v>21</v>
      </c>
      <c r="E196" s="5" t="s">
        <v>36</v>
      </c>
      <c r="F196" s="5" t="s">
        <v>37</v>
      </c>
      <c r="G196" t="s">
        <v>1011</v>
      </c>
      <c r="H196" s="5" t="s">
        <v>3673</v>
      </c>
      <c r="I196" s="5" t="s">
        <v>1012</v>
      </c>
      <c r="J196" s="5" t="s">
        <v>1013</v>
      </c>
      <c r="K196" s="5" t="s">
        <v>45</v>
      </c>
      <c r="L196">
        <v>1</v>
      </c>
      <c r="M196">
        <v>118.14</v>
      </c>
      <c r="N196" s="8">
        <v>0</v>
      </c>
      <c r="O196" s="8">
        <v>118.14</v>
      </c>
      <c r="P196" s="8">
        <v>5.91</v>
      </c>
      <c r="Q196" s="10">
        <v>30</v>
      </c>
      <c r="R196" s="10">
        <v>20</v>
      </c>
      <c r="S196" s="8">
        <v>174.05</v>
      </c>
      <c r="T196">
        <v>24</v>
      </c>
      <c r="U196" t="str">
        <f t="shared" si="3"/>
        <v>Wednesday</v>
      </c>
    </row>
    <row r="197" spans="1:21" x14ac:dyDescent="0.3">
      <c r="A197" s="5" t="s">
        <v>1014</v>
      </c>
      <c r="B197" s="3" t="s">
        <v>3689</v>
      </c>
      <c r="C197" s="5" t="s">
        <v>1015</v>
      </c>
      <c r="D197" s="5" t="s">
        <v>21</v>
      </c>
      <c r="E197" s="5" t="s">
        <v>36</v>
      </c>
      <c r="F197" s="5" t="s">
        <v>23</v>
      </c>
      <c r="G197" t="s">
        <v>1016</v>
      </c>
      <c r="H197" s="5" t="s">
        <v>3673</v>
      </c>
      <c r="I197" s="5" t="s">
        <v>1017</v>
      </c>
      <c r="J197" s="5" t="s">
        <v>1018</v>
      </c>
      <c r="K197" s="5" t="s">
        <v>40</v>
      </c>
      <c r="L197">
        <v>7</v>
      </c>
      <c r="M197">
        <v>118.36</v>
      </c>
      <c r="N197" s="8">
        <v>5.92</v>
      </c>
      <c r="O197" s="8">
        <v>822.6</v>
      </c>
      <c r="P197" s="8">
        <v>41.13</v>
      </c>
      <c r="Q197" s="10">
        <v>10</v>
      </c>
      <c r="R197" s="10">
        <v>10</v>
      </c>
      <c r="S197" s="8">
        <v>883.73</v>
      </c>
      <c r="T197">
        <v>15</v>
      </c>
      <c r="U197" t="str">
        <f t="shared" si="3"/>
        <v>Wednesday</v>
      </c>
    </row>
    <row r="198" spans="1:21" x14ac:dyDescent="0.3">
      <c r="A198" s="5" t="s">
        <v>1019</v>
      </c>
      <c r="B198" s="3" t="s">
        <v>3734</v>
      </c>
      <c r="C198" s="5" t="s">
        <v>1020</v>
      </c>
      <c r="D198" s="5" t="s">
        <v>21</v>
      </c>
      <c r="E198" s="5" t="s">
        <v>69</v>
      </c>
      <c r="F198" s="5" t="s">
        <v>37</v>
      </c>
      <c r="G198" t="s">
        <v>1021</v>
      </c>
      <c r="H198" s="5" t="s">
        <v>3675</v>
      </c>
      <c r="I198" s="5" t="s">
        <v>1022</v>
      </c>
      <c r="J198" s="5" t="s">
        <v>1023</v>
      </c>
      <c r="K198" s="5" t="s">
        <v>45</v>
      </c>
      <c r="L198">
        <v>5</v>
      </c>
      <c r="M198">
        <v>68.23</v>
      </c>
      <c r="N198" s="8">
        <v>10.23</v>
      </c>
      <c r="O198" s="8">
        <v>330.92</v>
      </c>
      <c r="P198" s="8">
        <v>16.55</v>
      </c>
      <c r="Q198" s="10">
        <v>0</v>
      </c>
      <c r="R198" s="10">
        <v>15</v>
      </c>
      <c r="S198" s="8">
        <v>362.47</v>
      </c>
      <c r="T198">
        <v>29</v>
      </c>
      <c r="U198" t="str">
        <f t="shared" si="3"/>
        <v>Monday</v>
      </c>
    </row>
    <row r="199" spans="1:21" x14ac:dyDescent="0.3">
      <c r="A199" s="5" t="s">
        <v>1024</v>
      </c>
      <c r="B199" s="3" t="s">
        <v>3735</v>
      </c>
      <c r="C199" s="5" t="s">
        <v>1025</v>
      </c>
      <c r="D199" s="5" t="s">
        <v>21</v>
      </c>
      <c r="E199" s="5" t="s">
        <v>76</v>
      </c>
      <c r="F199" s="5" t="s">
        <v>42</v>
      </c>
      <c r="G199" t="s">
        <v>1026</v>
      </c>
      <c r="H199" s="5" t="s">
        <v>3673</v>
      </c>
      <c r="I199" s="5" t="s">
        <v>1027</v>
      </c>
      <c r="J199" s="5" t="s">
        <v>1028</v>
      </c>
      <c r="K199" s="5" t="s">
        <v>196</v>
      </c>
      <c r="L199">
        <v>5</v>
      </c>
      <c r="M199">
        <v>208.27</v>
      </c>
      <c r="N199" s="8">
        <v>10.41</v>
      </c>
      <c r="O199" s="8">
        <v>1030.94</v>
      </c>
      <c r="P199" s="8">
        <v>51.55</v>
      </c>
      <c r="Q199" s="10">
        <v>30</v>
      </c>
      <c r="R199" s="10">
        <v>20</v>
      </c>
      <c r="S199" s="8">
        <v>1132.49</v>
      </c>
      <c r="T199">
        <v>22</v>
      </c>
      <c r="U199" t="str">
        <f t="shared" si="3"/>
        <v>Saturday</v>
      </c>
    </row>
    <row r="200" spans="1:21" x14ac:dyDescent="0.3">
      <c r="A200" s="5" t="s">
        <v>1029</v>
      </c>
      <c r="B200" s="3" t="s">
        <v>3713</v>
      </c>
      <c r="C200" s="5" t="s">
        <v>1030</v>
      </c>
      <c r="D200" s="5" t="s">
        <v>82</v>
      </c>
      <c r="E200" s="5" t="s">
        <v>83</v>
      </c>
      <c r="F200" s="5" t="s">
        <v>23</v>
      </c>
      <c r="G200" t="s">
        <v>1031</v>
      </c>
      <c r="H200" s="5" t="s">
        <v>3676</v>
      </c>
      <c r="I200" s="5" t="s">
        <v>26</v>
      </c>
      <c r="J200" s="5" t="s">
        <v>27</v>
      </c>
      <c r="K200" s="5" t="s">
        <v>73</v>
      </c>
      <c r="L200">
        <v>5</v>
      </c>
      <c r="M200">
        <v>52.75</v>
      </c>
      <c r="N200" s="8">
        <v>2.64</v>
      </c>
      <c r="O200" s="8">
        <v>261.11</v>
      </c>
      <c r="P200" s="8">
        <v>13.06</v>
      </c>
      <c r="Q200" s="10">
        <v>0</v>
      </c>
      <c r="R200" s="10">
        <v>10</v>
      </c>
      <c r="S200" s="8">
        <v>284.17</v>
      </c>
      <c r="T200">
        <v>23</v>
      </c>
      <c r="U200" t="str">
        <f t="shared" si="3"/>
        <v>Tuesday</v>
      </c>
    </row>
    <row r="201" spans="1:21" x14ac:dyDescent="0.3">
      <c r="A201" s="5" t="s">
        <v>1032</v>
      </c>
      <c r="B201" s="3" t="s">
        <v>3703</v>
      </c>
      <c r="C201" s="5" t="s">
        <v>1033</v>
      </c>
      <c r="D201" s="5" t="s">
        <v>21</v>
      </c>
      <c r="E201" s="5" t="s">
        <v>69</v>
      </c>
      <c r="F201" s="5" t="s">
        <v>23</v>
      </c>
      <c r="G201" t="s">
        <v>1034</v>
      </c>
      <c r="H201" s="5" t="s">
        <v>3677</v>
      </c>
      <c r="I201" s="5" t="s">
        <v>32</v>
      </c>
      <c r="J201" s="5" t="s">
        <v>33</v>
      </c>
      <c r="K201" s="5" t="s">
        <v>45</v>
      </c>
      <c r="L201">
        <v>2</v>
      </c>
      <c r="M201">
        <v>249.44</v>
      </c>
      <c r="N201" s="8">
        <v>12.47</v>
      </c>
      <c r="O201" s="8">
        <v>486.41</v>
      </c>
      <c r="P201" s="8">
        <v>24.32</v>
      </c>
      <c r="Q201" s="10">
        <v>20</v>
      </c>
      <c r="R201" s="10">
        <v>10</v>
      </c>
      <c r="S201" s="8">
        <v>540.73</v>
      </c>
      <c r="T201">
        <v>18</v>
      </c>
      <c r="U201" t="str">
        <f t="shared" si="3"/>
        <v>Friday</v>
      </c>
    </row>
    <row r="202" spans="1:21" x14ac:dyDescent="0.3">
      <c r="A202" s="5" t="s">
        <v>1035</v>
      </c>
      <c r="B202" s="3" t="s">
        <v>3709</v>
      </c>
      <c r="C202" s="5" t="s">
        <v>1036</v>
      </c>
      <c r="D202" s="5" t="s">
        <v>106</v>
      </c>
      <c r="E202" s="5" t="s">
        <v>83</v>
      </c>
      <c r="F202" s="5" t="s">
        <v>42</v>
      </c>
      <c r="G202" t="s">
        <v>1037</v>
      </c>
      <c r="H202" s="5" t="s">
        <v>3675</v>
      </c>
      <c r="I202" s="5" t="s">
        <v>38</v>
      </c>
      <c r="J202" s="5" t="s">
        <v>39</v>
      </c>
      <c r="K202" s="5" t="s">
        <v>40</v>
      </c>
      <c r="L202">
        <v>3</v>
      </c>
      <c r="M202">
        <v>167.97</v>
      </c>
      <c r="N202" s="8">
        <v>8.4</v>
      </c>
      <c r="O202" s="8">
        <v>495.51</v>
      </c>
      <c r="P202" s="8">
        <v>24.78</v>
      </c>
      <c r="Q202" s="10">
        <v>10</v>
      </c>
      <c r="R202" s="10">
        <v>20</v>
      </c>
      <c r="S202" s="8">
        <v>550.29</v>
      </c>
      <c r="T202">
        <v>23</v>
      </c>
      <c r="U202" t="str">
        <f t="shared" si="3"/>
        <v>Thursday</v>
      </c>
    </row>
    <row r="203" spans="1:21" x14ac:dyDescent="0.3">
      <c r="A203" s="5" t="s">
        <v>1038</v>
      </c>
      <c r="B203" s="3" t="s">
        <v>3692</v>
      </c>
      <c r="C203" s="5" t="s">
        <v>1039</v>
      </c>
      <c r="D203" s="5" t="s">
        <v>21</v>
      </c>
      <c r="E203" s="5" t="s">
        <v>36</v>
      </c>
      <c r="F203" s="5" t="s">
        <v>23</v>
      </c>
      <c r="G203" t="s">
        <v>1040</v>
      </c>
      <c r="H203" s="5" t="s">
        <v>100</v>
      </c>
      <c r="I203" s="5" t="s">
        <v>43</v>
      </c>
      <c r="J203" s="5" t="s">
        <v>44</v>
      </c>
      <c r="K203" s="5" t="s">
        <v>40</v>
      </c>
      <c r="L203">
        <v>4</v>
      </c>
      <c r="M203">
        <v>147.6</v>
      </c>
      <c r="N203" s="8">
        <v>14.76</v>
      </c>
      <c r="O203" s="8">
        <v>575.64</v>
      </c>
      <c r="P203" s="8">
        <v>28.78</v>
      </c>
      <c r="Q203" s="10">
        <v>0</v>
      </c>
      <c r="R203" s="10">
        <v>15</v>
      </c>
      <c r="S203" s="8">
        <v>619.41999999999996</v>
      </c>
      <c r="T203">
        <v>18</v>
      </c>
      <c r="U203" t="str">
        <f t="shared" si="3"/>
        <v>Wednesday</v>
      </c>
    </row>
    <row r="204" spans="1:21" x14ac:dyDescent="0.3">
      <c r="A204" s="5" t="s">
        <v>1041</v>
      </c>
      <c r="B204" s="3" t="s">
        <v>3705</v>
      </c>
      <c r="C204" s="5" t="s">
        <v>1042</v>
      </c>
      <c r="D204" s="5" t="s">
        <v>21</v>
      </c>
      <c r="E204" s="5" t="s">
        <v>36</v>
      </c>
      <c r="F204" s="5" t="s">
        <v>42</v>
      </c>
      <c r="G204" t="s">
        <v>1043</v>
      </c>
      <c r="H204" s="5" t="s">
        <v>3677</v>
      </c>
      <c r="I204" s="5" t="s">
        <v>49</v>
      </c>
      <c r="J204" s="5" t="s">
        <v>50</v>
      </c>
      <c r="K204" s="5" t="s">
        <v>56</v>
      </c>
      <c r="L204">
        <v>2</v>
      </c>
      <c r="M204">
        <v>125.4</v>
      </c>
      <c r="N204" s="8">
        <v>18.809999999999999</v>
      </c>
      <c r="O204" s="8">
        <v>231.99</v>
      </c>
      <c r="P204" s="8">
        <v>11.6</v>
      </c>
      <c r="Q204" s="10">
        <v>30</v>
      </c>
      <c r="R204" s="10">
        <v>0</v>
      </c>
      <c r="S204" s="8">
        <v>273.58999999999997</v>
      </c>
      <c r="T204">
        <v>32</v>
      </c>
      <c r="U204" t="str">
        <f t="shared" si="3"/>
        <v>Tuesday</v>
      </c>
    </row>
    <row r="205" spans="1:21" x14ac:dyDescent="0.3">
      <c r="A205" s="5" t="s">
        <v>1044</v>
      </c>
      <c r="B205" s="3" t="s">
        <v>3693</v>
      </c>
      <c r="C205" s="5" t="s">
        <v>1045</v>
      </c>
      <c r="D205" s="5" t="s">
        <v>21</v>
      </c>
      <c r="E205" s="5" t="s">
        <v>112</v>
      </c>
      <c r="F205" s="5" t="s">
        <v>37</v>
      </c>
      <c r="G205" t="s">
        <v>1046</v>
      </c>
      <c r="H205" s="5" t="s">
        <v>100</v>
      </c>
      <c r="I205" s="5" t="s">
        <v>54</v>
      </c>
      <c r="J205" s="5" t="s">
        <v>55</v>
      </c>
      <c r="K205" s="5" t="s">
        <v>145</v>
      </c>
      <c r="L205">
        <v>5</v>
      </c>
      <c r="M205">
        <v>39.17</v>
      </c>
      <c r="N205" s="8">
        <v>0</v>
      </c>
      <c r="O205" s="8">
        <v>195.85</v>
      </c>
      <c r="P205" s="8">
        <v>9.7899999999999991</v>
      </c>
      <c r="Q205" s="10">
        <v>0</v>
      </c>
      <c r="R205" s="10">
        <v>10</v>
      </c>
      <c r="S205" s="8">
        <v>215.64</v>
      </c>
      <c r="T205">
        <v>15</v>
      </c>
      <c r="U205" t="str">
        <f t="shared" si="3"/>
        <v>Thursday</v>
      </c>
    </row>
    <row r="206" spans="1:21" x14ac:dyDescent="0.3">
      <c r="A206" s="5" t="s">
        <v>1047</v>
      </c>
      <c r="B206" s="3" t="s">
        <v>3704</v>
      </c>
      <c r="C206" s="5" t="s">
        <v>1048</v>
      </c>
      <c r="D206" s="5" t="s">
        <v>21</v>
      </c>
      <c r="E206" s="5" t="s">
        <v>76</v>
      </c>
      <c r="F206" s="5" t="s">
        <v>37</v>
      </c>
      <c r="G206" t="s">
        <v>1049</v>
      </c>
      <c r="H206" s="5" t="s">
        <v>3673</v>
      </c>
      <c r="I206" s="5" t="s">
        <v>60</v>
      </c>
      <c r="J206" s="5" t="s">
        <v>61</v>
      </c>
      <c r="K206" s="5" t="s">
        <v>45</v>
      </c>
      <c r="L206">
        <v>4</v>
      </c>
      <c r="M206">
        <v>189.47</v>
      </c>
      <c r="N206" s="8">
        <v>0</v>
      </c>
      <c r="O206" s="8">
        <v>757.88</v>
      </c>
      <c r="P206" s="8">
        <v>37.89</v>
      </c>
      <c r="Q206" s="10">
        <v>10</v>
      </c>
      <c r="R206" s="10">
        <v>15</v>
      </c>
      <c r="S206" s="8">
        <v>820.77</v>
      </c>
      <c r="T206">
        <v>14</v>
      </c>
      <c r="U206" t="str">
        <f t="shared" si="3"/>
        <v>Tuesday</v>
      </c>
    </row>
    <row r="207" spans="1:21" x14ac:dyDescent="0.3">
      <c r="A207" s="5" t="s">
        <v>1050</v>
      </c>
      <c r="B207" s="3" t="s">
        <v>3730</v>
      </c>
      <c r="C207" s="5" t="s">
        <v>1051</v>
      </c>
      <c r="D207" s="5" t="s">
        <v>21</v>
      </c>
      <c r="E207" s="5" t="s">
        <v>112</v>
      </c>
      <c r="F207" s="5" t="s">
        <v>42</v>
      </c>
      <c r="G207" t="s">
        <v>1052</v>
      </c>
      <c r="H207" s="5" t="s">
        <v>3673</v>
      </c>
      <c r="I207" s="5" t="s">
        <v>65</v>
      </c>
      <c r="J207" s="5" t="s">
        <v>66</v>
      </c>
      <c r="K207" s="5" t="s">
        <v>45</v>
      </c>
      <c r="L207">
        <v>1</v>
      </c>
      <c r="M207">
        <v>191.14</v>
      </c>
      <c r="N207" s="8">
        <v>9.56</v>
      </c>
      <c r="O207" s="8">
        <v>181.58</v>
      </c>
      <c r="P207" s="8">
        <v>9.08</v>
      </c>
      <c r="Q207" s="10">
        <v>10</v>
      </c>
      <c r="R207" s="10">
        <v>20</v>
      </c>
      <c r="S207" s="8">
        <v>220.66</v>
      </c>
      <c r="T207">
        <v>32</v>
      </c>
      <c r="U207" t="str">
        <f t="shared" si="3"/>
        <v>Friday</v>
      </c>
    </row>
    <row r="208" spans="1:21" x14ac:dyDescent="0.3">
      <c r="A208" s="5" t="s">
        <v>1053</v>
      </c>
      <c r="B208" s="3" t="s">
        <v>3711</v>
      </c>
      <c r="C208" s="5" t="s">
        <v>1054</v>
      </c>
      <c r="D208" s="5" t="s">
        <v>21</v>
      </c>
      <c r="E208" s="5" t="s">
        <v>22</v>
      </c>
      <c r="F208" s="5" t="s">
        <v>42</v>
      </c>
      <c r="G208" t="s">
        <v>1055</v>
      </c>
      <c r="H208" s="5" t="s">
        <v>3674</v>
      </c>
      <c r="I208" s="5" t="s">
        <v>71</v>
      </c>
      <c r="J208" s="5" t="s">
        <v>72</v>
      </c>
      <c r="K208" s="5" t="s">
        <v>103</v>
      </c>
      <c r="L208">
        <v>3</v>
      </c>
      <c r="M208">
        <v>69.12</v>
      </c>
      <c r="N208" s="8">
        <v>3.46</v>
      </c>
      <c r="O208" s="8">
        <v>203.9</v>
      </c>
      <c r="P208" s="8">
        <v>10.199999999999999</v>
      </c>
      <c r="Q208" s="10">
        <v>20</v>
      </c>
      <c r="R208" s="10">
        <v>5</v>
      </c>
      <c r="S208" s="8">
        <v>239.1</v>
      </c>
      <c r="T208">
        <v>24.67</v>
      </c>
      <c r="U208" t="str">
        <f t="shared" si="3"/>
        <v>Wednesday</v>
      </c>
    </row>
    <row r="209" spans="1:21" x14ac:dyDescent="0.3">
      <c r="A209" s="5" t="s">
        <v>1056</v>
      </c>
      <c r="B209" s="3" t="s">
        <v>3688</v>
      </c>
      <c r="C209" s="5" t="s">
        <v>1057</v>
      </c>
      <c r="D209" s="5" t="s">
        <v>21</v>
      </c>
      <c r="E209" s="5" t="s">
        <v>36</v>
      </c>
      <c r="F209" s="5" t="s">
        <v>23</v>
      </c>
      <c r="G209" t="s">
        <v>1058</v>
      </c>
      <c r="H209" s="5" t="s">
        <v>25</v>
      </c>
      <c r="I209" s="5" t="s">
        <v>78</v>
      </c>
      <c r="J209" s="5" t="s">
        <v>79</v>
      </c>
      <c r="K209" s="5" t="s">
        <v>73</v>
      </c>
      <c r="L209">
        <v>1</v>
      </c>
      <c r="M209">
        <v>162.57</v>
      </c>
      <c r="N209" s="8">
        <v>24.39</v>
      </c>
      <c r="O209" s="8">
        <v>138.18</v>
      </c>
      <c r="P209" s="8">
        <v>6.91</v>
      </c>
      <c r="Q209" s="10">
        <v>0</v>
      </c>
      <c r="R209" s="10">
        <v>0</v>
      </c>
      <c r="S209" s="8">
        <v>145.09</v>
      </c>
      <c r="T209">
        <v>12</v>
      </c>
      <c r="U209" t="str">
        <f t="shared" si="3"/>
        <v>Saturday</v>
      </c>
    </row>
    <row r="210" spans="1:21" x14ac:dyDescent="0.3">
      <c r="A210" s="5" t="s">
        <v>1059</v>
      </c>
      <c r="B210" s="3" t="s">
        <v>3723</v>
      </c>
      <c r="C210" s="5" t="s">
        <v>1060</v>
      </c>
      <c r="D210" s="5" t="s">
        <v>21</v>
      </c>
      <c r="E210" s="5" t="s">
        <v>36</v>
      </c>
      <c r="F210" s="5" t="s">
        <v>42</v>
      </c>
      <c r="G210" t="s">
        <v>1061</v>
      </c>
      <c r="H210" s="5" t="s">
        <v>3675</v>
      </c>
      <c r="I210" s="5" t="s">
        <v>85</v>
      </c>
      <c r="J210" s="5" t="s">
        <v>86</v>
      </c>
      <c r="K210" s="5" t="s">
        <v>196</v>
      </c>
      <c r="L210">
        <v>1</v>
      </c>
      <c r="M210">
        <v>68.319999999999993</v>
      </c>
      <c r="N210" s="8">
        <v>3.42</v>
      </c>
      <c r="O210" s="8">
        <v>64.899999999999991</v>
      </c>
      <c r="P210" s="8">
        <v>3.24</v>
      </c>
      <c r="Q210" s="10">
        <v>0</v>
      </c>
      <c r="R210" s="10">
        <v>0</v>
      </c>
      <c r="S210" s="8">
        <v>68.139999999999986</v>
      </c>
      <c r="T210">
        <v>24.67</v>
      </c>
      <c r="U210" t="str">
        <f t="shared" si="3"/>
        <v>Monday</v>
      </c>
    </row>
    <row r="211" spans="1:21" x14ac:dyDescent="0.3">
      <c r="A211" s="5" t="s">
        <v>1062</v>
      </c>
      <c r="B211" s="3" t="s">
        <v>3705</v>
      </c>
      <c r="C211" s="5" t="s">
        <v>1063</v>
      </c>
      <c r="D211" s="5" t="s">
        <v>21</v>
      </c>
      <c r="E211" s="5" t="s">
        <v>76</v>
      </c>
      <c r="F211" s="5" t="s">
        <v>23</v>
      </c>
      <c r="G211" t="s">
        <v>1064</v>
      </c>
      <c r="H211" s="5" t="s">
        <v>3675</v>
      </c>
      <c r="I211" s="5" t="s">
        <v>90</v>
      </c>
      <c r="J211" s="5" t="s">
        <v>91</v>
      </c>
      <c r="K211" s="5" t="s">
        <v>40</v>
      </c>
      <c r="L211">
        <v>1</v>
      </c>
      <c r="M211">
        <v>118.37</v>
      </c>
      <c r="N211" s="8">
        <v>17.760000000000002</v>
      </c>
      <c r="O211" s="8">
        <v>100.61</v>
      </c>
      <c r="P211" s="8">
        <v>5.03</v>
      </c>
      <c r="Q211" s="10">
        <v>20</v>
      </c>
      <c r="R211" s="10">
        <v>10</v>
      </c>
      <c r="S211" s="8">
        <v>135.63999999999999</v>
      </c>
      <c r="T211">
        <v>24.67</v>
      </c>
      <c r="U211" t="str">
        <f t="shared" si="3"/>
        <v>Tuesday</v>
      </c>
    </row>
    <row r="212" spans="1:21" x14ac:dyDescent="0.3">
      <c r="A212" s="5" t="s">
        <v>1065</v>
      </c>
      <c r="B212" s="3" t="s">
        <v>3705</v>
      </c>
      <c r="C212" s="5" t="s">
        <v>1066</v>
      </c>
      <c r="D212" s="5" t="s">
        <v>21</v>
      </c>
      <c r="E212" s="5" t="s">
        <v>22</v>
      </c>
      <c r="F212" s="5" t="s">
        <v>37</v>
      </c>
      <c r="G212" t="s">
        <v>1067</v>
      </c>
      <c r="H212" s="5" t="s">
        <v>3675</v>
      </c>
      <c r="I212" s="5" t="s">
        <v>95</v>
      </c>
      <c r="J212" s="5" t="s">
        <v>96</v>
      </c>
      <c r="K212" s="5" t="s">
        <v>45</v>
      </c>
      <c r="L212">
        <v>4</v>
      </c>
      <c r="M212">
        <v>81.39</v>
      </c>
      <c r="N212" s="8">
        <v>8.14</v>
      </c>
      <c r="O212" s="8">
        <v>317.42</v>
      </c>
      <c r="P212" s="8">
        <v>15.87</v>
      </c>
      <c r="Q212" s="10">
        <v>0</v>
      </c>
      <c r="R212" s="10">
        <v>0</v>
      </c>
      <c r="S212" s="8">
        <v>333.29</v>
      </c>
      <c r="T212">
        <v>34</v>
      </c>
      <c r="U212" t="str">
        <f t="shared" si="3"/>
        <v>Tuesday</v>
      </c>
    </row>
    <row r="213" spans="1:21" x14ac:dyDescent="0.3">
      <c r="A213" s="5" t="s">
        <v>1068</v>
      </c>
      <c r="B213" s="3" t="s">
        <v>3694</v>
      </c>
      <c r="C213" s="5" t="s">
        <v>1069</v>
      </c>
      <c r="D213" s="5" t="s">
        <v>21</v>
      </c>
      <c r="E213" s="5" t="s">
        <v>22</v>
      </c>
      <c r="F213" s="5" t="s">
        <v>23</v>
      </c>
      <c r="G213" t="s">
        <v>1070</v>
      </c>
      <c r="H213" s="5" t="s">
        <v>100</v>
      </c>
      <c r="I213" s="5" t="s">
        <v>101</v>
      </c>
      <c r="J213" s="5" t="s">
        <v>102</v>
      </c>
      <c r="K213" s="5" t="s">
        <v>73</v>
      </c>
      <c r="L213">
        <v>5</v>
      </c>
      <c r="M213">
        <v>227.96</v>
      </c>
      <c r="N213" s="8">
        <v>34.19</v>
      </c>
      <c r="O213" s="8">
        <v>1105.6099999999999</v>
      </c>
      <c r="P213" s="8">
        <v>55.28</v>
      </c>
      <c r="Q213" s="10">
        <v>0</v>
      </c>
      <c r="R213" s="10">
        <v>15</v>
      </c>
      <c r="S213" s="8">
        <v>1175.8900000000001</v>
      </c>
      <c r="T213">
        <v>48</v>
      </c>
      <c r="U213" t="str">
        <f t="shared" si="3"/>
        <v>Thursday</v>
      </c>
    </row>
    <row r="214" spans="1:21" x14ac:dyDescent="0.3">
      <c r="A214" s="5" t="s">
        <v>1071</v>
      </c>
      <c r="B214" s="3" t="s">
        <v>3694</v>
      </c>
      <c r="C214" s="5" t="s">
        <v>1072</v>
      </c>
      <c r="D214" s="5" t="s">
        <v>21</v>
      </c>
      <c r="E214" s="5" t="s">
        <v>76</v>
      </c>
      <c r="F214" s="5" t="s">
        <v>42</v>
      </c>
      <c r="G214" t="s">
        <v>1073</v>
      </c>
      <c r="H214" s="5" t="s">
        <v>3676</v>
      </c>
      <c r="I214" s="5" t="s">
        <v>108</v>
      </c>
      <c r="J214" s="5" t="s">
        <v>109</v>
      </c>
      <c r="K214" s="5" t="s">
        <v>196</v>
      </c>
      <c r="L214">
        <v>3</v>
      </c>
      <c r="M214">
        <v>98.1</v>
      </c>
      <c r="N214" s="8">
        <v>14.71</v>
      </c>
      <c r="O214" s="8">
        <v>279.58999999999997</v>
      </c>
      <c r="P214" s="8">
        <v>13.98</v>
      </c>
      <c r="Q214" s="10">
        <v>20</v>
      </c>
      <c r="R214" s="10">
        <v>15</v>
      </c>
      <c r="S214" s="8">
        <v>328.57</v>
      </c>
      <c r="T214">
        <v>16</v>
      </c>
      <c r="U214" t="str">
        <f t="shared" si="3"/>
        <v>Thursday</v>
      </c>
    </row>
    <row r="215" spans="1:21" x14ac:dyDescent="0.3">
      <c r="A215" s="5" t="s">
        <v>1074</v>
      </c>
      <c r="B215" s="3" t="s">
        <v>3720</v>
      </c>
      <c r="C215" s="5" t="s">
        <v>1075</v>
      </c>
      <c r="D215" s="5" t="s">
        <v>21</v>
      </c>
      <c r="E215" s="5" t="s">
        <v>69</v>
      </c>
      <c r="F215" s="5" t="s">
        <v>37</v>
      </c>
      <c r="G215" t="s">
        <v>1076</v>
      </c>
      <c r="H215" s="5" t="s">
        <v>3675</v>
      </c>
      <c r="I215" s="5" t="s">
        <v>114</v>
      </c>
      <c r="J215" s="5" t="s">
        <v>115</v>
      </c>
      <c r="K215" s="5" t="s">
        <v>73</v>
      </c>
      <c r="L215">
        <v>2</v>
      </c>
      <c r="M215">
        <v>73.260000000000005</v>
      </c>
      <c r="N215" s="8">
        <v>7.33</v>
      </c>
      <c r="O215" s="8">
        <v>139.19</v>
      </c>
      <c r="P215" s="8">
        <v>6.96</v>
      </c>
      <c r="Q215" s="10">
        <v>30</v>
      </c>
      <c r="R215" s="10">
        <v>5</v>
      </c>
      <c r="S215" s="8">
        <v>181.15</v>
      </c>
      <c r="T215">
        <v>45</v>
      </c>
      <c r="U215" t="str">
        <f t="shared" si="3"/>
        <v>Monday</v>
      </c>
    </row>
    <row r="216" spans="1:21" x14ac:dyDescent="0.3">
      <c r="A216" s="5" t="s">
        <v>1077</v>
      </c>
      <c r="B216" s="3" t="s">
        <v>3695</v>
      </c>
      <c r="C216" s="5" t="s">
        <v>1078</v>
      </c>
      <c r="D216" s="5" t="s">
        <v>82</v>
      </c>
      <c r="E216" s="5" t="s">
        <v>83</v>
      </c>
      <c r="F216" s="5" t="s">
        <v>42</v>
      </c>
      <c r="G216" t="s">
        <v>1079</v>
      </c>
      <c r="H216" s="5" t="s">
        <v>3673</v>
      </c>
      <c r="I216" s="5" t="s">
        <v>119</v>
      </c>
      <c r="J216" s="5" t="s">
        <v>120</v>
      </c>
      <c r="K216" s="5" t="s">
        <v>28</v>
      </c>
      <c r="L216">
        <v>1</v>
      </c>
      <c r="M216">
        <v>138.9</v>
      </c>
      <c r="N216" s="8">
        <v>13.89</v>
      </c>
      <c r="O216" s="8">
        <v>125.01</v>
      </c>
      <c r="P216" s="8">
        <v>6.25</v>
      </c>
      <c r="Q216" s="10">
        <v>0</v>
      </c>
      <c r="R216" s="10">
        <v>5</v>
      </c>
      <c r="S216" s="8">
        <v>136.26</v>
      </c>
      <c r="T216">
        <v>23</v>
      </c>
      <c r="U216" t="str">
        <f t="shared" si="3"/>
        <v>Thursday</v>
      </c>
    </row>
    <row r="217" spans="1:21" x14ac:dyDescent="0.3">
      <c r="A217" s="5" t="s">
        <v>1080</v>
      </c>
      <c r="B217" s="3" t="s">
        <v>3686</v>
      </c>
      <c r="C217" s="5" t="s">
        <v>1081</v>
      </c>
      <c r="D217" s="5" t="s">
        <v>21</v>
      </c>
      <c r="E217" s="5" t="s">
        <v>69</v>
      </c>
      <c r="F217" s="5" t="s">
        <v>42</v>
      </c>
      <c r="G217" t="s">
        <v>1082</v>
      </c>
      <c r="H217" s="5" t="s">
        <v>3673</v>
      </c>
      <c r="I217" s="5" t="s">
        <v>124</v>
      </c>
      <c r="J217" s="5" t="s">
        <v>125</v>
      </c>
      <c r="K217" s="5" t="s">
        <v>196</v>
      </c>
      <c r="L217">
        <v>2</v>
      </c>
      <c r="M217">
        <v>119.84</v>
      </c>
      <c r="N217" s="8">
        <v>11.98</v>
      </c>
      <c r="O217" s="8">
        <v>227.7</v>
      </c>
      <c r="P217" s="8">
        <v>11.39</v>
      </c>
      <c r="Q217" s="10">
        <v>10</v>
      </c>
      <c r="R217" s="10">
        <v>15</v>
      </c>
      <c r="S217" s="8">
        <v>264.08999999999997</v>
      </c>
      <c r="T217">
        <v>28</v>
      </c>
      <c r="U217" t="str">
        <f t="shared" si="3"/>
        <v>Saturday</v>
      </c>
    </row>
    <row r="218" spans="1:21" x14ac:dyDescent="0.3">
      <c r="A218" s="5" t="s">
        <v>1083</v>
      </c>
      <c r="B218" s="3" t="s">
        <v>3683</v>
      </c>
      <c r="C218" s="5" t="s">
        <v>1084</v>
      </c>
      <c r="D218" s="5" t="s">
        <v>21</v>
      </c>
      <c r="E218" s="5" t="s">
        <v>112</v>
      </c>
      <c r="F218" s="5" t="s">
        <v>42</v>
      </c>
      <c r="G218" t="s">
        <v>1085</v>
      </c>
      <c r="H218" s="5" t="s">
        <v>3673</v>
      </c>
      <c r="I218" s="5" t="s">
        <v>129</v>
      </c>
      <c r="J218" s="5" t="s">
        <v>130</v>
      </c>
      <c r="K218" s="5" t="s">
        <v>56</v>
      </c>
      <c r="L218">
        <v>3</v>
      </c>
      <c r="M218">
        <v>138.13999999999999</v>
      </c>
      <c r="N218" s="8">
        <v>0</v>
      </c>
      <c r="O218" s="8">
        <v>414.42</v>
      </c>
      <c r="P218" s="8">
        <v>20.72</v>
      </c>
      <c r="Q218" s="10">
        <v>20</v>
      </c>
      <c r="R218" s="10">
        <v>15</v>
      </c>
      <c r="S218" s="8">
        <v>470.14</v>
      </c>
      <c r="T218">
        <v>8</v>
      </c>
      <c r="U218" t="str">
        <f t="shared" si="3"/>
        <v>Thursday</v>
      </c>
    </row>
    <row r="219" spans="1:21" x14ac:dyDescent="0.3">
      <c r="A219" s="5" t="s">
        <v>1086</v>
      </c>
      <c r="B219" s="3" t="s">
        <v>3710</v>
      </c>
      <c r="C219" s="5" t="s">
        <v>1087</v>
      </c>
      <c r="D219" s="5" t="s">
        <v>21</v>
      </c>
      <c r="E219" s="5" t="s">
        <v>112</v>
      </c>
      <c r="F219" s="5" t="s">
        <v>42</v>
      </c>
      <c r="H219" s="5" t="s">
        <v>25</v>
      </c>
      <c r="I219" s="5" t="s">
        <v>133</v>
      </c>
      <c r="J219" s="5" t="s">
        <v>134</v>
      </c>
      <c r="K219" s="5" t="s">
        <v>40</v>
      </c>
      <c r="L219">
        <v>3</v>
      </c>
      <c r="M219">
        <v>215.95</v>
      </c>
      <c r="N219" s="8">
        <v>21.59</v>
      </c>
      <c r="O219" s="8">
        <v>626.25999999999988</v>
      </c>
      <c r="P219" s="8">
        <v>31.31</v>
      </c>
      <c r="Q219" s="10">
        <v>20</v>
      </c>
      <c r="R219" s="10">
        <v>20</v>
      </c>
      <c r="S219" s="8">
        <v>697.56999999999982</v>
      </c>
      <c r="T219">
        <v>14</v>
      </c>
      <c r="U219" t="str">
        <f t="shared" si="3"/>
        <v>Monday</v>
      </c>
    </row>
    <row r="220" spans="1:21" x14ac:dyDescent="0.3">
      <c r="A220" s="5" t="s">
        <v>1088</v>
      </c>
      <c r="B220" s="3" t="s">
        <v>3705</v>
      </c>
      <c r="C220" s="5" t="s">
        <v>1089</v>
      </c>
      <c r="D220" s="5" t="s">
        <v>82</v>
      </c>
      <c r="E220" s="5" t="s">
        <v>83</v>
      </c>
      <c r="F220" s="5" t="s">
        <v>42</v>
      </c>
      <c r="G220" t="s">
        <v>1090</v>
      </c>
      <c r="H220" s="5" t="s">
        <v>3676</v>
      </c>
      <c r="I220" s="5" t="s">
        <v>138</v>
      </c>
      <c r="J220" s="5" t="s">
        <v>139</v>
      </c>
      <c r="K220" s="5" t="s">
        <v>73</v>
      </c>
      <c r="L220">
        <v>4</v>
      </c>
      <c r="M220">
        <v>139.58000000000001</v>
      </c>
      <c r="N220" s="8">
        <v>13.96</v>
      </c>
      <c r="O220" s="8">
        <v>544.36</v>
      </c>
      <c r="P220" s="8">
        <v>27.22</v>
      </c>
      <c r="Q220" s="10">
        <v>10</v>
      </c>
      <c r="R220" s="10">
        <v>20</v>
      </c>
      <c r="S220" s="8">
        <v>601.58000000000004</v>
      </c>
      <c r="T220">
        <v>25</v>
      </c>
      <c r="U220" t="str">
        <f t="shared" si="3"/>
        <v>Tuesday</v>
      </c>
    </row>
    <row r="221" spans="1:21" x14ac:dyDescent="0.3">
      <c r="A221" s="5" t="s">
        <v>1091</v>
      </c>
      <c r="B221" s="3" t="s">
        <v>3700</v>
      </c>
      <c r="C221" s="5" t="s">
        <v>1092</v>
      </c>
      <c r="D221" s="5" t="s">
        <v>21</v>
      </c>
      <c r="E221" s="5" t="s">
        <v>76</v>
      </c>
      <c r="F221" s="5" t="s">
        <v>37</v>
      </c>
      <c r="G221" t="s">
        <v>1093</v>
      </c>
      <c r="H221" s="5" t="s">
        <v>3673</v>
      </c>
      <c r="I221" s="5" t="s">
        <v>143</v>
      </c>
      <c r="J221" s="5" t="s">
        <v>144</v>
      </c>
      <c r="K221" s="5" t="s">
        <v>73</v>
      </c>
      <c r="L221">
        <v>3</v>
      </c>
      <c r="M221">
        <v>80.92</v>
      </c>
      <c r="N221" s="8">
        <v>8.09</v>
      </c>
      <c r="O221" s="8">
        <v>234.67</v>
      </c>
      <c r="P221" s="8">
        <v>11.73</v>
      </c>
      <c r="Q221" s="10">
        <v>0</v>
      </c>
      <c r="R221" s="10">
        <v>0</v>
      </c>
      <c r="S221" s="8">
        <v>246.4</v>
      </c>
      <c r="T221">
        <v>24</v>
      </c>
      <c r="U221" t="str">
        <f t="shared" si="3"/>
        <v>Saturday</v>
      </c>
    </row>
    <row r="222" spans="1:21" x14ac:dyDescent="0.3">
      <c r="A222" s="5" t="s">
        <v>1094</v>
      </c>
      <c r="B222" s="3" t="s">
        <v>3678</v>
      </c>
      <c r="C222" s="5" t="s">
        <v>1095</v>
      </c>
      <c r="D222" s="5" t="s">
        <v>21</v>
      </c>
      <c r="E222" s="5" t="s">
        <v>22</v>
      </c>
      <c r="F222" s="5" t="s">
        <v>23</v>
      </c>
      <c r="G222" t="s">
        <v>1096</v>
      </c>
      <c r="H222" s="5" t="s">
        <v>3673</v>
      </c>
      <c r="I222" s="5" t="s">
        <v>149</v>
      </c>
      <c r="J222" s="5" t="s">
        <v>150</v>
      </c>
      <c r="K222" s="5" t="s">
        <v>73</v>
      </c>
      <c r="L222">
        <v>4</v>
      </c>
      <c r="M222">
        <v>149.66999999999999</v>
      </c>
      <c r="N222" s="8">
        <v>0</v>
      </c>
      <c r="O222" s="8">
        <v>598.67999999999995</v>
      </c>
      <c r="P222" s="8">
        <v>29.93</v>
      </c>
      <c r="Q222" s="10">
        <v>20</v>
      </c>
      <c r="R222" s="10">
        <v>15</v>
      </c>
      <c r="S222" s="8">
        <v>663.6099999999999</v>
      </c>
      <c r="T222">
        <v>32</v>
      </c>
      <c r="U222" t="str">
        <f t="shared" si="3"/>
        <v>Saturday</v>
      </c>
    </row>
    <row r="223" spans="1:21" x14ac:dyDescent="0.3">
      <c r="A223" s="5" t="s">
        <v>1097</v>
      </c>
      <c r="B223" s="3" t="s">
        <v>3698</v>
      </c>
      <c r="C223" s="5" t="s">
        <v>1098</v>
      </c>
      <c r="D223" s="5" t="s">
        <v>82</v>
      </c>
      <c r="E223" s="5" t="s">
        <v>83</v>
      </c>
      <c r="F223" s="5" t="s">
        <v>42</v>
      </c>
      <c r="G223" t="s">
        <v>1099</v>
      </c>
      <c r="H223" s="5" t="s">
        <v>3674</v>
      </c>
      <c r="I223" s="5" t="s">
        <v>154</v>
      </c>
      <c r="J223" s="5" t="s">
        <v>155</v>
      </c>
      <c r="K223" s="5" t="s">
        <v>145</v>
      </c>
      <c r="L223">
        <v>3</v>
      </c>
      <c r="M223">
        <v>276.10000000000002</v>
      </c>
      <c r="N223" s="8">
        <v>41.41</v>
      </c>
      <c r="O223" s="8">
        <v>786.8900000000001</v>
      </c>
      <c r="P223" s="8">
        <v>39.340000000000003</v>
      </c>
      <c r="Q223" s="10">
        <v>30</v>
      </c>
      <c r="R223" s="10">
        <v>15</v>
      </c>
      <c r="S223" s="8">
        <v>871.23000000000013</v>
      </c>
      <c r="T223">
        <v>26</v>
      </c>
      <c r="U223" t="str">
        <f t="shared" si="3"/>
        <v>Sunday</v>
      </c>
    </row>
    <row r="224" spans="1:21" x14ac:dyDescent="0.3">
      <c r="A224" s="5" t="s">
        <v>1100</v>
      </c>
      <c r="B224" s="3" t="s">
        <v>3732</v>
      </c>
      <c r="C224" s="5" t="s">
        <v>1101</v>
      </c>
      <c r="D224" s="5" t="s">
        <v>21</v>
      </c>
      <c r="E224" s="5" t="s">
        <v>76</v>
      </c>
      <c r="F224" s="5" t="s">
        <v>23</v>
      </c>
      <c r="G224" t="s">
        <v>1102</v>
      </c>
      <c r="H224" s="5" t="s">
        <v>25</v>
      </c>
      <c r="I224" s="5" t="s">
        <v>159</v>
      </c>
      <c r="J224" s="5" t="s">
        <v>160</v>
      </c>
      <c r="K224" s="5" t="s">
        <v>73</v>
      </c>
      <c r="L224">
        <v>1</v>
      </c>
      <c r="M224">
        <v>82.66</v>
      </c>
      <c r="N224" s="8">
        <v>12.4</v>
      </c>
      <c r="O224" s="8">
        <v>70.259999999999991</v>
      </c>
      <c r="P224" s="8">
        <v>3.51</v>
      </c>
      <c r="Q224" s="10">
        <v>10</v>
      </c>
      <c r="R224" s="10">
        <v>0</v>
      </c>
      <c r="S224" s="8">
        <v>83.77</v>
      </c>
      <c r="T224">
        <v>29</v>
      </c>
      <c r="U224" t="str">
        <f t="shared" si="3"/>
        <v>Wednesday</v>
      </c>
    </row>
    <row r="225" spans="1:21" x14ac:dyDescent="0.3">
      <c r="A225" s="5" t="s">
        <v>1103</v>
      </c>
      <c r="B225" s="3" t="s">
        <v>3711</v>
      </c>
      <c r="C225" s="5" t="s">
        <v>1104</v>
      </c>
      <c r="D225" s="5" t="s">
        <v>82</v>
      </c>
      <c r="E225" s="5" t="s">
        <v>83</v>
      </c>
      <c r="F225" s="5" t="s">
        <v>37</v>
      </c>
      <c r="G225" t="s">
        <v>1105</v>
      </c>
      <c r="H225" s="5" t="s">
        <v>3676</v>
      </c>
      <c r="I225" s="5" t="s">
        <v>164</v>
      </c>
      <c r="J225" s="5" t="s">
        <v>165</v>
      </c>
      <c r="K225" s="5" t="s">
        <v>22</v>
      </c>
      <c r="L225">
        <v>2</v>
      </c>
      <c r="M225">
        <v>68.97</v>
      </c>
      <c r="N225" s="8">
        <v>3.45</v>
      </c>
      <c r="O225" s="8">
        <v>134.49</v>
      </c>
      <c r="P225" s="8">
        <v>6.72</v>
      </c>
      <c r="Q225" s="10">
        <v>10</v>
      </c>
      <c r="R225" s="10">
        <v>20</v>
      </c>
      <c r="S225" s="8">
        <v>171.21</v>
      </c>
      <c r="T225">
        <v>12</v>
      </c>
      <c r="U225" t="str">
        <f t="shared" si="3"/>
        <v>Wednesday</v>
      </c>
    </row>
    <row r="226" spans="1:21" x14ac:dyDescent="0.3">
      <c r="A226" s="5" t="s">
        <v>1106</v>
      </c>
      <c r="B226" s="3" t="s">
        <v>3702</v>
      </c>
      <c r="C226" s="5" t="s">
        <v>1107</v>
      </c>
      <c r="D226" s="5" t="s">
        <v>21</v>
      </c>
      <c r="E226" s="5" t="s">
        <v>69</v>
      </c>
      <c r="F226" s="5" t="s">
        <v>23</v>
      </c>
      <c r="G226" t="s">
        <v>1108</v>
      </c>
      <c r="H226" s="5" t="s">
        <v>3673</v>
      </c>
      <c r="I226" s="5" t="s">
        <v>169</v>
      </c>
      <c r="J226" s="5" t="s">
        <v>170</v>
      </c>
      <c r="K226" s="5" t="s">
        <v>145</v>
      </c>
      <c r="L226">
        <v>5</v>
      </c>
      <c r="M226">
        <v>163.19</v>
      </c>
      <c r="N226" s="8">
        <v>16.32</v>
      </c>
      <c r="O226" s="8">
        <v>799.63</v>
      </c>
      <c r="P226" s="8">
        <v>39.979999999999997</v>
      </c>
      <c r="Q226" s="10">
        <v>20</v>
      </c>
      <c r="R226" s="10">
        <v>5</v>
      </c>
      <c r="S226" s="8">
        <v>864.61</v>
      </c>
      <c r="T226">
        <v>39</v>
      </c>
      <c r="U226" t="str">
        <f t="shared" si="3"/>
        <v>Monday</v>
      </c>
    </row>
    <row r="227" spans="1:21" x14ac:dyDescent="0.3">
      <c r="A227" s="5" t="s">
        <v>1109</v>
      </c>
      <c r="B227" s="3" t="s">
        <v>3711</v>
      </c>
      <c r="C227" s="5" t="s">
        <v>1110</v>
      </c>
      <c r="D227" s="5" t="s">
        <v>21</v>
      </c>
      <c r="E227" s="5" t="s">
        <v>76</v>
      </c>
      <c r="F227" s="5" t="s">
        <v>42</v>
      </c>
      <c r="G227" t="s">
        <v>1111</v>
      </c>
      <c r="H227" s="5" t="s">
        <v>3673</v>
      </c>
      <c r="I227" s="5" t="s">
        <v>174</v>
      </c>
      <c r="J227" s="5" t="s">
        <v>175</v>
      </c>
      <c r="K227" s="5" t="s">
        <v>196</v>
      </c>
      <c r="L227">
        <v>4</v>
      </c>
      <c r="M227">
        <v>12.79</v>
      </c>
      <c r="N227" s="8">
        <v>1.28</v>
      </c>
      <c r="O227" s="8">
        <v>49.88</v>
      </c>
      <c r="P227" s="8">
        <v>2.4900000000000002</v>
      </c>
      <c r="Q227" s="10">
        <v>20</v>
      </c>
      <c r="R227" s="10">
        <v>15</v>
      </c>
      <c r="S227" s="8">
        <v>87.37</v>
      </c>
      <c r="T227">
        <v>27</v>
      </c>
      <c r="U227" t="str">
        <f t="shared" si="3"/>
        <v>Wednesday</v>
      </c>
    </row>
    <row r="228" spans="1:21" x14ac:dyDescent="0.3">
      <c r="A228" s="5" t="s">
        <v>1112</v>
      </c>
      <c r="B228" s="3" t="s">
        <v>3679</v>
      </c>
      <c r="C228" s="5" t="s">
        <v>1113</v>
      </c>
      <c r="D228" s="5" t="s">
        <v>21</v>
      </c>
      <c r="E228" s="5" t="s">
        <v>112</v>
      </c>
      <c r="F228" s="5" t="s">
        <v>23</v>
      </c>
      <c r="G228" t="s">
        <v>1114</v>
      </c>
      <c r="H228" s="5" t="s">
        <v>3673</v>
      </c>
      <c r="I228" s="5" t="s">
        <v>179</v>
      </c>
      <c r="J228" s="5" t="s">
        <v>180</v>
      </c>
      <c r="K228" s="5" t="s">
        <v>34</v>
      </c>
      <c r="L228">
        <v>3</v>
      </c>
      <c r="M228">
        <v>72.91</v>
      </c>
      <c r="N228" s="8">
        <v>0</v>
      </c>
      <c r="O228" s="8">
        <v>218.73</v>
      </c>
      <c r="P228" s="8">
        <v>10.94</v>
      </c>
      <c r="Q228" s="10">
        <v>30</v>
      </c>
      <c r="R228" s="10">
        <v>0</v>
      </c>
      <c r="S228" s="8">
        <v>259.67</v>
      </c>
      <c r="T228">
        <v>31</v>
      </c>
      <c r="U228" t="str">
        <f t="shared" si="3"/>
        <v>Friday</v>
      </c>
    </row>
    <row r="229" spans="1:21" x14ac:dyDescent="0.3">
      <c r="A229" s="5" t="s">
        <v>1115</v>
      </c>
      <c r="B229" s="3" t="s">
        <v>3734</v>
      </c>
      <c r="C229" s="5" t="s">
        <v>1116</v>
      </c>
      <c r="D229" s="5" t="s">
        <v>21</v>
      </c>
      <c r="E229" s="5" t="s">
        <v>76</v>
      </c>
      <c r="F229" s="5" t="s">
        <v>42</v>
      </c>
      <c r="G229" t="s">
        <v>1117</v>
      </c>
      <c r="H229" s="5" t="s">
        <v>3675</v>
      </c>
      <c r="I229" s="5" t="s">
        <v>184</v>
      </c>
      <c r="J229" s="5" t="s">
        <v>185</v>
      </c>
      <c r="K229" s="5" t="s">
        <v>45</v>
      </c>
      <c r="L229">
        <v>1</v>
      </c>
      <c r="M229">
        <v>53.62</v>
      </c>
      <c r="N229" s="8">
        <v>5.36</v>
      </c>
      <c r="O229" s="8">
        <v>48.26</v>
      </c>
      <c r="P229" s="8">
        <v>2.41</v>
      </c>
      <c r="Q229" s="10">
        <v>0</v>
      </c>
      <c r="R229" s="10">
        <v>10</v>
      </c>
      <c r="S229" s="8">
        <v>60.67</v>
      </c>
      <c r="T229">
        <v>23</v>
      </c>
      <c r="U229" t="str">
        <f t="shared" si="3"/>
        <v>Monday</v>
      </c>
    </row>
    <row r="230" spans="1:21" x14ac:dyDescent="0.3">
      <c r="A230" s="5" t="s">
        <v>1118</v>
      </c>
      <c r="B230" s="3" t="s">
        <v>3731</v>
      </c>
      <c r="C230" s="5" t="s">
        <v>1119</v>
      </c>
      <c r="D230" s="5" t="s">
        <v>106</v>
      </c>
      <c r="E230" s="5" t="s">
        <v>83</v>
      </c>
      <c r="F230" s="5" t="s">
        <v>37</v>
      </c>
      <c r="G230" t="s">
        <v>1120</v>
      </c>
      <c r="H230" s="5" t="s">
        <v>3676</v>
      </c>
      <c r="I230" s="5" t="s">
        <v>189</v>
      </c>
      <c r="J230" s="5" t="s">
        <v>190</v>
      </c>
      <c r="K230" s="5" t="s">
        <v>145</v>
      </c>
      <c r="L230">
        <v>5</v>
      </c>
      <c r="M230">
        <v>223.62</v>
      </c>
      <c r="N230" s="8">
        <v>0</v>
      </c>
      <c r="O230" s="8">
        <v>1118.0999999999999</v>
      </c>
      <c r="P230" s="8">
        <v>55.91</v>
      </c>
      <c r="Q230" s="10">
        <v>20</v>
      </c>
      <c r="R230" s="10">
        <v>20</v>
      </c>
      <c r="S230" s="8">
        <v>1214.01</v>
      </c>
      <c r="T230">
        <v>21</v>
      </c>
      <c r="U230" t="str">
        <f t="shared" si="3"/>
        <v>Monday</v>
      </c>
    </row>
    <row r="231" spans="1:21" x14ac:dyDescent="0.3">
      <c r="A231" s="5" t="s">
        <v>1121</v>
      </c>
      <c r="B231" s="3" t="s">
        <v>3691</v>
      </c>
      <c r="C231" s="5" t="s">
        <v>1122</v>
      </c>
      <c r="D231" s="5" t="s">
        <v>21</v>
      </c>
      <c r="E231" s="5" t="s">
        <v>76</v>
      </c>
      <c r="F231" s="5" t="s">
        <v>37</v>
      </c>
      <c r="G231" t="s">
        <v>1123</v>
      </c>
      <c r="H231" s="5" t="s">
        <v>25</v>
      </c>
      <c r="I231" s="5" t="s">
        <v>194</v>
      </c>
      <c r="J231" s="5" t="s">
        <v>195</v>
      </c>
      <c r="K231" s="5" t="s">
        <v>196</v>
      </c>
      <c r="L231">
        <v>1</v>
      </c>
      <c r="M231">
        <v>207.43</v>
      </c>
      <c r="N231" s="8">
        <v>0</v>
      </c>
      <c r="O231" s="8">
        <v>207.43</v>
      </c>
      <c r="P231" s="8">
        <v>10.37</v>
      </c>
      <c r="Q231" s="10">
        <v>30</v>
      </c>
      <c r="R231" s="10">
        <v>5</v>
      </c>
      <c r="S231" s="8">
        <v>252.8</v>
      </c>
      <c r="T231">
        <v>20</v>
      </c>
      <c r="U231" t="str">
        <f t="shared" si="3"/>
        <v>Friday</v>
      </c>
    </row>
    <row r="232" spans="1:21" x14ac:dyDescent="0.3">
      <c r="A232" s="5" t="s">
        <v>1124</v>
      </c>
      <c r="B232" s="3" t="s">
        <v>3678</v>
      </c>
      <c r="C232" s="5" t="s">
        <v>1125</v>
      </c>
      <c r="D232" s="5" t="s">
        <v>21</v>
      </c>
      <c r="E232" s="5" t="s">
        <v>112</v>
      </c>
      <c r="F232" s="5" t="s">
        <v>37</v>
      </c>
      <c r="G232" t="s">
        <v>1126</v>
      </c>
      <c r="H232" s="5" t="s">
        <v>100</v>
      </c>
      <c r="I232" s="5" t="s">
        <v>200</v>
      </c>
      <c r="J232" s="5" t="s">
        <v>201</v>
      </c>
      <c r="K232" s="5" t="s">
        <v>196</v>
      </c>
      <c r="L232">
        <v>1</v>
      </c>
      <c r="M232">
        <v>121.74</v>
      </c>
      <c r="N232" s="8">
        <v>6.09</v>
      </c>
      <c r="O232" s="8">
        <v>115.65</v>
      </c>
      <c r="P232" s="8">
        <v>5.78</v>
      </c>
      <c r="Q232" s="10">
        <v>0</v>
      </c>
      <c r="R232" s="10">
        <v>10</v>
      </c>
      <c r="S232" s="8">
        <v>131.43</v>
      </c>
      <c r="T232">
        <v>35</v>
      </c>
      <c r="U232" t="str">
        <f t="shared" si="3"/>
        <v>Saturday</v>
      </c>
    </row>
    <row r="233" spans="1:21" x14ac:dyDescent="0.3">
      <c r="A233" s="5" t="s">
        <v>1127</v>
      </c>
      <c r="B233" s="3" t="s">
        <v>3723</v>
      </c>
      <c r="C233" s="5" t="s">
        <v>1128</v>
      </c>
      <c r="D233" s="5" t="s">
        <v>21</v>
      </c>
      <c r="E233" s="5" t="s">
        <v>22</v>
      </c>
      <c r="F233" s="5" t="s">
        <v>23</v>
      </c>
      <c r="H233" s="5" t="s">
        <v>3675</v>
      </c>
      <c r="I233" s="5" t="s">
        <v>205</v>
      </c>
      <c r="J233" s="5" t="s">
        <v>206</v>
      </c>
      <c r="K233" s="5" t="s">
        <v>196</v>
      </c>
      <c r="L233">
        <v>2</v>
      </c>
      <c r="M233">
        <v>100.99</v>
      </c>
      <c r="N233" s="8">
        <v>5.05</v>
      </c>
      <c r="O233" s="8">
        <v>196.93</v>
      </c>
      <c r="P233" s="8">
        <v>9.85</v>
      </c>
      <c r="Q233" s="10">
        <v>20</v>
      </c>
      <c r="R233" s="10">
        <v>10</v>
      </c>
      <c r="S233" s="8">
        <v>236.78</v>
      </c>
      <c r="T233">
        <v>45</v>
      </c>
      <c r="U233" t="str">
        <f t="shared" si="3"/>
        <v>Monday</v>
      </c>
    </row>
    <row r="234" spans="1:21" x14ac:dyDescent="0.3">
      <c r="A234" s="5" t="s">
        <v>1129</v>
      </c>
      <c r="B234" s="3" t="s">
        <v>3681</v>
      </c>
      <c r="C234" s="5" t="s">
        <v>1130</v>
      </c>
      <c r="D234" s="5" t="s">
        <v>21</v>
      </c>
      <c r="E234" s="5" t="s">
        <v>76</v>
      </c>
      <c r="F234" s="5" t="s">
        <v>42</v>
      </c>
      <c r="G234" t="s">
        <v>1131</v>
      </c>
      <c r="H234" s="5" t="s">
        <v>3675</v>
      </c>
      <c r="I234" s="5" t="s">
        <v>210</v>
      </c>
      <c r="J234" s="5" t="s">
        <v>211</v>
      </c>
      <c r="K234" s="5" t="s">
        <v>73</v>
      </c>
      <c r="L234">
        <v>5</v>
      </c>
      <c r="M234">
        <v>181.44</v>
      </c>
      <c r="N234" s="8">
        <v>0</v>
      </c>
      <c r="O234" s="8">
        <v>907.2</v>
      </c>
      <c r="P234" s="8">
        <v>45.36</v>
      </c>
      <c r="Q234" s="10">
        <v>10</v>
      </c>
      <c r="R234" s="10">
        <v>15</v>
      </c>
      <c r="S234" s="8">
        <v>977.56000000000006</v>
      </c>
      <c r="T234">
        <v>30</v>
      </c>
      <c r="U234" t="str">
        <f t="shared" si="3"/>
        <v>Wednesday</v>
      </c>
    </row>
    <row r="235" spans="1:21" x14ac:dyDescent="0.3">
      <c r="A235" s="5" t="s">
        <v>1132</v>
      </c>
      <c r="B235" s="3" t="s">
        <v>3702</v>
      </c>
      <c r="C235" s="5" t="s">
        <v>1133</v>
      </c>
      <c r="D235" s="5" t="s">
        <v>82</v>
      </c>
      <c r="E235" s="5" t="s">
        <v>83</v>
      </c>
      <c r="F235" s="5" t="s">
        <v>37</v>
      </c>
      <c r="G235" t="s">
        <v>1134</v>
      </c>
      <c r="H235" s="5" t="s">
        <v>3673</v>
      </c>
      <c r="I235" s="5" t="s">
        <v>215</v>
      </c>
      <c r="J235" s="5" t="s">
        <v>216</v>
      </c>
      <c r="K235" s="5" t="s">
        <v>196</v>
      </c>
      <c r="L235">
        <v>5</v>
      </c>
      <c r="M235">
        <v>34.74</v>
      </c>
      <c r="N235" s="8">
        <v>5.21</v>
      </c>
      <c r="O235" s="8">
        <v>168.49</v>
      </c>
      <c r="P235" s="8">
        <v>8.42</v>
      </c>
      <c r="Q235" s="10">
        <v>20</v>
      </c>
      <c r="R235" s="10">
        <v>5</v>
      </c>
      <c r="S235" s="8">
        <v>201.91</v>
      </c>
      <c r="T235">
        <v>23</v>
      </c>
      <c r="U235" t="str">
        <f t="shared" si="3"/>
        <v>Monday</v>
      </c>
    </row>
    <row r="236" spans="1:21" x14ac:dyDescent="0.3">
      <c r="A236" s="5" t="s">
        <v>1135</v>
      </c>
      <c r="B236" s="3" t="s">
        <v>3714</v>
      </c>
      <c r="C236" s="5" t="s">
        <v>1136</v>
      </c>
      <c r="D236" s="5" t="s">
        <v>82</v>
      </c>
      <c r="E236" s="5" t="s">
        <v>83</v>
      </c>
      <c r="F236" s="5" t="s">
        <v>37</v>
      </c>
      <c r="G236" t="s">
        <v>1137</v>
      </c>
      <c r="H236" s="5" t="s">
        <v>3676</v>
      </c>
      <c r="I236" s="5" t="s">
        <v>220</v>
      </c>
      <c r="J236" s="5" t="s">
        <v>221</v>
      </c>
      <c r="K236" s="5" t="s">
        <v>73</v>
      </c>
      <c r="L236">
        <v>2</v>
      </c>
      <c r="M236">
        <v>176.87</v>
      </c>
      <c r="N236" s="8">
        <v>26.53</v>
      </c>
      <c r="O236" s="8">
        <v>327.20999999999998</v>
      </c>
      <c r="P236" s="8">
        <v>16.36</v>
      </c>
      <c r="Q236" s="10">
        <v>20</v>
      </c>
      <c r="R236" s="10">
        <v>10</v>
      </c>
      <c r="S236" s="8">
        <v>373.57000000000011</v>
      </c>
      <c r="T236">
        <v>31</v>
      </c>
      <c r="U236" t="str">
        <f t="shared" si="3"/>
        <v>Thursday</v>
      </c>
    </row>
    <row r="237" spans="1:21" x14ac:dyDescent="0.3">
      <c r="A237" s="5" t="s">
        <v>1138</v>
      </c>
      <c r="B237" s="3" t="s">
        <v>3712</v>
      </c>
      <c r="C237" s="5" t="s">
        <v>1139</v>
      </c>
      <c r="D237" s="5" t="s">
        <v>106</v>
      </c>
      <c r="E237" s="5" t="s">
        <v>83</v>
      </c>
      <c r="F237" s="5" t="s">
        <v>42</v>
      </c>
      <c r="G237" t="s">
        <v>1140</v>
      </c>
      <c r="H237" s="5" t="s">
        <v>3676</v>
      </c>
      <c r="I237" s="5" t="s">
        <v>225</v>
      </c>
      <c r="J237" s="5" t="s">
        <v>226</v>
      </c>
      <c r="K237" s="5" t="s">
        <v>40</v>
      </c>
      <c r="L237">
        <v>1</v>
      </c>
      <c r="M237">
        <v>108.38</v>
      </c>
      <c r="N237" s="8">
        <v>10.84</v>
      </c>
      <c r="O237" s="8">
        <v>97.539999999999992</v>
      </c>
      <c r="P237" s="8">
        <v>4.88</v>
      </c>
      <c r="Q237" s="10">
        <v>20</v>
      </c>
      <c r="R237" s="10">
        <v>10</v>
      </c>
      <c r="S237" s="8">
        <v>132.41999999999999</v>
      </c>
      <c r="T237">
        <v>16</v>
      </c>
      <c r="U237" t="str">
        <f t="shared" si="3"/>
        <v>Thursday</v>
      </c>
    </row>
    <row r="238" spans="1:21" x14ac:dyDescent="0.3">
      <c r="A238" s="5" t="s">
        <v>1141</v>
      </c>
      <c r="B238" s="3" t="s">
        <v>3698</v>
      </c>
      <c r="C238" s="5" t="s">
        <v>1142</v>
      </c>
      <c r="D238" s="5" t="s">
        <v>21</v>
      </c>
      <c r="E238" s="5" t="s">
        <v>22</v>
      </c>
      <c r="F238" s="5" t="s">
        <v>23</v>
      </c>
      <c r="G238" t="s">
        <v>1143</v>
      </c>
      <c r="H238" s="5" t="s">
        <v>25</v>
      </c>
      <c r="I238" s="5" t="s">
        <v>230</v>
      </c>
      <c r="J238" s="5" t="s">
        <v>231</v>
      </c>
      <c r="K238" s="5" t="s">
        <v>34</v>
      </c>
      <c r="L238">
        <v>4</v>
      </c>
      <c r="M238">
        <v>148.80000000000001</v>
      </c>
      <c r="N238" s="8">
        <v>14.88</v>
      </c>
      <c r="O238" s="8">
        <v>580.32000000000005</v>
      </c>
      <c r="P238" s="8">
        <v>29.02</v>
      </c>
      <c r="Q238" s="10">
        <v>0</v>
      </c>
      <c r="R238" s="10">
        <v>15</v>
      </c>
      <c r="S238" s="8">
        <v>624.34</v>
      </c>
      <c r="T238">
        <v>11</v>
      </c>
      <c r="U238" t="str">
        <f t="shared" si="3"/>
        <v>Sunday</v>
      </c>
    </row>
    <row r="239" spans="1:21" x14ac:dyDescent="0.3">
      <c r="A239" s="5" t="s">
        <v>1144</v>
      </c>
      <c r="B239" s="3" t="s">
        <v>3709</v>
      </c>
      <c r="C239" s="5" t="s">
        <v>1145</v>
      </c>
      <c r="D239" s="5" t="s">
        <v>82</v>
      </c>
      <c r="E239" s="5" t="s">
        <v>83</v>
      </c>
      <c r="F239" s="5" t="s">
        <v>37</v>
      </c>
      <c r="G239" t="s">
        <v>1146</v>
      </c>
      <c r="H239" s="5" t="s">
        <v>3676</v>
      </c>
      <c r="I239" s="5" t="s">
        <v>235</v>
      </c>
      <c r="J239" s="5" t="s">
        <v>236</v>
      </c>
      <c r="K239" s="5" t="s">
        <v>40</v>
      </c>
      <c r="L239">
        <v>1</v>
      </c>
      <c r="M239">
        <v>183.4</v>
      </c>
      <c r="N239" s="8">
        <v>27.51</v>
      </c>
      <c r="O239" s="8">
        <v>155.88999999999999</v>
      </c>
      <c r="P239" s="8">
        <v>7.79</v>
      </c>
      <c r="Q239" s="10">
        <v>10</v>
      </c>
      <c r="R239" s="10">
        <v>0</v>
      </c>
      <c r="S239" s="8">
        <v>173.68</v>
      </c>
      <c r="T239">
        <v>43</v>
      </c>
      <c r="U239" t="str">
        <f t="shared" si="3"/>
        <v>Thursday</v>
      </c>
    </row>
    <row r="240" spans="1:21" x14ac:dyDescent="0.3">
      <c r="A240" s="5" t="s">
        <v>1147</v>
      </c>
      <c r="B240" s="3" t="s">
        <v>3704</v>
      </c>
      <c r="C240" s="5" t="s">
        <v>1148</v>
      </c>
      <c r="D240" s="5" t="s">
        <v>21</v>
      </c>
      <c r="E240" s="5" t="s">
        <v>22</v>
      </c>
      <c r="F240" s="5" t="s">
        <v>23</v>
      </c>
      <c r="G240" t="s">
        <v>1149</v>
      </c>
      <c r="H240" s="5" t="s">
        <v>25</v>
      </c>
      <c r="I240" s="5" t="s">
        <v>240</v>
      </c>
      <c r="J240" s="5" t="s">
        <v>241</v>
      </c>
      <c r="K240" s="5" t="s">
        <v>56</v>
      </c>
      <c r="L240">
        <v>1</v>
      </c>
      <c r="M240">
        <v>152.71</v>
      </c>
      <c r="N240" s="8">
        <v>0</v>
      </c>
      <c r="O240" s="8">
        <v>152.71</v>
      </c>
      <c r="P240" s="8">
        <v>7.64</v>
      </c>
      <c r="Q240" s="10">
        <v>0</v>
      </c>
      <c r="R240" s="10">
        <v>0</v>
      </c>
      <c r="S240" s="8">
        <v>160.35</v>
      </c>
      <c r="T240">
        <v>15</v>
      </c>
      <c r="U240" t="str">
        <f t="shared" si="3"/>
        <v>Tuesday</v>
      </c>
    </row>
    <row r="241" spans="1:21" x14ac:dyDescent="0.3">
      <c r="A241" s="5" t="s">
        <v>1150</v>
      </c>
      <c r="B241" s="3" t="s">
        <v>3694</v>
      </c>
      <c r="C241" s="5" t="s">
        <v>1151</v>
      </c>
      <c r="D241" s="5" t="s">
        <v>21</v>
      </c>
      <c r="E241" s="5" t="s">
        <v>36</v>
      </c>
      <c r="F241" s="5" t="s">
        <v>37</v>
      </c>
      <c r="G241" t="s">
        <v>1152</v>
      </c>
      <c r="H241" s="5" t="s">
        <v>3673</v>
      </c>
      <c r="I241" s="5" t="s">
        <v>245</v>
      </c>
      <c r="J241" s="5" t="s">
        <v>246</v>
      </c>
      <c r="K241" s="5" t="s">
        <v>22</v>
      </c>
      <c r="L241">
        <v>4</v>
      </c>
      <c r="M241">
        <v>172.54</v>
      </c>
      <c r="N241" s="8">
        <v>8.6300000000000008</v>
      </c>
      <c r="O241" s="8">
        <v>681.53</v>
      </c>
      <c r="P241" s="8">
        <v>34.08</v>
      </c>
      <c r="Q241" s="10">
        <v>0</v>
      </c>
      <c r="R241" s="10">
        <v>10</v>
      </c>
      <c r="S241" s="8">
        <v>725.61</v>
      </c>
      <c r="T241">
        <v>12</v>
      </c>
      <c r="U241" t="str">
        <f t="shared" si="3"/>
        <v>Thursday</v>
      </c>
    </row>
    <row r="242" spans="1:21" x14ac:dyDescent="0.3">
      <c r="A242" s="5" t="s">
        <v>1153</v>
      </c>
      <c r="B242" s="3" t="s">
        <v>3687</v>
      </c>
      <c r="C242" s="5" t="s">
        <v>1154</v>
      </c>
      <c r="D242" s="5" t="s">
        <v>106</v>
      </c>
      <c r="E242" s="5" t="s">
        <v>83</v>
      </c>
      <c r="F242" s="5" t="s">
        <v>23</v>
      </c>
      <c r="G242" t="s">
        <v>1155</v>
      </c>
      <c r="H242" s="5" t="s">
        <v>100</v>
      </c>
      <c r="I242" s="5" t="s">
        <v>250</v>
      </c>
      <c r="J242" s="5" t="s">
        <v>251</v>
      </c>
      <c r="K242" s="5" t="s">
        <v>103</v>
      </c>
      <c r="L242">
        <v>3</v>
      </c>
      <c r="M242">
        <v>163.08000000000001</v>
      </c>
      <c r="N242" s="8">
        <v>8.15</v>
      </c>
      <c r="O242" s="8">
        <v>481.09</v>
      </c>
      <c r="P242" s="8">
        <v>24.05</v>
      </c>
      <c r="Q242" s="10">
        <v>30</v>
      </c>
      <c r="R242" s="10">
        <v>0</v>
      </c>
      <c r="S242" s="8">
        <v>535.1400000000001</v>
      </c>
      <c r="T242">
        <v>41</v>
      </c>
      <c r="U242" t="str">
        <f t="shared" si="3"/>
        <v>Friday</v>
      </c>
    </row>
    <row r="243" spans="1:21" x14ac:dyDescent="0.3">
      <c r="A243" s="5" t="s">
        <v>1156</v>
      </c>
      <c r="B243" s="3" t="s">
        <v>3707</v>
      </c>
      <c r="C243" s="5" t="s">
        <v>1157</v>
      </c>
      <c r="D243" s="5" t="s">
        <v>21</v>
      </c>
      <c r="E243" s="5" t="s">
        <v>76</v>
      </c>
      <c r="F243" s="5" t="s">
        <v>23</v>
      </c>
      <c r="G243" t="s">
        <v>1158</v>
      </c>
      <c r="H243" s="5" t="s">
        <v>100</v>
      </c>
      <c r="I243" s="5" t="s">
        <v>255</v>
      </c>
      <c r="J243" s="5" t="s">
        <v>256</v>
      </c>
      <c r="K243" s="5" t="s">
        <v>145</v>
      </c>
      <c r="L243">
        <v>3</v>
      </c>
      <c r="M243">
        <v>131.84</v>
      </c>
      <c r="N243" s="8">
        <v>6.59</v>
      </c>
      <c r="O243" s="8">
        <v>388.93</v>
      </c>
      <c r="P243" s="8">
        <v>19.45</v>
      </c>
      <c r="Q243" s="10">
        <v>20</v>
      </c>
      <c r="R243" s="10">
        <v>15</v>
      </c>
      <c r="S243" s="8">
        <v>443.38</v>
      </c>
      <c r="T243">
        <v>35</v>
      </c>
      <c r="U243" t="str">
        <f t="shared" si="3"/>
        <v>Wednesday</v>
      </c>
    </row>
    <row r="244" spans="1:21" x14ac:dyDescent="0.3">
      <c r="A244" s="5" t="s">
        <v>1159</v>
      </c>
      <c r="B244" s="3" t="s">
        <v>3703</v>
      </c>
      <c r="C244" s="5" t="s">
        <v>1160</v>
      </c>
      <c r="D244" s="5" t="s">
        <v>21</v>
      </c>
      <c r="E244" s="5" t="s">
        <v>22</v>
      </c>
      <c r="F244" s="5" t="s">
        <v>37</v>
      </c>
      <c r="G244" t="s">
        <v>1161</v>
      </c>
      <c r="H244" s="5" t="s">
        <v>3675</v>
      </c>
      <c r="I244" s="5" t="s">
        <v>260</v>
      </c>
      <c r="J244" s="5" t="s">
        <v>261</v>
      </c>
      <c r="K244" s="5" t="s">
        <v>40</v>
      </c>
      <c r="L244">
        <v>2</v>
      </c>
      <c r="M244">
        <v>35.99</v>
      </c>
      <c r="N244" s="8">
        <v>1.8</v>
      </c>
      <c r="O244" s="8">
        <v>70.180000000000007</v>
      </c>
      <c r="P244" s="8">
        <v>3.51</v>
      </c>
      <c r="Q244" s="10">
        <v>30</v>
      </c>
      <c r="R244" s="10">
        <v>5</v>
      </c>
      <c r="S244" s="8">
        <v>108.69</v>
      </c>
      <c r="T244">
        <v>3</v>
      </c>
      <c r="U244" t="str">
        <f t="shared" si="3"/>
        <v>Friday</v>
      </c>
    </row>
    <row r="245" spans="1:21" x14ac:dyDescent="0.3">
      <c r="A245" s="5" t="s">
        <v>1162</v>
      </c>
      <c r="B245" s="3" t="s">
        <v>3724</v>
      </c>
      <c r="C245" s="5" t="s">
        <v>1163</v>
      </c>
      <c r="D245" s="5" t="s">
        <v>21</v>
      </c>
      <c r="E245" s="5" t="s">
        <v>76</v>
      </c>
      <c r="F245" s="5" t="s">
        <v>23</v>
      </c>
      <c r="H245" s="5" t="s">
        <v>100</v>
      </c>
      <c r="I245" s="5" t="s">
        <v>265</v>
      </c>
      <c r="J245" s="5" t="s">
        <v>266</v>
      </c>
      <c r="K245" s="5" t="s">
        <v>22</v>
      </c>
      <c r="L245">
        <v>1</v>
      </c>
      <c r="M245">
        <v>116.9</v>
      </c>
      <c r="N245" s="8">
        <v>5.85</v>
      </c>
      <c r="O245" s="8">
        <v>111.05</v>
      </c>
      <c r="P245" s="8">
        <v>5.55</v>
      </c>
      <c r="Q245" s="10">
        <v>30</v>
      </c>
      <c r="R245" s="10">
        <v>10</v>
      </c>
      <c r="S245" s="8">
        <v>156.6</v>
      </c>
      <c r="T245">
        <v>25</v>
      </c>
      <c r="U245" t="str">
        <f t="shared" si="3"/>
        <v>Sunday</v>
      </c>
    </row>
    <row r="246" spans="1:21" x14ac:dyDescent="0.3">
      <c r="A246" s="5" t="s">
        <v>1164</v>
      </c>
      <c r="B246" s="3" t="s">
        <v>3735</v>
      </c>
      <c r="C246" s="5" t="s">
        <v>1165</v>
      </c>
      <c r="D246" s="5" t="s">
        <v>21</v>
      </c>
      <c r="E246" s="5" t="s">
        <v>69</v>
      </c>
      <c r="F246" s="5" t="s">
        <v>37</v>
      </c>
      <c r="G246" t="s">
        <v>1166</v>
      </c>
      <c r="H246" s="5" t="s">
        <v>3673</v>
      </c>
      <c r="I246" s="5" t="s">
        <v>270</v>
      </c>
      <c r="J246" s="5" t="s">
        <v>271</v>
      </c>
      <c r="K246" s="5" t="s">
        <v>103</v>
      </c>
      <c r="L246">
        <v>3</v>
      </c>
      <c r="M246">
        <v>92.14</v>
      </c>
      <c r="N246" s="8">
        <v>0</v>
      </c>
      <c r="O246" s="8">
        <v>276.42</v>
      </c>
      <c r="P246" s="8">
        <v>13.82</v>
      </c>
      <c r="Q246" s="10">
        <v>0</v>
      </c>
      <c r="R246" s="10">
        <v>20</v>
      </c>
      <c r="S246" s="8">
        <v>310.24</v>
      </c>
      <c r="T246">
        <v>21</v>
      </c>
      <c r="U246" t="str">
        <f t="shared" si="3"/>
        <v>Saturday</v>
      </c>
    </row>
    <row r="247" spans="1:21" x14ac:dyDescent="0.3">
      <c r="A247" s="5" t="s">
        <v>1167</v>
      </c>
      <c r="B247" s="3" t="s">
        <v>3735</v>
      </c>
      <c r="C247" s="5" t="s">
        <v>1168</v>
      </c>
      <c r="D247" s="5" t="s">
        <v>21</v>
      </c>
      <c r="E247" s="5" t="s">
        <v>69</v>
      </c>
      <c r="F247" s="5" t="s">
        <v>23</v>
      </c>
      <c r="G247" t="s">
        <v>1169</v>
      </c>
      <c r="H247" s="5" t="s">
        <v>3675</v>
      </c>
      <c r="I247" s="5" t="s">
        <v>275</v>
      </c>
      <c r="J247" s="5" t="s">
        <v>276</v>
      </c>
      <c r="K247" s="5" t="s">
        <v>145</v>
      </c>
      <c r="L247">
        <v>2</v>
      </c>
      <c r="M247">
        <v>168.78</v>
      </c>
      <c r="N247" s="8">
        <v>16.88</v>
      </c>
      <c r="O247" s="8">
        <v>320.68</v>
      </c>
      <c r="P247" s="8">
        <v>16.03</v>
      </c>
      <c r="Q247" s="10">
        <v>0</v>
      </c>
      <c r="R247" s="10">
        <v>5</v>
      </c>
      <c r="S247" s="8">
        <v>341.71</v>
      </c>
      <c r="T247">
        <v>15</v>
      </c>
      <c r="U247" t="str">
        <f t="shared" si="3"/>
        <v>Saturday</v>
      </c>
    </row>
    <row r="248" spans="1:21" x14ac:dyDescent="0.3">
      <c r="A248" s="5" t="s">
        <v>1170</v>
      </c>
      <c r="B248" s="3" t="s">
        <v>3687</v>
      </c>
      <c r="C248" s="5" t="s">
        <v>1171</v>
      </c>
      <c r="D248" s="5" t="s">
        <v>106</v>
      </c>
      <c r="E248" s="5" t="s">
        <v>83</v>
      </c>
      <c r="F248" s="5" t="s">
        <v>37</v>
      </c>
      <c r="G248" t="s">
        <v>1172</v>
      </c>
      <c r="H248" s="5" t="s">
        <v>25</v>
      </c>
      <c r="I248" s="5" t="s">
        <v>280</v>
      </c>
      <c r="J248" s="5" t="s">
        <v>281</v>
      </c>
      <c r="K248" s="5" t="s">
        <v>103</v>
      </c>
      <c r="L248">
        <v>1</v>
      </c>
      <c r="M248">
        <v>173.18</v>
      </c>
      <c r="N248" s="8">
        <v>17.32</v>
      </c>
      <c r="O248" s="8">
        <v>155.86000000000001</v>
      </c>
      <c r="P248" s="8">
        <v>7.79</v>
      </c>
      <c r="Q248" s="10">
        <v>30</v>
      </c>
      <c r="R248" s="10">
        <v>15</v>
      </c>
      <c r="S248" s="8">
        <v>208.65</v>
      </c>
      <c r="T248">
        <v>18</v>
      </c>
      <c r="U248" t="str">
        <f t="shared" si="3"/>
        <v>Friday</v>
      </c>
    </row>
    <row r="249" spans="1:21" x14ac:dyDescent="0.3">
      <c r="A249" s="5" t="s">
        <v>1173</v>
      </c>
      <c r="B249" s="3" t="s">
        <v>3731</v>
      </c>
      <c r="C249" s="5" t="s">
        <v>1174</v>
      </c>
      <c r="D249" s="5" t="s">
        <v>21</v>
      </c>
      <c r="E249" s="5" t="s">
        <v>36</v>
      </c>
      <c r="F249" s="5" t="s">
        <v>23</v>
      </c>
      <c r="G249" t="s">
        <v>1175</v>
      </c>
      <c r="H249" s="5" t="s">
        <v>3673</v>
      </c>
      <c r="I249" s="5" t="s">
        <v>285</v>
      </c>
      <c r="J249" s="5" t="s">
        <v>286</v>
      </c>
      <c r="K249" s="5" t="s">
        <v>40</v>
      </c>
      <c r="L249">
        <v>2</v>
      </c>
      <c r="M249">
        <v>214.09</v>
      </c>
      <c r="N249" s="8">
        <v>32.11</v>
      </c>
      <c r="O249" s="8">
        <v>396.07</v>
      </c>
      <c r="P249" s="8">
        <v>19.8</v>
      </c>
      <c r="Q249" s="10">
        <v>10</v>
      </c>
      <c r="R249" s="10">
        <v>20</v>
      </c>
      <c r="S249" s="8">
        <v>445.87</v>
      </c>
      <c r="T249">
        <v>17</v>
      </c>
      <c r="U249" t="str">
        <f t="shared" si="3"/>
        <v>Monday</v>
      </c>
    </row>
    <row r="250" spans="1:21" x14ac:dyDescent="0.3">
      <c r="A250" s="5" t="s">
        <v>1176</v>
      </c>
      <c r="B250" s="3" t="s">
        <v>3679</v>
      </c>
      <c r="C250" s="5" t="s">
        <v>1177</v>
      </c>
      <c r="D250" s="5" t="s">
        <v>21</v>
      </c>
      <c r="E250" s="5" t="s">
        <v>22</v>
      </c>
      <c r="F250" s="5" t="s">
        <v>37</v>
      </c>
      <c r="G250" t="s">
        <v>1178</v>
      </c>
      <c r="H250" s="5" t="s">
        <v>25</v>
      </c>
      <c r="I250" s="5" t="s">
        <v>290</v>
      </c>
      <c r="J250" s="5" t="s">
        <v>291</v>
      </c>
      <c r="K250" s="5" t="s">
        <v>28</v>
      </c>
      <c r="L250">
        <v>2</v>
      </c>
      <c r="M250">
        <v>25.45</v>
      </c>
      <c r="N250" s="8">
        <v>2.54</v>
      </c>
      <c r="O250" s="8">
        <v>48.36</v>
      </c>
      <c r="P250" s="8">
        <v>2.42</v>
      </c>
      <c r="Q250" s="10">
        <v>10</v>
      </c>
      <c r="R250" s="10">
        <v>20</v>
      </c>
      <c r="S250" s="8">
        <v>80.78</v>
      </c>
      <c r="T250">
        <v>33</v>
      </c>
      <c r="U250" t="str">
        <f t="shared" si="3"/>
        <v>Friday</v>
      </c>
    </row>
    <row r="251" spans="1:21" x14ac:dyDescent="0.3">
      <c r="A251" s="5" t="s">
        <v>1179</v>
      </c>
      <c r="B251" s="3" t="s">
        <v>3701</v>
      </c>
      <c r="C251" s="5" t="s">
        <v>1180</v>
      </c>
      <c r="D251" s="5" t="s">
        <v>82</v>
      </c>
      <c r="E251" s="5" t="s">
        <v>83</v>
      </c>
      <c r="F251" s="5" t="s">
        <v>23</v>
      </c>
      <c r="G251" t="s">
        <v>1181</v>
      </c>
      <c r="H251" s="5" t="s">
        <v>3673</v>
      </c>
      <c r="I251" s="5" t="s">
        <v>295</v>
      </c>
      <c r="J251" s="5" t="s">
        <v>296</v>
      </c>
      <c r="K251" s="5" t="s">
        <v>73</v>
      </c>
      <c r="L251">
        <v>4</v>
      </c>
      <c r="M251">
        <v>66.53</v>
      </c>
      <c r="N251" s="8">
        <v>0</v>
      </c>
      <c r="O251" s="8">
        <v>266.12</v>
      </c>
      <c r="P251" s="8">
        <v>13.31</v>
      </c>
      <c r="Q251" s="10">
        <v>20</v>
      </c>
      <c r="R251" s="10">
        <v>0</v>
      </c>
      <c r="S251" s="8">
        <v>299.43</v>
      </c>
      <c r="T251">
        <v>25</v>
      </c>
      <c r="U251" t="str">
        <f t="shared" si="3"/>
        <v>Tuesday</v>
      </c>
    </row>
    <row r="252" spans="1:21" x14ac:dyDescent="0.3">
      <c r="A252" s="5" t="s">
        <v>1182</v>
      </c>
      <c r="B252" s="3" t="s">
        <v>3701</v>
      </c>
      <c r="C252" s="5" t="s">
        <v>1183</v>
      </c>
      <c r="D252" s="5" t="s">
        <v>21</v>
      </c>
      <c r="E252" s="5" t="s">
        <v>69</v>
      </c>
      <c r="F252" s="5" t="s">
        <v>42</v>
      </c>
      <c r="G252" t="s">
        <v>1184</v>
      </c>
      <c r="H252" s="5" t="s">
        <v>100</v>
      </c>
      <c r="I252" s="5" t="s">
        <v>300</v>
      </c>
      <c r="J252" s="5" t="s">
        <v>301</v>
      </c>
      <c r="K252" s="5" t="s">
        <v>73</v>
      </c>
      <c r="L252">
        <v>4</v>
      </c>
      <c r="M252">
        <v>189.59</v>
      </c>
      <c r="N252" s="8">
        <v>0</v>
      </c>
      <c r="O252" s="8">
        <v>758.36</v>
      </c>
      <c r="P252" s="8">
        <v>37.92</v>
      </c>
      <c r="Q252" s="10">
        <v>30</v>
      </c>
      <c r="R252" s="10">
        <v>20</v>
      </c>
      <c r="S252" s="8">
        <v>846.28</v>
      </c>
      <c r="T252">
        <v>21</v>
      </c>
      <c r="U252" t="str">
        <f t="shared" si="3"/>
        <v>Tuesday</v>
      </c>
    </row>
    <row r="253" spans="1:21" x14ac:dyDescent="0.3">
      <c r="A253" s="5" t="s">
        <v>1185</v>
      </c>
      <c r="B253" s="3" t="s">
        <v>3683</v>
      </c>
      <c r="C253" s="5" t="s">
        <v>1186</v>
      </c>
      <c r="D253" s="5" t="s">
        <v>21</v>
      </c>
      <c r="E253" s="5" t="s">
        <v>22</v>
      </c>
      <c r="F253" s="5" t="s">
        <v>42</v>
      </c>
      <c r="G253" t="s">
        <v>1187</v>
      </c>
      <c r="H253" s="5" t="s">
        <v>3676</v>
      </c>
      <c r="I253" s="5" t="s">
        <v>305</v>
      </c>
      <c r="J253" s="5" t="s">
        <v>306</v>
      </c>
      <c r="K253" s="5" t="s">
        <v>145</v>
      </c>
      <c r="L253">
        <v>2</v>
      </c>
      <c r="M253">
        <v>261.33</v>
      </c>
      <c r="N253" s="8">
        <v>39.200000000000003</v>
      </c>
      <c r="O253" s="8">
        <v>483.46</v>
      </c>
      <c r="P253" s="8">
        <v>24.17</v>
      </c>
      <c r="Q253" s="10">
        <v>0</v>
      </c>
      <c r="R253" s="10">
        <v>15</v>
      </c>
      <c r="S253" s="8">
        <v>522.63</v>
      </c>
      <c r="T253">
        <v>32</v>
      </c>
      <c r="U253" t="str">
        <f t="shared" si="3"/>
        <v>Thursday</v>
      </c>
    </row>
    <row r="254" spans="1:21" x14ac:dyDescent="0.3">
      <c r="A254" s="5" t="s">
        <v>1188</v>
      </c>
      <c r="B254" s="3" t="s">
        <v>3679</v>
      </c>
      <c r="C254" s="5" t="s">
        <v>1189</v>
      </c>
      <c r="D254" s="5" t="s">
        <v>82</v>
      </c>
      <c r="E254" s="5" t="s">
        <v>83</v>
      </c>
      <c r="F254" s="5" t="s">
        <v>37</v>
      </c>
      <c r="G254" t="s">
        <v>1190</v>
      </c>
      <c r="H254" s="5" t="s">
        <v>3674</v>
      </c>
      <c r="I254" s="5" t="s">
        <v>310</v>
      </c>
      <c r="J254" s="5" t="s">
        <v>311</v>
      </c>
      <c r="K254" s="5" t="s">
        <v>28</v>
      </c>
      <c r="L254">
        <v>1</v>
      </c>
      <c r="M254">
        <v>86.56</v>
      </c>
      <c r="N254" s="8">
        <v>12.98</v>
      </c>
      <c r="O254" s="8">
        <v>73.58</v>
      </c>
      <c r="P254" s="8">
        <v>3.68</v>
      </c>
      <c r="Q254" s="10">
        <v>30</v>
      </c>
      <c r="R254" s="10">
        <v>10</v>
      </c>
      <c r="S254" s="8">
        <v>117.26</v>
      </c>
      <c r="T254">
        <v>14</v>
      </c>
      <c r="U254" t="str">
        <f t="shared" si="3"/>
        <v>Friday</v>
      </c>
    </row>
    <row r="255" spans="1:21" x14ac:dyDescent="0.3">
      <c r="A255" s="5" t="s">
        <v>1191</v>
      </c>
      <c r="B255" s="3" t="s">
        <v>3699</v>
      </c>
      <c r="C255" s="5" t="s">
        <v>1192</v>
      </c>
      <c r="D255" s="5" t="s">
        <v>21</v>
      </c>
      <c r="E255" s="5" t="s">
        <v>76</v>
      </c>
      <c r="F255" s="5" t="s">
        <v>37</v>
      </c>
      <c r="G255" t="s">
        <v>1193</v>
      </c>
      <c r="H255" s="5" t="s">
        <v>3673</v>
      </c>
      <c r="I255" s="5" t="s">
        <v>315</v>
      </c>
      <c r="J255" s="5" t="s">
        <v>316</v>
      </c>
      <c r="K255" s="5" t="s">
        <v>45</v>
      </c>
      <c r="L255">
        <v>1</v>
      </c>
      <c r="M255">
        <v>217.76</v>
      </c>
      <c r="N255" s="8">
        <v>32.659999999999997</v>
      </c>
      <c r="O255" s="8">
        <v>185.1</v>
      </c>
      <c r="P255" s="8">
        <v>9.26</v>
      </c>
      <c r="Q255" s="10">
        <v>10</v>
      </c>
      <c r="R255" s="10">
        <v>0</v>
      </c>
      <c r="S255" s="8">
        <v>204.36</v>
      </c>
      <c r="T255">
        <v>29</v>
      </c>
      <c r="U255" t="str">
        <f t="shared" si="3"/>
        <v>Sunday</v>
      </c>
    </row>
    <row r="256" spans="1:21" x14ac:dyDescent="0.3">
      <c r="A256" s="5" t="s">
        <v>1194</v>
      </c>
      <c r="B256" s="3" t="s">
        <v>3678</v>
      </c>
      <c r="C256" s="5" t="s">
        <v>1195</v>
      </c>
      <c r="D256" s="5" t="s">
        <v>21</v>
      </c>
      <c r="E256" s="5" t="s">
        <v>22</v>
      </c>
      <c r="F256" s="5" t="s">
        <v>23</v>
      </c>
      <c r="G256" t="s">
        <v>1196</v>
      </c>
      <c r="H256" s="5" t="s">
        <v>3676</v>
      </c>
      <c r="I256" s="5" t="s">
        <v>320</v>
      </c>
      <c r="J256" s="5" t="s">
        <v>321</v>
      </c>
      <c r="K256" s="5" t="s">
        <v>34</v>
      </c>
      <c r="L256">
        <v>6</v>
      </c>
      <c r="M256">
        <v>102.27</v>
      </c>
      <c r="N256" s="8">
        <v>0</v>
      </c>
      <c r="O256" s="8">
        <v>613.62</v>
      </c>
      <c r="P256" s="8">
        <v>30.68</v>
      </c>
      <c r="Q256" s="10">
        <v>0</v>
      </c>
      <c r="R256" s="10">
        <v>10</v>
      </c>
      <c r="S256" s="8">
        <v>654.29999999999995</v>
      </c>
      <c r="T256">
        <v>26</v>
      </c>
      <c r="U256" t="str">
        <f t="shared" si="3"/>
        <v>Saturday</v>
      </c>
    </row>
    <row r="257" spans="1:21" x14ac:dyDescent="0.3">
      <c r="A257" s="5" t="s">
        <v>1197</v>
      </c>
      <c r="B257" s="3" t="s">
        <v>3693</v>
      </c>
      <c r="C257" s="5" t="s">
        <v>1198</v>
      </c>
      <c r="D257" s="5" t="s">
        <v>21</v>
      </c>
      <c r="E257" s="5" t="s">
        <v>69</v>
      </c>
      <c r="F257" s="5" t="s">
        <v>37</v>
      </c>
      <c r="G257" t="s">
        <v>1199</v>
      </c>
      <c r="H257" s="5" t="s">
        <v>25</v>
      </c>
      <c r="I257" s="5" t="s">
        <v>325</v>
      </c>
      <c r="J257" s="5" t="s">
        <v>326</v>
      </c>
      <c r="K257" s="5" t="s">
        <v>28</v>
      </c>
      <c r="L257">
        <v>1</v>
      </c>
      <c r="M257">
        <v>125.17</v>
      </c>
      <c r="N257" s="8">
        <v>0</v>
      </c>
      <c r="O257" s="8">
        <v>125.17</v>
      </c>
      <c r="P257" s="8">
        <v>6.26</v>
      </c>
      <c r="Q257" s="10">
        <v>30</v>
      </c>
      <c r="R257" s="10">
        <v>10</v>
      </c>
      <c r="S257" s="8">
        <v>171.43</v>
      </c>
      <c r="T257">
        <v>22</v>
      </c>
      <c r="U257" t="str">
        <f t="shared" si="3"/>
        <v>Thursday</v>
      </c>
    </row>
    <row r="258" spans="1:21" x14ac:dyDescent="0.3">
      <c r="A258" s="5" t="s">
        <v>1200</v>
      </c>
      <c r="B258" s="3" t="s">
        <v>3691</v>
      </c>
      <c r="C258" s="5" t="s">
        <v>1201</v>
      </c>
      <c r="D258" s="5" t="s">
        <v>21</v>
      </c>
      <c r="E258" s="5" t="s">
        <v>69</v>
      </c>
      <c r="F258" s="5" t="s">
        <v>42</v>
      </c>
      <c r="G258" t="s">
        <v>1202</v>
      </c>
      <c r="H258" s="5" t="s">
        <v>25</v>
      </c>
      <c r="I258" s="5" t="s">
        <v>329</v>
      </c>
      <c r="J258" s="5" t="s">
        <v>330</v>
      </c>
      <c r="K258" s="5" t="s">
        <v>56</v>
      </c>
      <c r="L258">
        <v>5</v>
      </c>
      <c r="M258">
        <v>93.1</v>
      </c>
      <c r="N258" s="8">
        <v>0</v>
      </c>
      <c r="O258" s="8">
        <v>465.5</v>
      </c>
      <c r="P258" s="8">
        <v>23.28</v>
      </c>
      <c r="Q258" s="10">
        <v>10</v>
      </c>
      <c r="R258" s="10">
        <v>10</v>
      </c>
      <c r="S258" s="8">
        <v>508.78</v>
      </c>
      <c r="T258">
        <v>45</v>
      </c>
      <c r="U258" t="str">
        <f t="shared" si="3"/>
        <v>Friday</v>
      </c>
    </row>
    <row r="259" spans="1:21" x14ac:dyDescent="0.3">
      <c r="A259" s="5" t="s">
        <v>1203</v>
      </c>
      <c r="B259" s="3" t="s">
        <v>3701</v>
      </c>
      <c r="C259" s="5" t="s">
        <v>1204</v>
      </c>
      <c r="D259" s="5" t="s">
        <v>21</v>
      </c>
      <c r="E259" s="5" t="s">
        <v>36</v>
      </c>
      <c r="F259" s="5" t="s">
        <v>37</v>
      </c>
      <c r="G259" t="s">
        <v>1205</v>
      </c>
      <c r="H259" s="5" t="s">
        <v>3674</v>
      </c>
      <c r="I259" s="5" t="s">
        <v>334</v>
      </c>
      <c r="J259" s="5" t="s">
        <v>335</v>
      </c>
      <c r="K259" s="5" t="s">
        <v>145</v>
      </c>
      <c r="L259">
        <v>4</v>
      </c>
      <c r="M259">
        <v>243.45</v>
      </c>
      <c r="N259" s="8">
        <v>36.520000000000003</v>
      </c>
      <c r="O259" s="8">
        <v>937.28</v>
      </c>
      <c r="P259" s="8">
        <v>46.86</v>
      </c>
      <c r="Q259" s="10">
        <v>20</v>
      </c>
      <c r="R259" s="10">
        <v>0</v>
      </c>
      <c r="S259" s="8">
        <v>1004.14</v>
      </c>
      <c r="T259">
        <v>24.67</v>
      </c>
      <c r="U259" t="str">
        <f t="shared" ref="U259:U322" si="4">TEXT(B259,"dddd")</f>
        <v>Tuesday</v>
      </c>
    </row>
    <row r="260" spans="1:21" x14ac:dyDescent="0.3">
      <c r="A260" s="5" t="s">
        <v>1206</v>
      </c>
      <c r="B260" s="3" t="s">
        <v>3712</v>
      </c>
      <c r="C260" s="5" t="s">
        <v>1207</v>
      </c>
      <c r="D260" s="5" t="s">
        <v>21</v>
      </c>
      <c r="E260" s="5" t="s">
        <v>112</v>
      </c>
      <c r="F260" s="5" t="s">
        <v>42</v>
      </c>
      <c r="G260" t="s">
        <v>1208</v>
      </c>
      <c r="H260" s="5" t="s">
        <v>3677</v>
      </c>
      <c r="I260" s="5" t="s">
        <v>339</v>
      </c>
      <c r="J260" s="5" t="s">
        <v>340</v>
      </c>
      <c r="K260" s="5" t="s">
        <v>40</v>
      </c>
      <c r="L260">
        <v>5</v>
      </c>
      <c r="M260">
        <v>123.42</v>
      </c>
      <c r="N260" s="8">
        <v>18.510000000000002</v>
      </c>
      <c r="O260" s="8">
        <v>598.59</v>
      </c>
      <c r="P260" s="8">
        <v>29.93</v>
      </c>
      <c r="Q260" s="10">
        <v>30</v>
      </c>
      <c r="R260" s="10">
        <v>10</v>
      </c>
      <c r="S260" s="8">
        <v>668.52</v>
      </c>
      <c r="T260">
        <v>3</v>
      </c>
      <c r="U260" t="str">
        <f t="shared" si="4"/>
        <v>Thursday</v>
      </c>
    </row>
    <row r="261" spans="1:21" x14ac:dyDescent="0.3">
      <c r="A261" s="5" t="s">
        <v>1209</v>
      </c>
      <c r="B261" s="3" t="s">
        <v>3701</v>
      </c>
      <c r="C261" s="5" t="s">
        <v>1210</v>
      </c>
      <c r="D261" s="5" t="s">
        <v>21</v>
      </c>
      <c r="E261" s="5" t="s">
        <v>22</v>
      </c>
      <c r="F261" s="5" t="s">
        <v>42</v>
      </c>
      <c r="G261" t="s">
        <v>1211</v>
      </c>
      <c r="H261" s="5" t="s">
        <v>3675</v>
      </c>
      <c r="I261" s="5" t="s">
        <v>344</v>
      </c>
      <c r="J261" s="5" t="s">
        <v>345</v>
      </c>
      <c r="K261" s="5" t="s">
        <v>45</v>
      </c>
      <c r="L261">
        <v>2</v>
      </c>
      <c r="M261">
        <v>91.04</v>
      </c>
      <c r="N261" s="8">
        <v>9.1</v>
      </c>
      <c r="O261" s="8">
        <v>172.98</v>
      </c>
      <c r="P261" s="8">
        <v>8.65</v>
      </c>
      <c r="Q261" s="10">
        <v>0</v>
      </c>
      <c r="R261" s="10">
        <v>5</v>
      </c>
      <c r="S261" s="8">
        <v>186.63</v>
      </c>
      <c r="T261">
        <v>15</v>
      </c>
      <c r="U261" t="str">
        <f t="shared" si="4"/>
        <v>Tuesday</v>
      </c>
    </row>
    <row r="262" spans="1:21" x14ac:dyDescent="0.3">
      <c r="A262" s="5" t="s">
        <v>1212</v>
      </c>
      <c r="B262" s="3" t="s">
        <v>3736</v>
      </c>
      <c r="C262" s="5" t="s">
        <v>1213</v>
      </c>
      <c r="D262" s="5" t="s">
        <v>21</v>
      </c>
      <c r="E262" s="5" t="s">
        <v>36</v>
      </c>
      <c r="F262" s="5" t="s">
        <v>23</v>
      </c>
      <c r="G262" t="s">
        <v>1214</v>
      </c>
      <c r="H262" s="5" t="s">
        <v>3676</v>
      </c>
      <c r="I262" s="5" t="s">
        <v>349</v>
      </c>
      <c r="J262" s="5" t="s">
        <v>350</v>
      </c>
      <c r="K262" s="5" t="s">
        <v>56</v>
      </c>
      <c r="L262">
        <v>1</v>
      </c>
      <c r="M262">
        <v>125.7</v>
      </c>
      <c r="N262" s="8">
        <v>0</v>
      </c>
      <c r="O262" s="8">
        <v>125.7</v>
      </c>
      <c r="P262" s="8">
        <v>6.29</v>
      </c>
      <c r="Q262" s="10">
        <v>20</v>
      </c>
      <c r="R262" s="10">
        <v>5</v>
      </c>
      <c r="S262" s="8">
        <v>156.99</v>
      </c>
      <c r="T262">
        <v>15</v>
      </c>
      <c r="U262" t="str">
        <f t="shared" si="4"/>
        <v>Tuesday</v>
      </c>
    </row>
    <row r="263" spans="1:21" x14ac:dyDescent="0.3">
      <c r="A263" s="5" t="s">
        <v>1215</v>
      </c>
      <c r="B263" s="3" t="s">
        <v>3722</v>
      </c>
      <c r="C263" s="5" t="s">
        <v>1216</v>
      </c>
      <c r="D263" s="5" t="s">
        <v>21</v>
      </c>
      <c r="E263" s="5" t="s">
        <v>69</v>
      </c>
      <c r="F263" s="5" t="s">
        <v>37</v>
      </c>
      <c r="G263" t="s">
        <v>1217</v>
      </c>
      <c r="H263" s="5" t="s">
        <v>3677</v>
      </c>
      <c r="I263" s="5" t="s">
        <v>354</v>
      </c>
      <c r="J263" s="5" t="s">
        <v>355</v>
      </c>
      <c r="K263" s="5" t="s">
        <v>145</v>
      </c>
      <c r="L263">
        <v>3</v>
      </c>
      <c r="M263">
        <v>102.49</v>
      </c>
      <c r="N263" s="8">
        <v>15.37</v>
      </c>
      <c r="O263" s="8">
        <v>292.10000000000002</v>
      </c>
      <c r="P263" s="8">
        <v>14.6</v>
      </c>
      <c r="Q263" s="10">
        <v>10</v>
      </c>
      <c r="R263" s="10">
        <v>5</v>
      </c>
      <c r="S263" s="8">
        <v>321.7</v>
      </c>
      <c r="T263">
        <v>9</v>
      </c>
      <c r="U263" t="str">
        <f t="shared" si="4"/>
        <v>Friday</v>
      </c>
    </row>
    <row r="264" spans="1:21" x14ac:dyDescent="0.3">
      <c r="A264" s="5" t="s">
        <v>1218</v>
      </c>
      <c r="B264" s="3" t="s">
        <v>3703</v>
      </c>
      <c r="C264" s="5" t="s">
        <v>1219</v>
      </c>
      <c r="D264" s="5" t="s">
        <v>21</v>
      </c>
      <c r="E264" s="5" t="s">
        <v>112</v>
      </c>
      <c r="F264" s="5" t="s">
        <v>3671</v>
      </c>
      <c r="G264" t="s">
        <v>1220</v>
      </c>
      <c r="H264" s="5" t="s">
        <v>3673</v>
      </c>
      <c r="I264" s="5" t="s">
        <v>359</v>
      </c>
      <c r="J264" s="5" t="s">
        <v>360</v>
      </c>
      <c r="K264" s="5" t="s">
        <v>145</v>
      </c>
      <c r="L264">
        <v>6</v>
      </c>
      <c r="M264">
        <v>241.14</v>
      </c>
      <c r="N264" s="8">
        <v>0</v>
      </c>
      <c r="O264" s="8">
        <v>1446.84</v>
      </c>
      <c r="P264" s="8">
        <v>72.34</v>
      </c>
      <c r="Q264" s="10">
        <v>20</v>
      </c>
      <c r="R264" s="10">
        <v>0</v>
      </c>
      <c r="S264" s="8">
        <v>1539.18</v>
      </c>
      <c r="T264">
        <v>33</v>
      </c>
      <c r="U264" t="str">
        <f t="shared" si="4"/>
        <v>Friday</v>
      </c>
    </row>
    <row r="265" spans="1:21" x14ac:dyDescent="0.3">
      <c r="A265" s="5" t="s">
        <v>1221</v>
      </c>
      <c r="B265" s="3" t="s">
        <v>3701</v>
      </c>
      <c r="C265" s="5" t="s">
        <v>1222</v>
      </c>
      <c r="D265" s="5" t="s">
        <v>21</v>
      </c>
      <c r="E265" s="5" t="s">
        <v>36</v>
      </c>
      <c r="F265" s="5" t="s">
        <v>23</v>
      </c>
      <c r="G265" t="s">
        <v>1223</v>
      </c>
      <c r="H265" s="5" t="s">
        <v>3673</v>
      </c>
      <c r="I265" s="5" t="s">
        <v>364</v>
      </c>
      <c r="J265" s="5" t="s">
        <v>365</v>
      </c>
      <c r="K265" s="5" t="s">
        <v>28</v>
      </c>
      <c r="L265">
        <v>2</v>
      </c>
      <c r="M265">
        <v>195.87</v>
      </c>
      <c r="N265" s="8">
        <v>9.7899999999999991</v>
      </c>
      <c r="O265" s="8">
        <v>381.95</v>
      </c>
      <c r="P265" s="8">
        <v>19.100000000000001</v>
      </c>
      <c r="Q265" s="10">
        <v>20</v>
      </c>
      <c r="R265" s="10">
        <v>0</v>
      </c>
      <c r="S265" s="8">
        <v>421.05</v>
      </c>
      <c r="T265">
        <v>20</v>
      </c>
      <c r="U265" t="str">
        <f t="shared" si="4"/>
        <v>Tuesday</v>
      </c>
    </row>
    <row r="266" spans="1:21" x14ac:dyDescent="0.3">
      <c r="A266" s="5" t="s">
        <v>1224</v>
      </c>
      <c r="B266" s="3" t="s">
        <v>3693</v>
      </c>
      <c r="C266" s="5" t="s">
        <v>1225</v>
      </c>
      <c r="D266" s="5" t="s">
        <v>21</v>
      </c>
      <c r="E266" s="5" t="s">
        <v>22</v>
      </c>
      <c r="F266" s="5" t="s">
        <v>42</v>
      </c>
      <c r="G266" t="s">
        <v>1226</v>
      </c>
      <c r="H266" s="5" t="s">
        <v>100</v>
      </c>
      <c r="I266" s="5" t="s">
        <v>369</v>
      </c>
      <c r="J266" s="5" t="s">
        <v>370</v>
      </c>
      <c r="K266" s="5" t="s">
        <v>145</v>
      </c>
      <c r="L266">
        <v>1</v>
      </c>
      <c r="M266">
        <v>57.75</v>
      </c>
      <c r="N266" s="8">
        <v>2.89</v>
      </c>
      <c r="O266" s="8">
        <v>54.86</v>
      </c>
      <c r="P266" s="8">
        <v>2.74</v>
      </c>
      <c r="Q266" s="10">
        <v>30</v>
      </c>
      <c r="R266" s="10">
        <v>15</v>
      </c>
      <c r="S266" s="8">
        <v>102.6</v>
      </c>
      <c r="T266">
        <v>26</v>
      </c>
      <c r="U266" t="str">
        <f t="shared" si="4"/>
        <v>Thursday</v>
      </c>
    </row>
    <row r="267" spans="1:21" x14ac:dyDescent="0.3">
      <c r="A267" s="5" t="s">
        <v>1227</v>
      </c>
      <c r="B267" s="3" t="s">
        <v>3693</v>
      </c>
      <c r="C267" s="5" t="s">
        <v>1228</v>
      </c>
      <c r="D267" s="5" t="s">
        <v>82</v>
      </c>
      <c r="E267" s="5" t="s">
        <v>83</v>
      </c>
      <c r="F267" s="5" t="s">
        <v>23</v>
      </c>
      <c r="G267" t="s">
        <v>1229</v>
      </c>
      <c r="H267" s="5" t="s">
        <v>25</v>
      </c>
      <c r="I267" s="5" t="s">
        <v>374</v>
      </c>
      <c r="J267" s="5" t="s">
        <v>375</v>
      </c>
      <c r="K267" s="5" t="s">
        <v>34</v>
      </c>
      <c r="L267">
        <v>1</v>
      </c>
      <c r="M267">
        <v>196.24</v>
      </c>
      <c r="N267" s="8">
        <v>9.81</v>
      </c>
      <c r="O267" s="8">
        <v>186.43</v>
      </c>
      <c r="P267" s="8">
        <v>9.32</v>
      </c>
      <c r="Q267" s="10">
        <v>20</v>
      </c>
      <c r="R267" s="10">
        <v>20</v>
      </c>
      <c r="S267" s="8">
        <v>235.75</v>
      </c>
      <c r="T267">
        <v>17</v>
      </c>
      <c r="U267" t="str">
        <f t="shared" si="4"/>
        <v>Thursday</v>
      </c>
    </row>
    <row r="268" spans="1:21" x14ac:dyDescent="0.3">
      <c r="A268" s="5" t="s">
        <v>1230</v>
      </c>
      <c r="B268" s="3" t="s">
        <v>3705</v>
      </c>
      <c r="C268" s="5" t="s">
        <v>1231</v>
      </c>
      <c r="D268" s="5" t="s">
        <v>21</v>
      </c>
      <c r="E268" s="5" t="s">
        <v>69</v>
      </c>
      <c r="F268" s="5" t="s">
        <v>23</v>
      </c>
      <c r="G268" t="s">
        <v>1232</v>
      </c>
      <c r="H268" s="5" t="s">
        <v>3673</v>
      </c>
      <c r="I268" s="5" t="s">
        <v>379</v>
      </c>
      <c r="J268" s="5" t="s">
        <v>380</v>
      </c>
      <c r="K268" s="5" t="s">
        <v>145</v>
      </c>
      <c r="L268">
        <v>5</v>
      </c>
      <c r="M268">
        <v>37.17</v>
      </c>
      <c r="N268" s="8">
        <v>0</v>
      </c>
      <c r="O268" s="8">
        <v>185.85</v>
      </c>
      <c r="P268" s="8">
        <v>9.2899999999999991</v>
      </c>
      <c r="Q268" s="10">
        <v>20</v>
      </c>
      <c r="R268" s="10">
        <v>10</v>
      </c>
      <c r="S268" s="8">
        <v>225.14</v>
      </c>
      <c r="T268">
        <v>12</v>
      </c>
      <c r="U268" t="str">
        <f t="shared" si="4"/>
        <v>Tuesday</v>
      </c>
    </row>
    <row r="269" spans="1:21" x14ac:dyDescent="0.3">
      <c r="A269" s="5" t="s">
        <v>1233</v>
      </c>
      <c r="B269" s="3" t="s">
        <v>3724</v>
      </c>
      <c r="C269" s="5" t="s">
        <v>1234</v>
      </c>
      <c r="D269" s="5" t="s">
        <v>21</v>
      </c>
      <c r="E269" s="5" t="s">
        <v>76</v>
      </c>
      <c r="F269" s="5" t="s">
        <v>42</v>
      </c>
      <c r="G269" t="s">
        <v>1235</v>
      </c>
      <c r="H269" s="5" t="s">
        <v>25</v>
      </c>
      <c r="I269" s="5" t="s">
        <v>383</v>
      </c>
      <c r="J269" s="5" t="s">
        <v>384</v>
      </c>
      <c r="K269" s="5" t="s">
        <v>145</v>
      </c>
      <c r="L269">
        <v>3</v>
      </c>
      <c r="M269">
        <v>46.27</v>
      </c>
      <c r="N269" s="8">
        <v>0</v>
      </c>
      <c r="O269" s="8">
        <v>138.81</v>
      </c>
      <c r="P269" s="8">
        <v>6.94</v>
      </c>
      <c r="Q269" s="10">
        <v>20</v>
      </c>
      <c r="R269" s="10">
        <v>20</v>
      </c>
      <c r="S269" s="8">
        <v>185.75</v>
      </c>
      <c r="T269">
        <v>27</v>
      </c>
      <c r="U269" t="str">
        <f t="shared" si="4"/>
        <v>Sunday</v>
      </c>
    </row>
    <row r="270" spans="1:21" x14ac:dyDescent="0.3">
      <c r="A270" s="5" t="s">
        <v>1236</v>
      </c>
      <c r="B270" s="3" t="s">
        <v>3685</v>
      </c>
      <c r="C270" s="5" t="s">
        <v>1237</v>
      </c>
      <c r="D270" s="5" t="s">
        <v>21</v>
      </c>
      <c r="E270" s="5" t="s">
        <v>69</v>
      </c>
      <c r="F270" s="5" t="s">
        <v>42</v>
      </c>
      <c r="G270" t="s">
        <v>1238</v>
      </c>
      <c r="H270" s="5" t="s">
        <v>3673</v>
      </c>
      <c r="I270" s="5" t="s">
        <v>388</v>
      </c>
      <c r="J270" s="5" t="s">
        <v>389</v>
      </c>
      <c r="K270" s="5" t="s">
        <v>145</v>
      </c>
      <c r="L270">
        <v>4</v>
      </c>
      <c r="M270">
        <v>103.69</v>
      </c>
      <c r="N270" s="8">
        <v>5.18</v>
      </c>
      <c r="O270" s="8">
        <v>409.58</v>
      </c>
      <c r="P270" s="8">
        <v>20.48</v>
      </c>
      <c r="Q270" s="10">
        <v>0</v>
      </c>
      <c r="R270" s="10">
        <v>20</v>
      </c>
      <c r="S270" s="8">
        <v>450.06</v>
      </c>
      <c r="T270">
        <v>19</v>
      </c>
      <c r="U270" t="str">
        <f t="shared" si="4"/>
        <v>Thursday</v>
      </c>
    </row>
    <row r="271" spans="1:21" x14ac:dyDescent="0.3">
      <c r="A271" s="5" t="s">
        <v>1239</v>
      </c>
      <c r="B271" s="3" t="s">
        <v>3712</v>
      </c>
      <c r="C271" s="5" t="s">
        <v>1240</v>
      </c>
      <c r="D271" s="5" t="s">
        <v>21</v>
      </c>
      <c r="E271" s="5" t="s">
        <v>112</v>
      </c>
      <c r="F271" s="5" t="s">
        <v>23</v>
      </c>
      <c r="G271" t="s">
        <v>1241</v>
      </c>
      <c r="H271" s="5" t="s">
        <v>3673</v>
      </c>
      <c r="I271" s="5" t="s">
        <v>393</v>
      </c>
      <c r="J271" s="5" t="s">
        <v>394</v>
      </c>
      <c r="K271" s="5" t="s">
        <v>196</v>
      </c>
      <c r="L271">
        <v>1</v>
      </c>
      <c r="M271">
        <v>166.91</v>
      </c>
      <c r="N271" s="8">
        <v>16.690000000000001</v>
      </c>
      <c r="O271" s="8">
        <v>150.22</v>
      </c>
      <c r="P271" s="8">
        <v>7.51</v>
      </c>
      <c r="Q271" s="10">
        <v>30</v>
      </c>
      <c r="R271" s="10">
        <v>5</v>
      </c>
      <c r="S271" s="8">
        <v>192.73</v>
      </c>
      <c r="T271">
        <v>30</v>
      </c>
      <c r="U271" t="str">
        <f t="shared" si="4"/>
        <v>Thursday</v>
      </c>
    </row>
    <row r="272" spans="1:21" x14ac:dyDescent="0.3">
      <c r="A272" s="5" t="s">
        <v>1242</v>
      </c>
      <c r="B272" s="3" t="s">
        <v>3735</v>
      </c>
      <c r="C272" s="5" t="s">
        <v>1243</v>
      </c>
      <c r="D272" s="5" t="s">
        <v>21</v>
      </c>
      <c r="E272" s="5" t="s">
        <v>76</v>
      </c>
      <c r="F272" s="5" t="s">
        <v>37</v>
      </c>
      <c r="G272" t="s">
        <v>1244</v>
      </c>
      <c r="H272" s="5" t="s">
        <v>3673</v>
      </c>
      <c r="I272" s="5" t="s">
        <v>398</v>
      </c>
      <c r="J272" s="5" t="s">
        <v>399</v>
      </c>
      <c r="K272" s="5" t="s">
        <v>28</v>
      </c>
      <c r="L272">
        <v>1</v>
      </c>
      <c r="M272">
        <v>188.54</v>
      </c>
      <c r="N272" s="8">
        <v>28.28</v>
      </c>
      <c r="O272" s="8">
        <v>160.26</v>
      </c>
      <c r="P272" s="8">
        <v>8.01</v>
      </c>
      <c r="Q272" s="10">
        <v>10</v>
      </c>
      <c r="R272" s="10">
        <v>20</v>
      </c>
      <c r="S272" s="8">
        <v>198.27</v>
      </c>
      <c r="T272">
        <v>27</v>
      </c>
      <c r="U272" t="str">
        <f t="shared" si="4"/>
        <v>Saturday</v>
      </c>
    </row>
    <row r="273" spans="1:21" x14ac:dyDescent="0.3">
      <c r="A273" s="5" t="s">
        <v>1245</v>
      </c>
      <c r="B273" s="3" t="s">
        <v>3698</v>
      </c>
      <c r="C273" s="5" t="s">
        <v>1246</v>
      </c>
      <c r="D273" s="5" t="s">
        <v>21</v>
      </c>
      <c r="E273" s="5" t="s">
        <v>22</v>
      </c>
      <c r="F273" s="5" t="s">
        <v>23</v>
      </c>
      <c r="G273" t="s">
        <v>1247</v>
      </c>
      <c r="H273" s="5" t="s">
        <v>3673</v>
      </c>
      <c r="I273" s="5" t="s">
        <v>403</v>
      </c>
      <c r="J273" s="5" t="s">
        <v>404</v>
      </c>
      <c r="K273" s="5" t="s">
        <v>103</v>
      </c>
      <c r="L273">
        <v>2</v>
      </c>
      <c r="M273">
        <v>64.650000000000006</v>
      </c>
      <c r="N273" s="8">
        <v>0</v>
      </c>
      <c r="O273" s="8">
        <v>129.30000000000001</v>
      </c>
      <c r="P273" s="8">
        <v>6.47</v>
      </c>
      <c r="Q273" s="10">
        <v>0</v>
      </c>
      <c r="R273" s="10">
        <v>10</v>
      </c>
      <c r="S273" s="8">
        <v>145.77000000000001</v>
      </c>
      <c r="T273">
        <v>24.67</v>
      </c>
      <c r="U273" t="str">
        <f t="shared" si="4"/>
        <v>Sunday</v>
      </c>
    </row>
    <row r="274" spans="1:21" x14ac:dyDescent="0.3">
      <c r="A274" s="5" t="s">
        <v>1248</v>
      </c>
      <c r="B274" s="3" t="s">
        <v>3732</v>
      </c>
      <c r="C274" s="5" t="s">
        <v>1249</v>
      </c>
      <c r="D274" s="5" t="s">
        <v>106</v>
      </c>
      <c r="E274" s="5" t="s">
        <v>83</v>
      </c>
      <c r="F274" s="5" t="s">
        <v>42</v>
      </c>
      <c r="G274" t="s">
        <v>1250</v>
      </c>
      <c r="H274" s="5" t="s">
        <v>100</v>
      </c>
      <c r="I274" s="5" t="s">
        <v>408</v>
      </c>
      <c r="J274" s="5" t="s">
        <v>409</v>
      </c>
      <c r="K274" s="5" t="s">
        <v>73</v>
      </c>
      <c r="L274">
        <v>5</v>
      </c>
      <c r="M274">
        <v>48.66</v>
      </c>
      <c r="N274" s="8">
        <v>2.4300000000000002</v>
      </c>
      <c r="O274" s="8">
        <v>240.87</v>
      </c>
      <c r="P274" s="8">
        <v>12.04</v>
      </c>
      <c r="Q274" s="10">
        <v>0</v>
      </c>
      <c r="R274" s="10">
        <v>5</v>
      </c>
      <c r="S274" s="8">
        <v>257.91000000000003</v>
      </c>
      <c r="T274">
        <v>22</v>
      </c>
      <c r="U274" t="str">
        <f t="shared" si="4"/>
        <v>Wednesday</v>
      </c>
    </row>
    <row r="275" spans="1:21" x14ac:dyDescent="0.3">
      <c r="A275" s="5" t="s">
        <v>1251</v>
      </c>
      <c r="B275" s="3" t="s">
        <v>3684</v>
      </c>
      <c r="C275" s="5" t="s">
        <v>1252</v>
      </c>
      <c r="D275" s="5" t="s">
        <v>21</v>
      </c>
      <c r="E275" s="5" t="s">
        <v>112</v>
      </c>
      <c r="F275" s="5" t="s">
        <v>42</v>
      </c>
      <c r="G275" t="s">
        <v>1253</v>
      </c>
      <c r="H275" s="5" t="s">
        <v>3673</v>
      </c>
      <c r="I275" s="5" t="s">
        <v>413</v>
      </c>
      <c r="J275" s="5" t="s">
        <v>414</v>
      </c>
      <c r="K275" s="5" t="s">
        <v>145</v>
      </c>
      <c r="L275">
        <v>5</v>
      </c>
      <c r="M275">
        <v>275.37</v>
      </c>
      <c r="N275" s="8">
        <v>27.54</v>
      </c>
      <c r="O275" s="8">
        <v>1349.31</v>
      </c>
      <c r="P275" s="8">
        <v>67.47</v>
      </c>
      <c r="Q275" s="10">
        <v>20</v>
      </c>
      <c r="R275" s="10">
        <v>20</v>
      </c>
      <c r="S275" s="8">
        <v>1456.78</v>
      </c>
      <c r="T275">
        <v>19</v>
      </c>
      <c r="U275" t="str">
        <f t="shared" si="4"/>
        <v>Sunday</v>
      </c>
    </row>
    <row r="276" spans="1:21" x14ac:dyDescent="0.3">
      <c r="A276" s="5" t="s">
        <v>1254</v>
      </c>
      <c r="B276" s="3" t="s">
        <v>3693</v>
      </c>
      <c r="C276" s="5" t="s">
        <v>1255</v>
      </c>
      <c r="D276" s="5" t="s">
        <v>106</v>
      </c>
      <c r="E276" s="5" t="s">
        <v>83</v>
      </c>
      <c r="F276" s="5" t="s">
        <v>23</v>
      </c>
      <c r="G276" t="s">
        <v>1256</v>
      </c>
      <c r="H276" s="5" t="s">
        <v>3673</v>
      </c>
      <c r="I276" s="5" t="s">
        <v>418</v>
      </c>
      <c r="J276" s="5" t="s">
        <v>419</v>
      </c>
      <c r="K276" s="5" t="s">
        <v>45</v>
      </c>
      <c r="L276">
        <v>4</v>
      </c>
      <c r="M276">
        <v>71.680000000000007</v>
      </c>
      <c r="N276" s="8">
        <v>7.17</v>
      </c>
      <c r="O276" s="8">
        <v>279.55</v>
      </c>
      <c r="P276" s="8">
        <v>13.98</v>
      </c>
      <c r="Q276" s="10">
        <v>20</v>
      </c>
      <c r="R276" s="10">
        <v>0</v>
      </c>
      <c r="S276" s="8">
        <v>313.52999999999997</v>
      </c>
      <c r="T276">
        <v>30</v>
      </c>
      <c r="U276" t="str">
        <f t="shared" si="4"/>
        <v>Thursday</v>
      </c>
    </row>
    <row r="277" spans="1:21" x14ac:dyDescent="0.3">
      <c r="A277" s="5" t="s">
        <v>1257</v>
      </c>
      <c r="B277" s="3" t="s">
        <v>3688</v>
      </c>
      <c r="C277" s="5" t="s">
        <v>1258</v>
      </c>
      <c r="D277" s="5" t="s">
        <v>21</v>
      </c>
      <c r="E277" s="5" t="s">
        <v>112</v>
      </c>
      <c r="F277" s="5" t="s">
        <v>37</v>
      </c>
      <c r="G277" t="s">
        <v>1259</v>
      </c>
      <c r="H277" s="5" t="s">
        <v>3673</v>
      </c>
      <c r="I277" s="5" t="s">
        <v>423</v>
      </c>
      <c r="J277" s="5" t="s">
        <v>424</v>
      </c>
      <c r="K277" s="5" t="s">
        <v>196</v>
      </c>
      <c r="L277">
        <v>3</v>
      </c>
      <c r="M277">
        <v>199.06</v>
      </c>
      <c r="N277" s="8">
        <v>0</v>
      </c>
      <c r="O277" s="8">
        <v>597.18000000000006</v>
      </c>
      <c r="P277" s="8">
        <v>29.86</v>
      </c>
      <c r="Q277" s="10">
        <v>10</v>
      </c>
      <c r="R277" s="10">
        <v>10</v>
      </c>
      <c r="S277" s="8">
        <v>647.04000000000008</v>
      </c>
      <c r="T277">
        <v>27</v>
      </c>
      <c r="U277" t="str">
        <f t="shared" si="4"/>
        <v>Saturday</v>
      </c>
    </row>
    <row r="278" spans="1:21" x14ac:dyDescent="0.3">
      <c r="A278" s="5" t="s">
        <v>1260</v>
      </c>
      <c r="B278" s="3" t="s">
        <v>3694</v>
      </c>
      <c r="C278" s="5" t="s">
        <v>1261</v>
      </c>
      <c r="D278" s="5" t="s">
        <v>21</v>
      </c>
      <c r="E278" s="5" t="s">
        <v>76</v>
      </c>
      <c r="F278" s="5" t="s">
        <v>42</v>
      </c>
      <c r="G278" t="s">
        <v>1262</v>
      </c>
      <c r="H278" s="5" t="s">
        <v>100</v>
      </c>
      <c r="I278" s="5" t="s">
        <v>427</v>
      </c>
      <c r="J278" s="5" t="s">
        <v>428</v>
      </c>
      <c r="K278" s="5" t="s">
        <v>56</v>
      </c>
      <c r="L278">
        <v>4</v>
      </c>
      <c r="M278">
        <v>114.53</v>
      </c>
      <c r="N278" s="8">
        <v>11.45</v>
      </c>
      <c r="O278" s="8">
        <v>446.67</v>
      </c>
      <c r="P278" s="8">
        <v>22.33</v>
      </c>
      <c r="Q278" s="10">
        <v>0</v>
      </c>
      <c r="R278" s="10">
        <v>0</v>
      </c>
      <c r="S278" s="8">
        <v>469</v>
      </c>
      <c r="T278">
        <v>2</v>
      </c>
      <c r="U278" t="str">
        <f t="shared" si="4"/>
        <v>Thursday</v>
      </c>
    </row>
    <row r="279" spans="1:21" x14ac:dyDescent="0.3">
      <c r="A279" s="5" t="s">
        <v>1263</v>
      </c>
      <c r="B279" s="3" t="s">
        <v>3719</v>
      </c>
      <c r="C279" s="5" t="s">
        <v>1264</v>
      </c>
      <c r="D279" s="5" t="s">
        <v>21</v>
      </c>
      <c r="E279" s="5" t="s">
        <v>112</v>
      </c>
      <c r="F279" s="5" t="s">
        <v>23</v>
      </c>
      <c r="G279" t="s">
        <v>1265</v>
      </c>
      <c r="H279" s="5" t="s">
        <v>3676</v>
      </c>
      <c r="I279" s="5" t="s">
        <v>432</v>
      </c>
      <c r="J279" s="5" t="s">
        <v>433</v>
      </c>
      <c r="K279" s="5" t="s">
        <v>40</v>
      </c>
      <c r="L279">
        <v>1</v>
      </c>
      <c r="M279">
        <v>89.71</v>
      </c>
      <c r="N279" s="8">
        <v>13.46</v>
      </c>
      <c r="O279" s="8">
        <v>76.25</v>
      </c>
      <c r="P279" s="8">
        <v>3.81</v>
      </c>
      <c r="Q279" s="10">
        <v>10</v>
      </c>
      <c r="R279" s="10">
        <v>5</v>
      </c>
      <c r="S279" s="8">
        <v>95.06</v>
      </c>
      <c r="T279">
        <v>19</v>
      </c>
      <c r="U279" t="str">
        <f t="shared" si="4"/>
        <v>Sunday</v>
      </c>
    </row>
    <row r="280" spans="1:21" x14ac:dyDescent="0.3">
      <c r="A280" s="5" t="s">
        <v>1266</v>
      </c>
      <c r="B280" s="3" t="s">
        <v>3735</v>
      </c>
      <c r="C280" s="5" t="s">
        <v>1267</v>
      </c>
      <c r="D280" s="5" t="s">
        <v>21</v>
      </c>
      <c r="E280" s="5" t="s">
        <v>22</v>
      </c>
      <c r="F280" s="5" t="s">
        <v>42</v>
      </c>
      <c r="G280" t="s">
        <v>1268</v>
      </c>
      <c r="H280" s="5" t="s">
        <v>100</v>
      </c>
      <c r="I280" s="5" t="s">
        <v>437</v>
      </c>
      <c r="J280" s="5" t="s">
        <v>438</v>
      </c>
      <c r="K280" s="5" t="s">
        <v>28</v>
      </c>
      <c r="L280">
        <v>6</v>
      </c>
      <c r="M280">
        <v>80.239999999999995</v>
      </c>
      <c r="N280" s="8">
        <v>8.02</v>
      </c>
      <c r="O280" s="8">
        <v>473.42</v>
      </c>
      <c r="P280" s="8">
        <v>23.67</v>
      </c>
      <c r="Q280" s="10">
        <v>30</v>
      </c>
      <c r="R280" s="10">
        <v>10</v>
      </c>
      <c r="S280" s="8">
        <v>537.08999999999992</v>
      </c>
      <c r="T280">
        <v>4</v>
      </c>
      <c r="U280" t="str">
        <f t="shared" si="4"/>
        <v>Saturday</v>
      </c>
    </row>
    <row r="281" spans="1:21" x14ac:dyDescent="0.3">
      <c r="A281" s="5" t="s">
        <v>1269</v>
      </c>
      <c r="B281" s="3" t="s">
        <v>3723</v>
      </c>
      <c r="C281" s="5" t="s">
        <v>1270</v>
      </c>
      <c r="D281" s="5" t="s">
        <v>21</v>
      </c>
      <c r="E281" s="5" t="s">
        <v>22</v>
      </c>
      <c r="F281" s="5" t="s">
        <v>42</v>
      </c>
      <c r="G281" t="s">
        <v>1271</v>
      </c>
      <c r="H281" s="5" t="s">
        <v>25</v>
      </c>
      <c r="I281" s="5" t="s">
        <v>442</v>
      </c>
      <c r="J281" s="5" t="s">
        <v>443</v>
      </c>
      <c r="K281" s="5" t="s">
        <v>196</v>
      </c>
      <c r="L281">
        <v>5</v>
      </c>
      <c r="M281">
        <v>211.28</v>
      </c>
      <c r="N281" s="8">
        <v>31.69</v>
      </c>
      <c r="O281" s="8">
        <v>1024.71</v>
      </c>
      <c r="P281" s="8">
        <v>51.24</v>
      </c>
      <c r="Q281" s="10">
        <v>30</v>
      </c>
      <c r="R281" s="10">
        <v>15</v>
      </c>
      <c r="S281" s="8">
        <v>1120.95</v>
      </c>
      <c r="T281">
        <v>32</v>
      </c>
      <c r="U281" t="str">
        <f t="shared" si="4"/>
        <v>Monday</v>
      </c>
    </row>
    <row r="282" spans="1:21" x14ac:dyDescent="0.3">
      <c r="A282" s="5" t="s">
        <v>1272</v>
      </c>
      <c r="B282" s="3" t="s">
        <v>3735</v>
      </c>
      <c r="C282" s="5" t="s">
        <v>1273</v>
      </c>
      <c r="D282" s="5" t="s">
        <v>21</v>
      </c>
      <c r="E282" s="5" t="s">
        <v>69</v>
      </c>
      <c r="F282" s="5" t="s">
        <v>23</v>
      </c>
      <c r="G282" t="s">
        <v>1274</v>
      </c>
      <c r="H282" s="5" t="s">
        <v>3674</v>
      </c>
      <c r="I282" s="5" t="s">
        <v>447</v>
      </c>
      <c r="J282" s="5" t="s">
        <v>448</v>
      </c>
      <c r="K282" s="5" t="s">
        <v>45</v>
      </c>
      <c r="L282">
        <v>4</v>
      </c>
      <c r="M282">
        <v>90.65</v>
      </c>
      <c r="N282" s="8">
        <v>0</v>
      </c>
      <c r="O282" s="8">
        <v>362.6</v>
      </c>
      <c r="P282" s="8">
        <v>18.13</v>
      </c>
      <c r="Q282" s="10">
        <v>0</v>
      </c>
      <c r="R282" s="10">
        <v>10</v>
      </c>
      <c r="S282" s="8">
        <v>390.73</v>
      </c>
      <c r="T282">
        <v>27</v>
      </c>
      <c r="U282" t="str">
        <f t="shared" si="4"/>
        <v>Saturday</v>
      </c>
    </row>
    <row r="283" spans="1:21" x14ac:dyDescent="0.3">
      <c r="A283" s="5" t="s">
        <v>1275</v>
      </c>
      <c r="B283" s="3" t="s">
        <v>3710</v>
      </c>
      <c r="C283" s="5" t="s">
        <v>1276</v>
      </c>
      <c r="D283" s="5" t="s">
        <v>21</v>
      </c>
      <c r="E283" s="5" t="s">
        <v>36</v>
      </c>
      <c r="F283" s="5" t="s">
        <v>23</v>
      </c>
      <c r="G283" t="s">
        <v>1277</v>
      </c>
      <c r="H283" s="5" t="s">
        <v>3673</v>
      </c>
      <c r="I283" s="5" t="s">
        <v>452</v>
      </c>
      <c r="J283" s="5" t="s">
        <v>453</v>
      </c>
      <c r="K283" s="5" t="s">
        <v>145</v>
      </c>
      <c r="L283">
        <v>3</v>
      </c>
      <c r="M283">
        <v>59.61</v>
      </c>
      <c r="N283" s="8">
        <v>5.96</v>
      </c>
      <c r="O283" s="8">
        <v>172.87</v>
      </c>
      <c r="P283" s="8">
        <v>8.64</v>
      </c>
      <c r="Q283" s="10">
        <v>10</v>
      </c>
      <c r="R283" s="10">
        <v>5</v>
      </c>
      <c r="S283" s="8">
        <v>196.51</v>
      </c>
      <c r="T283">
        <v>19</v>
      </c>
      <c r="U283" t="str">
        <f t="shared" si="4"/>
        <v>Monday</v>
      </c>
    </row>
    <row r="284" spans="1:21" x14ac:dyDescent="0.3">
      <c r="A284" s="5" t="s">
        <v>1278</v>
      </c>
      <c r="B284" s="3" t="s">
        <v>3716</v>
      </c>
      <c r="C284" s="5" t="s">
        <v>1279</v>
      </c>
      <c r="D284" s="5" t="s">
        <v>21</v>
      </c>
      <c r="E284" s="5" t="s">
        <v>112</v>
      </c>
      <c r="F284" s="5" t="s">
        <v>23</v>
      </c>
      <c r="G284" t="s">
        <v>1280</v>
      </c>
      <c r="H284" s="5" t="s">
        <v>3674</v>
      </c>
      <c r="I284" s="5" t="s">
        <v>456</v>
      </c>
      <c r="J284" s="5" t="s">
        <v>457</v>
      </c>
      <c r="K284" s="5" t="s">
        <v>145</v>
      </c>
      <c r="L284">
        <v>4</v>
      </c>
      <c r="M284">
        <v>172.07</v>
      </c>
      <c r="N284" s="8">
        <v>0</v>
      </c>
      <c r="O284" s="8">
        <v>688.28</v>
      </c>
      <c r="P284" s="8">
        <v>34.409999999999997</v>
      </c>
      <c r="Q284" s="10">
        <v>20</v>
      </c>
      <c r="R284" s="10">
        <v>20</v>
      </c>
      <c r="S284" s="8">
        <v>762.68999999999994</v>
      </c>
      <c r="T284">
        <v>21</v>
      </c>
      <c r="U284" t="str">
        <f t="shared" si="4"/>
        <v>Saturday</v>
      </c>
    </row>
    <row r="285" spans="1:21" x14ac:dyDescent="0.3">
      <c r="A285" s="5" t="s">
        <v>1281</v>
      </c>
      <c r="B285" s="3" t="s">
        <v>3710</v>
      </c>
      <c r="C285" s="5" t="s">
        <v>1282</v>
      </c>
      <c r="D285" s="5" t="s">
        <v>21</v>
      </c>
      <c r="E285" s="5" t="s">
        <v>69</v>
      </c>
      <c r="F285" s="5" t="s">
        <v>37</v>
      </c>
      <c r="G285" t="s">
        <v>1283</v>
      </c>
      <c r="H285" s="5" t="s">
        <v>3675</v>
      </c>
      <c r="I285" s="5" t="s">
        <v>460</v>
      </c>
      <c r="J285" s="5" t="s">
        <v>461</v>
      </c>
      <c r="K285" s="5" t="s">
        <v>45</v>
      </c>
      <c r="L285">
        <v>1</v>
      </c>
      <c r="M285">
        <v>108.46</v>
      </c>
      <c r="N285" s="8">
        <v>0</v>
      </c>
      <c r="O285" s="8">
        <v>108.46</v>
      </c>
      <c r="P285" s="8">
        <v>5.42</v>
      </c>
      <c r="Q285" s="10">
        <v>20</v>
      </c>
      <c r="R285" s="10">
        <v>5</v>
      </c>
      <c r="S285" s="8">
        <v>138.88</v>
      </c>
      <c r="T285">
        <v>24.67</v>
      </c>
      <c r="U285" t="str">
        <f t="shared" si="4"/>
        <v>Monday</v>
      </c>
    </row>
    <row r="286" spans="1:21" x14ac:dyDescent="0.3">
      <c r="A286" s="5" t="s">
        <v>1284</v>
      </c>
      <c r="B286" s="3" t="s">
        <v>3686</v>
      </c>
      <c r="C286" s="5" t="s">
        <v>1285</v>
      </c>
      <c r="D286" s="5" t="s">
        <v>21</v>
      </c>
      <c r="E286" s="5" t="s">
        <v>112</v>
      </c>
      <c r="F286" s="5" t="s">
        <v>42</v>
      </c>
      <c r="G286" t="s">
        <v>1286</v>
      </c>
      <c r="H286" s="5" t="s">
        <v>100</v>
      </c>
      <c r="I286" s="5" t="s">
        <v>465</v>
      </c>
      <c r="J286" s="5" t="s">
        <v>466</v>
      </c>
      <c r="K286" s="5" t="s">
        <v>34</v>
      </c>
      <c r="L286">
        <v>4</v>
      </c>
      <c r="M286">
        <v>130.77000000000001</v>
      </c>
      <c r="N286" s="8">
        <v>13.08</v>
      </c>
      <c r="O286" s="8">
        <v>510.00000000000011</v>
      </c>
      <c r="P286" s="8">
        <v>25.5</v>
      </c>
      <c r="Q286" s="10">
        <v>20</v>
      </c>
      <c r="R286" s="10">
        <v>5</v>
      </c>
      <c r="S286" s="8">
        <v>560.5</v>
      </c>
      <c r="T286">
        <v>24.67</v>
      </c>
      <c r="U286" t="str">
        <f t="shared" si="4"/>
        <v>Saturday</v>
      </c>
    </row>
    <row r="287" spans="1:21" x14ac:dyDescent="0.3">
      <c r="A287" s="5" t="s">
        <v>1287</v>
      </c>
      <c r="B287" s="3" t="s">
        <v>3736</v>
      </c>
      <c r="C287" s="5" t="s">
        <v>1288</v>
      </c>
      <c r="D287" s="5" t="s">
        <v>21</v>
      </c>
      <c r="E287" s="5" t="s">
        <v>36</v>
      </c>
      <c r="F287" s="5" t="s">
        <v>42</v>
      </c>
      <c r="G287" t="s">
        <v>1289</v>
      </c>
      <c r="H287" s="5" t="s">
        <v>3675</v>
      </c>
      <c r="I287" s="5" t="s">
        <v>470</v>
      </c>
      <c r="J287" s="5" t="s">
        <v>471</v>
      </c>
      <c r="K287" s="5" t="s">
        <v>56</v>
      </c>
      <c r="L287">
        <v>4</v>
      </c>
      <c r="M287">
        <v>160.05000000000001</v>
      </c>
      <c r="N287" s="8">
        <v>16.010000000000002</v>
      </c>
      <c r="O287" s="8">
        <v>624.19000000000005</v>
      </c>
      <c r="P287" s="8">
        <v>31.21</v>
      </c>
      <c r="Q287" s="10">
        <v>20</v>
      </c>
      <c r="R287" s="10">
        <v>15</v>
      </c>
      <c r="S287" s="8">
        <v>690.40000000000009</v>
      </c>
      <c r="T287">
        <v>27</v>
      </c>
      <c r="U287" t="str">
        <f t="shared" si="4"/>
        <v>Tuesday</v>
      </c>
    </row>
    <row r="288" spans="1:21" x14ac:dyDescent="0.3">
      <c r="A288" s="5" t="s">
        <v>1290</v>
      </c>
      <c r="B288" s="3" t="s">
        <v>3703</v>
      </c>
      <c r="C288" s="5" t="s">
        <v>1291</v>
      </c>
      <c r="D288" s="5" t="s">
        <v>21</v>
      </c>
      <c r="E288" s="5" t="s">
        <v>36</v>
      </c>
      <c r="F288" s="5" t="s">
        <v>23</v>
      </c>
      <c r="G288" t="s">
        <v>1292</v>
      </c>
      <c r="H288" s="5" t="s">
        <v>3676</v>
      </c>
      <c r="I288" s="5" t="s">
        <v>475</v>
      </c>
      <c r="J288" s="5" t="s">
        <v>476</v>
      </c>
      <c r="K288" s="5" t="s">
        <v>45</v>
      </c>
      <c r="L288">
        <v>4</v>
      </c>
      <c r="M288">
        <v>160.35</v>
      </c>
      <c r="N288" s="8">
        <v>16.04</v>
      </c>
      <c r="O288" s="8">
        <v>625.36</v>
      </c>
      <c r="P288" s="8">
        <v>31.27</v>
      </c>
      <c r="Q288" s="10">
        <v>30</v>
      </c>
      <c r="R288" s="10">
        <v>5</v>
      </c>
      <c r="S288" s="8">
        <v>691.63</v>
      </c>
      <c r="T288">
        <v>43</v>
      </c>
      <c r="U288" t="str">
        <f t="shared" si="4"/>
        <v>Friday</v>
      </c>
    </row>
    <row r="289" spans="1:21" x14ac:dyDescent="0.3">
      <c r="A289" s="5" t="s">
        <v>1293</v>
      </c>
      <c r="B289" s="3" t="s">
        <v>3722</v>
      </c>
      <c r="C289" s="5" t="s">
        <v>1294</v>
      </c>
      <c r="D289" s="5" t="s">
        <v>82</v>
      </c>
      <c r="E289" s="5" t="s">
        <v>83</v>
      </c>
      <c r="F289" s="5" t="s">
        <v>42</v>
      </c>
      <c r="G289" t="s">
        <v>1295</v>
      </c>
      <c r="H289" s="5" t="s">
        <v>3674</v>
      </c>
      <c r="I289" s="5" t="s">
        <v>480</v>
      </c>
      <c r="J289" s="5" t="s">
        <v>481</v>
      </c>
      <c r="K289" s="5" t="s">
        <v>45</v>
      </c>
      <c r="L289">
        <v>1</v>
      </c>
      <c r="M289">
        <v>16.62</v>
      </c>
      <c r="N289" s="8">
        <v>1.66</v>
      </c>
      <c r="O289" s="8">
        <v>14.96</v>
      </c>
      <c r="P289" s="8">
        <v>0.75</v>
      </c>
      <c r="Q289" s="10">
        <v>20</v>
      </c>
      <c r="R289" s="10">
        <v>20</v>
      </c>
      <c r="S289" s="8">
        <v>55.71</v>
      </c>
      <c r="T289">
        <v>15</v>
      </c>
      <c r="U289" t="str">
        <f t="shared" si="4"/>
        <v>Friday</v>
      </c>
    </row>
    <row r="290" spans="1:21" x14ac:dyDescent="0.3">
      <c r="A290" s="5" t="s">
        <v>1296</v>
      </c>
      <c r="B290" s="3" t="s">
        <v>3696</v>
      </c>
      <c r="C290" s="5" t="s">
        <v>1297</v>
      </c>
      <c r="D290" s="5" t="s">
        <v>21</v>
      </c>
      <c r="E290" s="5" t="s">
        <v>76</v>
      </c>
      <c r="F290" s="5" t="s">
        <v>42</v>
      </c>
      <c r="G290" t="s">
        <v>1298</v>
      </c>
      <c r="H290" s="5" t="s">
        <v>3673</v>
      </c>
      <c r="I290" s="5" t="s">
        <v>485</v>
      </c>
      <c r="J290" s="5" t="s">
        <v>486</v>
      </c>
      <c r="K290" s="5" t="s">
        <v>28</v>
      </c>
      <c r="L290">
        <v>2</v>
      </c>
      <c r="M290">
        <v>87.88</v>
      </c>
      <c r="N290" s="8">
        <v>0</v>
      </c>
      <c r="O290" s="8">
        <v>175.76</v>
      </c>
      <c r="P290" s="8">
        <v>8.7899999999999991</v>
      </c>
      <c r="Q290" s="10">
        <v>20</v>
      </c>
      <c r="R290" s="10">
        <v>5</v>
      </c>
      <c r="S290" s="8">
        <v>209.55</v>
      </c>
      <c r="T290">
        <v>24</v>
      </c>
      <c r="U290" t="str">
        <f t="shared" si="4"/>
        <v>Friday</v>
      </c>
    </row>
    <row r="291" spans="1:21" x14ac:dyDescent="0.3">
      <c r="A291" s="5" t="s">
        <v>1299</v>
      </c>
      <c r="B291" s="3" t="s">
        <v>3687</v>
      </c>
      <c r="C291" s="5" t="s">
        <v>1300</v>
      </c>
      <c r="D291" s="5" t="s">
        <v>21</v>
      </c>
      <c r="E291" s="5" t="s">
        <v>76</v>
      </c>
      <c r="F291" s="5" t="s">
        <v>42</v>
      </c>
      <c r="G291" t="s">
        <v>1301</v>
      </c>
      <c r="H291" s="5" t="s">
        <v>3675</v>
      </c>
      <c r="I291" s="5" t="s">
        <v>490</v>
      </c>
      <c r="J291" s="5" t="s">
        <v>491</v>
      </c>
      <c r="K291" s="5" t="s">
        <v>73</v>
      </c>
      <c r="L291">
        <v>2</v>
      </c>
      <c r="M291">
        <v>145.30000000000001</v>
      </c>
      <c r="N291" s="8">
        <v>7.27</v>
      </c>
      <c r="O291" s="8">
        <v>283.33</v>
      </c>
      <c r="P291" s="8">
        <v>14.17</v>
      </c>
      <c r="Q291" s="10">
        <v>0</v>
      </c>
      <c r="R291" s="10">
        <v>10</v>
      </c>
      <c r="S291" s="8">
        <v>307.50000000000011</v>
      </c>
      <c r="T291">
        <v>33</v>
      </c>
      <c r="U291" t="str">
        <f t="shared" si="4"/>
        <v>Friday</v>
      </c>
    </row>
    <row r="292" spans="1:21" x14ac:dyDescent="0.3">
      <c r="A292" s="5" t="s">
        <v>1302</v>
      </c>
      <c r="B292" s="3" t="s">
        <v>3733</v>
      </c>
      <c r="C292" s="5" t="s">
        <v>1303</v>
      </c>
      <c r="D292" s="5" t="s">
        <v>21</v>
      </c>
      <c r="E292" s="5" t="s">
        <v>36</v>
      </c>
      <c r="F292" s="5" t="s">
        <v>23</v>
      </c>
      <c r="G292" t="s">
        <v>1304</v>
      </c>
      <c r="H292" s="5" t="s">
        <v>100</v>
      </c>
      <c r="I292" s="5" t="s">
        <v>495</v>
      </c>
      <c r="J292" s="5" t="s">
        <v>496</v>
      </c>
      <c r="K292" s="5" t="s">
        <v>103</v>
      </c>
      <c r="L292">
        <v>3</v>
      </c>
      <c r="M292">
        <v>173.32</v>
      </c>
      <c r="N292" s="8">
        <v>0</v>
      </c>
      <c r="O292" s="8">
        <v>519.96</v>
      </c>
      <c r="P292" s="8">
        <v>26</v>
      </c>
      <c r="Q292" s="10">
        <v>10</v>
      </c>
      <c r="R292" s="10">
        <v>20</v>
      </c>
      <c r="S292" s="8">
        <v>575.96</v>
      </c>
      <c r="T292">
        <v>19</v>
      </c>
      <c r="U292" t="str">
        <f t="shared" si="4"/>
        <v>Sunday</v>
      </c>
    </row>
    <row r="293" spans="1:21" x14ac:dyDescent="0.3">
      <c r="A293" s="5" t="s">
        <v>1305</v>
      </c>
      <c r="B293" s="3" t="s">
        <v>3679</v>
      </c>
      <c r="C293" s="5" t="s">
        <v>1306</v>
      </c>
      <c r="D293" s="5" t="s">
        <v>21</v>
      </c>
      <c r="E293" s="5" t="s">
        <v>22</v>
      </c>
      <c r="F293" s="5" t="s">
        <v>42</v>
      </c>
      <c r="G293" t="s">
        <v>1307</v>
      </c>
      <c r="H293" s="5" t="s">
        <v>3673</v>
      </c>
      <c r="I293" s="5" t="s">
        <v>500</v>
      </c>
      <c r="J293" s="5" t="s">
        <v>501</v>
      </c>
      <c r="K293" s="5" t="s">
        <v>40</v>
      </c>
      <c r="L293">
        <v>3</v>
      </c>
      <c r="M293">
        <v>230.29</v>
      </c>
      <c r="N293" s="8">
        <v>11.51</v>
      </c>
      <c r="O293" s="8">
        <v>679.36</v>
      </c>
      <c r="P293" s="8">
        <v>33.97</v>
      </c>
      <c r="Q293" s="10">
        <v>0</v>
      </c>
      <c r="R293" s="10">
        <v>10</v>
      </c>
      <c r="S293" s="8">
        <v>723.33</v>
      </c>
      <c r="T293">
        <v>24.67</v>
      </c>
      <c r="U293" t="str">
        <f t="shared" si="4"/>
        <v>Friday</v>
      </c>
    </row>
    <row r="294" spans="1:21" x14ac:dyDescent="0.3">
      <c r="A294" s="5" t="s">
        <v>1308</v>
      </c>
      <c r="B294" s="3" t="s">
        <v>3726</v>
      </c>
      <c r="C294" s="5" t="s">
        <v>1309</v>
      </c>
      <c r="D294" s="5" t="s">
        <v>21</v>
      </c>
      <c r="E294" s="5" t="s">
        <v>36</v>
      </c>
      <c r="F294" s="5" t="s">
        <v>23</v>
      </c>
      <c r="G294" t="s">
        <v>1310</v>
      </c>
      <c r="H294" s="5" t="s">
        <v>3675</v>
      </c>
      <c r="I294" s="5" t="s">
        <v>505</v>
      </c>
      <c r="J294" s="5" t="s">
        <v>506</v>
      </c>
      <c r="K294" s="5" t="s">
        <v>28</v>
      </c>
      <c r="L294">
        <v>3</v>
      </c>
      <c r="M294">
        <v>85.2</v>
      </c>
      <c r="N294" s="8">
        <v>12.78</v>
      </c>
      <c r="O294" s="8">
        <v>242.82</v>
      </c>
      <c r="P294" s="8">
        <v>12.14</v>
      </c>
      <c r="Q294" s="10">
        <v>0</v>
      </c>
      <c r="R294" s="10">
        <v>15</v>
      </c>
      <c r="S294" s="8">
        <v>269.95999999999998</v>
      </c>
      <c r="T294">
        <v>32</v>
      </c>
      <c r="U294" t="str">
        <f t="shared" si="4"/>
        <v>Monday</v>
      </c>
    </row>
    <row r="295" spans="1:21" x14ac:dyDescent="0.3">
      <c r="A295" s="5" t="s">
        <v>1311</v>
      </c>
      <c r="B295" s="3" t="s">
        <v>3723</v>
      </c>
      <c r="C295" s="5" t="s">
        <v>1312</v>
      </c>
      <c r="D295" s="5" t="s">
        <v>21</v>
      </c>
      <c r="E295" s="5" t="s">
        <v>69</v>
      </c>
      <c r="F295" s="5" t="s">
        <v>23</v>
      </c>
      <c r="G295" t="s">
        <v>1313</v>
      </c>
      <c r="H295" s="5" t="s">
        <v>3673</v>
      </c>
      <c r="I295" s="5" t="s">
        <v>510</v>
      </c>
      <c r="J295" s="5" t="s">
        <v>511</v>
      </c>
      <c r="K295" s="5" t="s">
        <v>45</v>
      </c>
      <c r="L295">
        <v>1</v>
      </c>
      <c r="M295">
        <v>164.72</v>
      </c>
      <c r="N295" s="8">
        <v>24.71</v>
      </c>
      <c r="O295" s="8">
        <v>140.01</v>
      </c>
      <c r="P295" s="8">
        <v>7</v>
      </c>
      <c r="Q295" s="10">
        <v>30</v>
      </c>
      <c r="R295" s="10">
        <v>15</v>
      </c>
      <c r="S295" s="8">
        <v>192.01</v>
      </c>
      <c r="T295">
        <v>16</v>
      </c>
      <c r="U295" t="str">
        <f t="shared" si="4"/>
        <v>Monday</v>
      </c>
    </row>
    <row r="296" spans="1:21" x14ac:dyDescent="0.3">
      <c r="A296" s="5" t="s">
        <v>1314</v>
      </c>
      <c r="B296" s="3" t="s">
        <v>3692</v>
      </c>
      <c r="C296" s="5" t="s">
        <v>1315</v>
      </c>
      <c r="D296" s="5" t="s">
        <v>21</v>
      </c>
      <c r="E296" s="5" t="s">
        <v>69</v>
      </c>
      <c r="F296" s="5" t="s">
        <v>42</v>
      </c>
      <c r="G296" t="s">
        <v>1316</v>
      </c>
      <c r="H296" s="5" t="s">
        <v>3673</v>
      </c>
      <c r="I296" s="5" t="s">
        <v>515</v>
      </c>
      <c r="J296" s="5" t="s">
        <v>516</v>
      </c>
      <c r="K296" s="5" t="s">
        <v>34</v>
      </c>
      <c r="L296">
        <v>2</v>
      </c>
      <c r="M296">
        <v>167.66</v>
      </c>
      <c r="N296" s="8">
        <v>0</v>
      </c>
      <c r="O296" s="8">
        <v>335.32</v>
      </c>
      <c r="P296" s="8">
        <v>16.77</v>
      </c>
      <c r="Q296" s="10">
        <v>30</v>
      </c>
      <c r="R296" s="10">
        <v>20</v>
      </c>
      <c r="S296" s="8">
        <v>402.09</v>
      </c>
      <c r="T296">
        <v>24.67</v>
      </c>
      <c r="U296" t="str">
        <f t="shared" si="4"/>
        <v>Wednesday</v>
      </c>
    </row>
    <row r="297" spans="1:21" x14ac:dyDescent="0.3">
      <c r="A297" s="5" t="s">
        <v>1317</v>
      </c>
      <c r="B297" s="3" t="s">
        <v>3686</v>
      </c>
      <c r="C297" s="5" t="s">
        <v>1318</v>
      </c>
      <c r="D297" s="5" t="s">
        <v>21</v>
      </c>
      <c r="E297" s="5" t="s">
        <v>36</v>
      </c>
      <c r="F297" s="5" t="s">
        <v>42</v>
      </c>
      <c r="G297" t="s">
        <v>1319</v>
      </c>
      <c r="H297" s="5" t="s">
        <v>25</v>
      </c>
      <c r="I297" s="5" t="s">
        <v>520</v>
      </c>
      <c r="J297" s="5" t="s">
        <v>521</v>
      </c>
      <c r="K297" s="5" t="s">
        <v>196</v>
      </c>
      <c r="L297">
        <v>4</v>
      </c>
      <c r="M297">
        <v>81.040000000000006</v>
      </c>
      <c r="N297" s="8">
        <v>4.05</v>
      </c>
      <c r="O297" s="8">
        <v>320.11</v>
      </c>
      <c r="P297" s="8">
        <v>16.010000000000002</v>
      </c>
      <c r="Q297" s="10">
        <v>20</v>
      </c>
      <c r="R297" s="10">
        <v>10</v>
      </c>
      <c r="S297" s="8">
        <v>366.12</v>
      </c>
      <c r="T297">
        <v>8</v>
      </c>
      <c r="U297" t="str">
        <f t="shared" si="4"/>
        <v>Saturday</v>
      </c>
    </row>
    <row r="298" spans="1:21" x14ac:dyDescent="0.3">
      <c r="A298" s="5" t="s">
        <v>1320</v>
      </c>
      <c r="B298" s="3" t="s">
        <v>3729</v>
      </c>
      <c r="C298" s="5" t="s">
        <v>1321</v>
      </c>
      <c r="D298" s="5" t="s">
        <v>21</v>
      </c>
      <c r="E298" s="5" t="s">
        <v>76</v>
      </c>
      <c r="F298" s="5" t="s">
        <v>37</v>
      </c>
      <c r="H298" s="5" t="s">
        <v>3677</v>
      </c>
      <c r="I298" s="5" t="s">
        <v>525</v>
      </c>
      <c r="J298" s="5" t="s">
        <v>526</v>
      </c>
      <c r="K298" s="5" t="s">
        <v>56</v>
      </c>
      <c r="L298">
        <v>2</v>
      </c>
      <c r="M298">
        <v>124.2</v>
      </c>
      <c r="N298" s="8">
        <v>6.21</v>
      </c>
      <c r="O298" s="8">
        <v>242.19</v>
      </c>
      <c r="P298" s="8">
        <v>12.11</v>
      </c>
      <c r="Q298" s="10">
        <v>20</v>
      </c>
      <c r="R298" s="10">
        <v>0</v>
      </c>
      <c r="S298" s="8">
        <v>274.3</v>
      </c>
      <c r="T298">
        <v>36</v>
      </c>
      <c r="U298" t="str">
        <f t="shared" si="4"/>
        <v>Monday</v>
      </c>
    </row>
    <row r="299" spans="1:21" x14ac:dyDescent="0.3">
      <c r="A299" s="5" t="s">
        <v>1322</v>
      </c>
      <c r="B299" s="3" t="s">
        <v>3706</v>
      </c>
      <c r="C299" s="5" t="s">
        <v>1323</v>
      </c>
      <c r="D299" s="5" t="s">
        <v>106</v>
      </c>
      <c r="E299" s="5" t="s">
        <v>83</v>
      </c>
      <c r="F299" s="5" t="s">
        <v>42</v>
      </c>
      <c r="G299" t="s">
        <v>1324</v>
      </c>
      <c r="H299" s="5" t="s">
        <v>3673</v>
      </c>
      <c r="I299" s="5" t="s">
        <v>530</v>
      </c>
      <c r="J299" s="5" t="s">
        <v>531</v>
      </c>
      <c r="K299" s="5" t="s">
        <v>103</v>
      </c>
      <c r="L299">
        <v>1</v>
      </c>
      <c r="M299">
        <v>77.069999999999993</v>
      </c>
      <c r="N299" s="8">
        <v>3.85</v>
      </c>
      <c r="O299" s="8">
        <v>73.22</v>
      </c>
      <c r="P299" s="8">
        <v>3.66</v>
      </c>
      <c r="Q299" s="10">
        <v>0</v>
      </c>
      <c r="R299" s="10">
        <v>0</v>
      </c>
      <c r="S299" s="8">
        <v>76.88</v>
      </c>
      <c r="T299">
        <v>24.67</v>
      </c>
      <c r="U299" t="str">
        <f t="shared" si="4"/>
        <v>Thursday</v>
      </c>
    </row>
    <row r="300" spans="1:21" x14ac:dyDescent="0.3">
      <c r="A300" s="5" t="s">
        <v>1325</v>
      </c>
      <c r="B300" s="3" t="s">
        <v>3698</v>
      </c>
      <c r="C300" s="5" t="s">
        <v>20</v>
      </c>
      <c r="D300" s="5" t="s">
        <v>21</v>
      </c>
      <c r="E300" s="5" t="s">
        <v>22</v>
      </c>
      <c r="F300" s="5" t="s">
        <v>23</v>
      </c>
      <c r="G300" t="s">
        <v>1326</v>
      </c>
      <c r="H300" s="5" t="s">
        <v>3673</v>
      </c>
      <c r="I300" s="5" t="s">
        <v>535</v>
      </c>
      <c r="J300" s="5" t="s">
        <v>536</v>
      </c>
      <c r="K300" s="5" t="s">
        <v>22</v>
      </c>
      <c r="L300">
        <v>3</v>
      </c>
      <c r="M300">
        <v>222.55</v>
      </c>
      <c r="N300" s="8">
        <v>33.380000000000003</v>
      </c>
      <c r="O300" s="8">
        <v>634.2700000000001</v>
      </c>
      <c r="P300" s="8">
        <v>31.71</v>
      </c>
      <c r="Q300" s="10">
        <v>0</v>
      </c>
      <c r="R300" s="10">
        <v>20</v>
      </c>
      <c r="S300" s="8">
        <v>685.98000000000013</v>
      </c>
      <c r="T300">
        <v>19</v>
      </c>
      <c r="U300" t="str">
        <f t="shared" si="4"/>
        <v>Sunday</v>
      </c>
    </row>
    <row r="301" spans="1:21" x14ac:dyDescent="0.3">
      <c r="A301" s="5" t="s">
        <v>1327</v>
      </c>
      <c r="B301" s="3" t="s">
        <v>3714</v>
      </c>
      <c r="C301" s="5" t="s">
        <v>30</v>
      </c>
      <c r="D301" s="5" t="s">
        <v>21</v>
      </c>
      <c r="E301" s="5" t="s">
        <v>112</v>
      </c>
      <c r="F301" s="5" t="s">
        <v>23</v>
      </c>
      <c r="G301" t="s">
        <v>1328</v>
      </c>
      <c r="H301" s="5" t="s">
        <v>3676</v>
      </c>
      <c r="I301" s="5" t="s">
        <v>539</v>
      </c>
      <c r="J301" s="5" t="s">
        <v>540</v>
      </c>
      <c r="K301" s="5" t="s">
        <v>45</v>
      </c>
      <c r="L301">
        <v>3</v>
      </c>
      <c r="M301">
        <v>208.44</v>
      </c>
      <c r="N301" s="8">
        <v>0</v>
      </c>
      <c r="O301" s="8">
        <v>625.31999999999994</v>
      </c>
      <c r="P301" s="8">
        <v>31.27</v>
      </c>
      <c r="Q301" s="10">
        <v>10</v>
      </c>
      <c r="R301" s="10">
        <v>0</v>
      </c>
      <c r="S301" s="8">
        <v>666.58999999999992</v>
      </c>
      <c r="T301">
        <v>21</v>
      </c>
      <c r="U301" t="str">
        <f t="shared" si="4"/>
        <v>Thursday</v>
      </c>
    </row>
    <row r="302" spans="1:21" x14ac:dyDescent="0.3">
      <c r="A302" s="5" t="s">
        <v>1329</v>
      </c>
      <c r="B302" s="3" t="s">
        <v>3697</v>
      </c>
      <c r="C302" s="5" t="s">
        <v>35</v>
      </c>
      <c r="D302" s="5" t="s">
        <v>21</v>
      </c>
      <c r="E302" s="5" t="s">
        <v>69</v>
      </c>
      <c r="F302" s="5" t="s">
        <v>23</v>
      </c>
      <c r="G302" t="s">
        <v>1330</v>
      </c>
      <c r="H302" s="5" t="s">
        <v>3673</v>
      </c>
      <c r="I302" s="5" t="s">
        <v>544</v>
      </c>
      <c r="J302" s="5" t="s">
        <v>545</v>
      </c>
      <c r="K302" s="5" t="s">
        <v>73</v>
      </c>
      <c r="L302">
        <v>2</v>
      </c>
      <c r="M302">
        <v>98.69</v>
      </c>
      <c r="N302" s="8">
        <v>4.93</v>
      </c>
      <c r="O302" s="8">
        <v>192.45</v>
      </c>
      <c r="P302" s="8">
        <v>9.6199999999999992</v>
      </c>
      <c r="Q302" s="10">
        <v>0</v>
      </c>
      <c r="R302" s="10">
        <v>5</v>
      </c>
      <c r="S302" s="8">
        <v>207.07</v>
      </c>
      <c r="T302">
        <v>37</v>
      </c>
      <c r="U302" t="str">
        <f t="shared" si="4"/>
        <v>Saturday</v>
      </c>
    </row>
    <row r="303" spans="1:21" x14ac:dyDescent="0.3">
      <c r="A303" s="5" t="s">
        <v>1331</v>
      </c>
      <c r="B303" s="3" t="s">
        <v>3703</v>
      </c>
      <c r="C303" s="5" t="s">
        <v>41</v>
      </c>
      <c r="D303" s="5" t="s">
        <v>82</v>
      </c>
      <c r="E303" s="5" t="s">
        <v>83</v>
      </c>
      <c r="F303" s="5" t="s">
        <v>23</v>
      </c>
      <c r="G303" t="s">
        <v>1332</v>
      </c>
      <c r="H303" s="5" t="s">
        <v>3676</v>
      </c>
      <c r="I303" s="5" t="s">
        <v>549</v>
      </c>
      <c r="J303" s="5" t="s">
        <v>550</v>
      </c>
      <c r="K303" s="5" t="s">
        <v>28</v>
      </c>
      <c r="L303">
        <v>6</v>
      </c>
      <c r="M303">
        <v>124.53</v>
      </c>
      <c r="N303" s="8">
        <v>12.45</v>
      </c>
      <c r="O303" s="8">
        <v>734.73</v>
      </c>
      <c r="P303" s="8">
        <v>36.74</v>
      </c>
      <c r="Q303" s="10">
        <v>30</v>
      </c>
      <c r="R303" s="10">
        <v>15</v>
      </c>
      <c r="S303" s="8">
        <v>816.47</v>
      </c>
      <c r="T303">
        <v>8</v>
      </c>
      <c r="U303" t="str">
        <f t="shared" si="4"/>
        <v>Friday</v>
      </c>
    </row>
    <row r="304" spans="1:21" x14ac:dyDescent="0.3">
      <c r="A304" s="5" t="s">
        <v>1333</v>
      </c>
      <c r="B304" s="3" t="s">
        <v>3723</v>
      </c>
      <c r="C304" s="5" t="s">
        <v>47</v>
      </c>
      <c r="D304" s="5" t="s">
        <v>21</v>
      </c>
      <c r="E304" s="5" t="s">
        <v>22</v>
      </c>
      <c r="F304" s="5" t="s">
        <v>23</v>
      </c>
      <c r="G304" t="s">
        <v>1334</v>
      </c>
      <c r="H304" s="5" t="s">
        <v>3677</v>
      </c>
      <c r="I304" s="5" t="s">
        <v>554</v>
      </c>
      <c r="J304" s="5" t="s">
        <v>555</v>
      </c>
      <c r="K304" s="5" t="s">
        <v>34</v>
      </c>
      <c r="L304">
        <v>2</v>
      </c>
      <c r="M304">
        <v>24.17</v>
      </c>
      <c r="N304" s="8">
        <v>1.21</v>
      </c>
      <c r="O304" s="8">
        <v>47.13</v>
      </c>
      <c r="P304" s="8">
        <v>2.36</v>
      </c>
      <c r="Q304" s="10">
        <v>20</v>
      </c>
      <c r="R304" s="10">
        <v>0</v>
      </c>
      <c r="S304" s="8">
        <v>69.490000000000009</v>
      </c>
      <c r="T304">
        <v>16</v>
      </c>
      <c r="U304" t="str">
        <f t="shared" si="4"/>
        <v>Monday</v>
      </c>
    </row>
    <row r="305" spans="1:21" x14ac:dyDescent="0.3">
      <c r="A305" s="5" t="s">
        <v>1335</v>
      </c>
      <c r="B305" s="3" t="s">
        <v>3706</v>
      </c>
      <c r="C305" s="5" t="s">
        <v>52</v>
      </c>
      <c r="D305" s="5" t="s">
        <v>21</v>
      </c>
      <c r="E305" s="5" t="s">
        <v>69</v>
      </c>
      <c r="F305" s="5" t="s">
        <v>3671</v>
      </c>
      <c r="G305" t="s">
        <v>1336</v>
      </c>
      <c r="H305" s="5" t="s">
        <v>3675</v>
      </c>
      <c r="I305" s="5" t="s">
        <v>559</v>
      </c>
      <c r="J305" s="5" t="s">
        <v>560</v>
      </c>
      <c r="K305" s="5" t="s">
        <v>22</v>
      </c>
      <c r="L305">
        <v>1</v>
      </c>
      <c r="M305">
        <v>174.41</v>
      </c>
      <c r="N305" s="8">
        <v>17.440000000000001</v>
      </c>
      <c r="O305" s="8">
        <v>156.97</v>
      </c>
      <c r="P305" s="8">
        <v>7.85</v>
      </c>
      <c r="Q305" s="10">
        <v>10</v>
      </c>
      <c r="R305" s="10">
        <v>0</v>
      </c>
      <c r="S305" s="8">
        <v>174.82</v>
      </c>
      <c r="T305">
        <v>22</v>
      </c>
      <c r="U305" t="str">
        <f t="shared" si="4"/>
        <v>Thursday</v>
      </c>
    </row>
    <row r="306" spans="1:21" x14ac:dyDescent="0.3">
      <c r="A306" s="5" t="s">
        <v>1337</v>
      </c>
      <c r="B306" s="3" t="s">
        <v>3725</v>
      </c>
      <c r="C306" s="5" t="s">
        <v>58</v>
      </c>
      <c r="D306" s="5" t="s">
        <v>21</v>
      </c>
      <c r="E306" s="5" t="s">
        <v>76</v>
      </c>
      <c r="F306" s="5" t="s">
        <v>42</v>
      </c>
      <c r="H306" s="5" t="s">
        <v>3677</v>
      </c>
      <c r="I306" s="5" t="s">
        <v>564</v>
      </c>
      <c r="J306" s="5" t="s">
        <v>565</v>
      </c>
      <c r="K306" s="5" t="s">
        <v>34</v>
      </c>
      <c r="L306">
        <v>3</v>
      </c>
      <c r="M306">
        <v>91.83</v>
      </c>
      <c r="N306" s="8">
        <v>9.18</v>
      </c>
      <c r="O306" s="8">
        <v>266.31</v>
      </c>
      <c r="P306" s="8">
        <v>13.32</v>
      </c>
      <c r="Q306" s="10">
        <v>0</v>
      </c>
      <c r="R306" s="10">
        <v>10</v>
      </c>
      <c r="S306" s="8">
        <v>289.63</v>
      </c>
      <c r="T306">
        <v>24.67</v>
      </c>
      <c r="U306" t="str">
        <f t="shared" si="4"/>
        <v>Wednesday</v>
      </c>
    </row>
    <row r="307" spans="1:21" x14ac:dyDescent="0.3">
      <c r="A307" s="5" t="s">
        <v>1338</v>
      </c>
      <c r="B307" s="3" t="s">
        <v>3691</v>
      </c>
      <c r="C307" s="5" t="s">
        <v>63</v>
      </c>
      <c r="D307" s="5" t="s">
        <v>21</v>
      </c>
      <c r="E307" s="5" t="s">
        <v>76</v>
      </c>
      <c r="F307" s="5" t="s">
        <v>42</v>
      </c>
      <c r="G307" t="s">
        <v>1339</v>
      </c>
      <c r="H307" s="5" t="s">
        <v>3675</v>
      </c>
      <c r="I307" s="5" t="s">
        <v>569</v>
      </c>
      <c r="J307" s="5" t="s">
        <v>570</v>
      </c>
      <c r="K307" s="5" t="s">
        <v>34</v>
      </c>
      <c r="L307">
        <v>2</v>
      </c>
      <c r="M307">
        <v>78.45</v>
      </c>
      <c r="N307" s="8">
        <v>0</v>
      </c>
      <c r="O307" s="8">
        <v>156.9</v>
      </c>
      <c r="P307" s="8">
        <v>7.85</v>
      </c>
      <c r="Q307" s="10">
        <v>10</v>
      </c>
      <c r="R307" s="10">
        <v>10</v>
      </c>
      <c r="S307" s="8">
        <v>184.75</v>
      </c>
      <c r="T307">
        <v>10</v>
      </c>
      <c r="U307" t="str">
        <f t="shared" si="4"/>
        <v>Friday</v>
      </c>
    </row>
    <row r="308" spans="1:21" x14ac:dyDescent="0.3">
      <c r="A308" s="5" t="s">
        <v>1340</v>
      </c>
      <c r="B308" s="3" t="s">
        <v>3720</v>
      </c>
      <c r="C308" s="5" t="s">
        <v>68</v>
      </c>
      <c r="D308" s="5" t="s">
        <v>21</v>
      </c>
      <c r="E308" s="5" t="s">
        <v>69</v>
      </c>
      <c r="F308" s="5" t="s">
        <v>37</v>
      </c>
      <c r="G308" t="s">
        <v>1341</v>
      </c>
      <c r="H308" s="5" t="s">
        <v>3673</v>
      </c>
      <c r="I308" s="5" t="s">
        <v>574</v>
      </c>
      <c r="J308" s="5" t="s">
        <v>575</v>
      </c>
      <c r="K308" s="5" t="s">
        <v>40</v>
      </c>
      <c r="L308">
        <v>1</v>
      </c>
      <c r="M308">
        <v>147.12</v>
      </c>
      <c r="N308" s="8">
        <v>0</v>
      </c>
      <c r="O308" s="8">
        <v>147.12</v>
      </c>
      <c r="P308" s="8">
        <v>7.36</v>
      </c>
      <c r="Q308" s="10">
        <v>20</v>
      </c>
      <c r="R308" s="10">
        <v>15</v>
      </c>
      <c r="S308" s="8">
        <v>189.48</v>
      </c>
      <c r="T308">
        <v>12</v>
      </c>
      <c r="U308" t="str">
        <f t="shared" si="4"/>
        <v>Monday</v>
      </c>
    </row>
    <row r="309" spans="1:21" x14ac:dyDescent="0.3">
      <c r="A309" s="5" t="s">
        <v>1342</v>
      </c>
      <c r="B309" s="3" t="s">
        <v>3697</v>
      </c>
      <c r="C309" s="5" t="s">
        <v>75</v>
      </c>
      <c r="D309" s="5" t="s">
        <v>21</v>
      </c>
      <c r="E309" s="5" t="s">
        <v>36</v>
      </c>
      <c r="F309" s="5" t="s">
        <v>37</v>
      </c>
      <c r="H309" s="5" t="s">
        <v>3673</v>
      </c>
      <c r="I309" s="5" t="s">
        <v>579</v>
      </c>
      <c r="J309" s="5" t="s">
        <v>580</v>
      </c>
      <c r="K309" s="5" t="s">
        <v>103</v>
      </c>
      <c r="L309">
        <v>3</v>
      </c>
      <c r="M309">
        <v>32.549999999999997</v>
      </c>
      <c r="N309" s="8">
        <v>4.88</v>
      </c>
      <c r="O309" s="8">
        <v>92.77</v>
      </c>
      <c r="P309" s="8">
        <v>4.6399999999999997</v>
      </c>
      <c r="Q309" s="10">
        <v>20</v>
      </c>
      <c r="R309" s="10">
        <v>15</v>
      </c>
      <c r="S309" s="8">
        <v>132.41</v>
      </c>
      <c r="T309">
        <v>24.67</v>
      </c>
      <c r="U309" t="str">
        <f t="shared" si="4"/>
        <v>Saturday</v>
      </c>
    </row>
    <row r="310" spans="1:21" x14ac:dyDescent="0.3">
      <c r="A310" s="5" t="s">
        <v>1343</v>
      </c>
      <c r="B310" s="3" t="s">
        <v>3703</v>
      </c>
      <c r="C310" s="5" t="s">
        <v>81</v>
      </c>
      <c r="D310" s="5" t="s">
        <v>82</v>
      </c>
      <c r="E310" s="5" t="s">
        <v>83</v>
      </c>
      <c r="F310" s="5" t="s">
        <v>37</v>
      </c>
      <c r="G310" t="s">
        <v>1344</v>
      </c>
      <c r="H310" s="5" t="s">
        <v>3676</v>
      </c>
      <c r="I310" s="5" t="s">
        <v>584</v>
      </c>
      <c r="J310" s="5" t="s">
        <v>585</v>
      </c>
      <c r="K310" s="5" t="s">
        <v>196</v>
      </c>
      <c r="L310">
        <v>5</v>
      </c>
      <c r="M310">
        <v>85.35</v>
      </c>
      <c r="N310" s="8">
        <v>0</v>
      </c>
      <c r="O310" s="8">
        <v>426.75</v>
      </c>
      <c r="P310" s="8">
        <v>21.34</v>
      </c>
      <c r="Q310" s="10">
        <v>10</v>
      </c>
      <c r="R310" s="10">
        <v>0</v>
      </c>
      <c r="S310" s="8">
        <v>458.09</v>
      </c>
      <c r="T310">
        <v>6</v>
      </c>
      <c r="U310" t="str">
        <f t="shared" si="4"/>
        <v>Friday</v>
      </c>
    </row>
    <row r="311" spans="1:21" x14ac:dyDescent="0.3">
      <c r="A311" s="5" t="s">
        <v>1345</v>
      </c>
      <c r="B311" s="3" t="s">
        <v>3689</v>
      </c>
      <c r="C311" s="5" t="s">
        <v>88</v>
      </c>
      <c r="D311" s="5" t="s">
        <v>21</v>
      </c>
      <c r="E311" s="5" t="s">
        <v>22</v>
      </c>
      <c r="F311" s="5" t="s">
        <v>42</v>
      </c>
      <c r="G311" t="s">
        <v>1346</v>
      </c>
      <c r="H311" s="5" t="s">
        <v>3673</v>
      </c>
      <c r="I311" s="5" t="s">
        <v>589</v>
      </c>
      <c r="J311" s="5" t="s">
        <v>590</v>
      </c>
      <c r="K311" s="5" t="s">
        <v>28</v>
      </c>
      <c r="L311">
        <v>3</v>
      </c>
      <c r="M311">
        <v>169.76</v>
      </c>
      <c r="N311" s="8">
        <v>0</v>
      </c>
      <c r="O311" s="8">
        <v>509.28</v>
      </c>
      <c r="P311" s="8">
        <v>25.46</v>
      </c>
      <c r="Q311" s="10">
        <v>30</v>
      </c>
      <c r="R311" s="10">
        <v>5</v>
      </c>
      <c r="S311" s="8">
        <v>569.74</v>
      </c>
      <c r="T311">
        <v>19</v>
      </c>
      <c r="U311" t="str">
        <f t="shared" si="4"/>
        <v>Wednesday</v>
      </c>
    </row>
    <row r="312" spans="1:21" x14ac:dyDescent="0.3">
      <c r="A312" s="5" t="s">
        <v>1347</v>
      </c>
      <c r="B312" s="3" t="s">
        <v>3684</v>
      </c>
      <c r="C312" s="5" t="s">
        <v>93</v>
      </c>
      <c r="D312" s="5" t="s">
        <v>21</v>
      </c>
      <c r="E312" s="5" t="s">
        <v>69</v>
      </c>
      <c r="F312" s="5" t="s">
        <v>42</v>
      </c>
      <c r="G312" t="s">
        <v>1348</v>
      </c>
      <c r="H312" s="5" t="s">
        <v>3673</v>
      </c>
      <c r="I312" s="5" t="s">
        <v>594</v>
      </c>
      <c r="J312" s="5" t="s">
        <v>595</v>
      </c>
      <c r="K312" s="5" t="s">
        <v>40</v>
      </c>
      <c r="L312">
        <v>3</v>
      </c>
      <c r="M312">
        <v>199.84</v>
      </c>
      <c r="N312" s="8">
        <v>19.98</v>
      </c>
      <c r="O312" s="8">
        <v>579.54</v>
      </c>
      <c r="P312" s="8">
        <v>28.98</v>
      </c>
      <c r="Q312" s="10">
        <v>30</v>
      </c>
      <c r="R312" s="10">
        <v>20</v>
      </c>
      <c r="S312" s="8">
        <v>658.52</v>
      </c>
      <c r="T312">
        <v>35</v>
      </c>
      <c r="U312" t="str">
        <f t="shared" si="4"/>
        <v>Sunday</v>
      </c>
    </row>
    <row r="313" spans="1:21" x14ac:dyDescent="0.3">
      <c r="A313" s="5" t="s">
        <v>1349</v>
      </c>
      <c r="B313" s="3" t="s">
        <v>3719</v>
      </c>
      <c r="C313" s="5" t="s">
        <v>98</v>
      </c>
      <c r="D313" s="5" t="s">
        <v>21</v>
      </c>
      <c r="E313" s="5" t="s">
        <v>36</v>
      </c>
      <c r="F313" s="5" t="s">
        <v>42</v>
      </c>
      <c r="G313" t="s">
        <v>1350</v>
      </c>
      <c r="H313" s="5" t="s">
        <v>100</v>
      </c>
      <c r="I313" s="5" t="s">
        <v>599</v>
      </c>
      <c r="J313" s="5" t="s">
        <v>600</v>
      </c>
      <c r="K313" s="5" t="s">
        <v>40</v>
      </c>
      <c r="L313">
        <v>3</v>
      </c>
      <c r="M313">
        <v>102.39</v>
      </c>
      <c r="N313" s="8">
        <v>10.24</v>
      </c>
      <c r="O313" s="8">
        <v>296.93</v>
      </c>
      <c r="P313" s="8">
        <v>14.85</v>
      </c>
      <c r="Q313" s="10">
        <v>20</v>
      </c>
      <c r="R313" s="10">
        <v>0</v>
      </c>
      <c r="S313" s="8">
        <v>331.78</v>
      </c>
      <c r="T313">
        <v>24.67</v>
      </c>
      <c r="U313" t="str">
        <f t="shared" si="4"/>
        <v>Sunday</v>
      </c>
    </row>
    <row r="314" spans="1:21" x14ac:dyDescent="0.3">
      <c r="A314" s="5" t="s">
        <v>1351</v>
      </c>
      <c r="B314" s="3" t="s">
        <v>3691</v>
      </c>
      <c r="C314" s="5" t="s">
        <v>105</v>
      </c>
      <c r="D314" s="5" t="s">
        <v>106</v>
      </c>
      <c r="E314" s="5" t="s">
        <v>83</v>
      </c>
      <c r="F314" s="5" t="s">
        <v>23</v>
      </c>
      <c r="G314" t="s">
        <v>1352</v>
      </c>
      <c r="H314" s="5" t="s">
        <v>3674</v>
      </c>
      <c r="I314" s="5" t="s">
        <v>604</v>
      </c>
      <c r="J314" s="5" t="s">
        <v>605</v>
      </c>
      <c r="K314" s="5" t="s">
        <v>28</v>
      </c>
      <c r="L314">
        <v>3</v>
      </c>
      <c r="M314">
        <v>97.83</v>
      </c>
      <c r="N314" s="8">
        <v>4.8899999999999997</v>
      </c>
      <c r="O314" s="8">
        <v>288.60000000000002</v>
      </c>
      <c r="P314" s="8">
        <v>14.43</v>
      </c>
      <c r="Q314" s="10">
        <v>20</v>
      </c>
      <c r="R314" s="10">
        <v>20</v>
      </c>
      <c r="S314" s="8">
        <v>343.03</v>
      </c>
      <c r="T314">
        <v>13</v>
      </c>
      <c r="U314" t="str">
        <f t="shared" si="4"/>
        <v>Friday</v>
      </c>
    </row>
    <row r="315" spans="1:21" x14ac:dyDescent="0.3">
      <c r="A315" s="5" t="s">
        <v>1353</v>
      </c>
      <c r="B315" s="3" t="s">
        <v>3684</v>
      </c>
      <c r="C315" s="5" t="s">
        <v>111</v>
      </c>
      <c r="D315" s="5" t="s">
        <v>106</v>
      </c>
      <c r="E315" s="5" t="s">
        <v>83</v>
      </c>
      <c r="F315" s="5" t="s">
        <v>42</v>
      </c>
      <c r="H315" s="5" t="s">
        <v>3673</v>
      </c>
      <c r="I315" s="5" t="s">
        <v>609</v>
      </c>
      <c r="J315" s="5" t="s">
        <v>610</v>
      </c>
      <c r="K315" s="5" t="s">
        <v>145</v>
      </c>
      <c r="L315">
        <v>3</v>
      </c>
      <c r="M315">
        <v>166.13</v>
      </c>
      <c r="N315" s="8">
        <v>0</v>
      </c>
      <c r="O315" s="8">
        <v>498.39</v>
      </c>
      <c r="P315" s="8">
        <v>24.92</v>
      </c>
      <c r="Q315" s="10">
        <v>10</v>
      </c>
      <c r="R315" s="10">
        <v>0</v>
      </c>
      <c r="S315" s="8">
        <v>533.30999999999995</v>
      </c>
      <c r="T315">
        <v>9</v>
      </c>
      <c r="U315" t="str">
        <f t="shared" si="4"/>
        <v>Sunday</v>
      </c>
    </row>
    <row r="316" spans="1:21" x14ac:dyDescent="0.3">
      <c r="A316" s="5" t="s">
        <v>1354</v>
      </c>
      <c r="B316" s="3" t="s">
        <v>3720</v>
      </c>
      <c r="C316" s="5" t="s">
        <v>117</v>
      </c>
      <c r="D316" s="5" t="s">
        <v>21</v>
      </c>
      <c r="E316" s="5" t="s">
        <v>22</v>
      </c>
      <c r="F316" s="5" t="s">
        <v>23</v>
      </c>
      <c r="G316" t="s">
        <v>1355</v>
      </c>
      <c r="H316" s="5" t="s">
        <v>3673</v>
      </c>
      <c r="I316" s="5" t="s">
        <v>614</v>
      </c>
      <c r="J316" s="5" t="s">
        <v>615</v>
      </c>
      <c r="K316" s="5" t="s">
        <v>73</v>
      </c>
      <c r="L316">
        <v>4</v>
      </c>
      <c r="M316">
        <v>91.02</v>
      </c>
      <c r="N316" s="8">
        <v>13.65</v>
      </c>
      <c r="O316" s="8">
        <v>350.43</v>
      </c>
      <c r="P316" s="8">
        <v>17.52</v>
      </c>
      <c r="Q316" s="10">
        <v>10</v>
      </c>
      <c r="R316" s="10">
        <v>5</v>
      </c>
      <c r="S316" s="8">
        <v>382.95</v>
      </c>
      <c r="T316">
        <v>26</v>
      </c>
      <c r="U316" t="str">
        <f t="shared" si="4"/>
        <v>Monday</v>
      </c>
    </row>
    <row r="317" spans="1:21" x14ac:dyDescent="0.3">
      <c r="A317" s="5" t="s">
        <v>1356</v>
      </c>
      <c r="B317" s="3" t="s">
        <v>3735</v>
      </c>
      <c r="C317" s="5" t="s">
        <v>122</v>
      </c>
      <c r="D317" s="5" t="s">
        <v>21</v>
      </c>
      <c r="E317" s="5" t="s">
        <v>69</v>
      </c>
      <c r="F317" s="5" t="s">
        <v>23</v>
      </c>
      <c r="G317" t="s">
        <v>1357</v>
      </c>
      <c r="H317" s="5" t="s">
        <v>25</v>
      </c>
      <c r="I317" s="5" t="s">
        <v>619</v>
      </c>
      <c r="J317" s="5" t="s">
        <v>620</v>
      </c>
      <c r="K317" s="5" t="s">
        <v>40</v>
      </c>
      <c r="L317">
        <v>4</v>
      </c>
      <c r="M317">
        <v>47.7</v>
      </c>
      <c r="N317" s="8">
        <v>0</v>
      </c>
      <c r="O317" s="8">
        <v>190.8</v>
      </c>
      <c r="P317" s="8">
        <v>9.5399999999999991</v>
      </c>
      <c r="Q317" s="10">
        <v>10</v>
      </c>
      <c r="R317" s="10">
        <v>5</v>
      </c>
      <c r="S317" s="8">
        <v>215.34</v>
      </c>
      <c r="T317">
        <v>3</v>
      </c>
      <c r="U317" t="str">
        <f t="shared" si="4"/>
        <v>Saturday</v>
      </c>
    </row>
    <row r="318" spans="1:21" x14ac:dyDescent="0.3">
      <c r="A318" s="5" t="s">
        <v>1358</v>
      </c>
      <c r="B318" s="3" t="s">
        <v>3713</v>
      </c>
      <c r="C318" s="5" t="s">
        <v>127</v>
      </c>
      <c r="D318" s="5" t="s">
        <v>82</v>
      </c>
      <c r="E318" s="5" t="s">
        <v>83</v>
      </c>
      <c r="F318" s="5" t="s">
        <v>42</v>
      </c>
      <c r="G318" t="s">
        <v>1359</v>
      </c>
      <c r="H318" s="5" t="s">
        <v>3677</v>
      </c>
      <c r="I318" s="5" t="s">
        <v>624</v>
      </c>
      <c r="J318" s="5" t="s">
        <v>625</v>
      </c>
      <c r="K318" s="5" t="s">
        <v>45</v>
      </c>
      <c r="L318">
        <v>1</v>
      </c>
      <c r="M318">
        <v>187.92</v>
      </c>
      <c r="N318" s="8">
        <v>18.79</v>
      </c>
      <c r="O318" s="8">
        <v>169.13</v>
      </c>
      <c r="P318" s="8">
        <v>8.4600000000000009</v>
      </c>
      <c r="Q318" s="10">
        <v>0</v>
      </c>
      <c r="R318" s="10">
        <v>10</v>
      </c>
      <c r="S318" s="8">
        <v>187.59</v>
      </c>
      <c r="T318">
        <v>24.67</v>
      </c>
      <c r="U318" t="str">
        <f t="shared" si="4"/>
        <v>Tuesday</v>
      </c>
    </row>
    <row r="319" spans="1:21" x14ac:dyDescent="0.3">
      <c r="A319" s="5" t="s">
        <v>1360</v>
      </c>
      <c r="B319" s="3" t="s">
        <v>3679</v>
      </c>
      <c r="C319" s="5" t="s">
        <v>132</v>
      </c>
      <c r="D319" s="5" t="s">
        <v>21</v>
      </c>
      <c r="E319" s="5" t="s">
        <v>112</v>
      </c>
      <c r="F319" s="5" t="s">
        <v>37</v>
      </c>
      <c r="G319" t="s">
        <v>1361</v>
      </c>
      <c r="H319" s="5" t="s">
        <v>25</v>
      </c>
      <c r="I319" s="5" t="s">
        <v>629</v>
      </c>
      <c r="J319" s="5" t="s">
        <v>630</v>
      </c>
      <c r="K319" s="5" t="s">
        <v>196</v>
      </c>
      <c r="L319">
        <v>7</v>
      </c>
      <c r="M319">
        <v>19.53</v>
      </c>
      <c r="N319" s="8">
        <v>0.98</v>
      </c>
      <c r="O319" s="8">
        <v>135.72999999999999</v>
      </c>
      <c r="P319" s="8">
        <v>6.79</v>
      </c>
      <c r="Q319" s="10">
        <v>10</v>
      </c>
      <c r="R319" s="10">
        <v>0</v>
      </c>
      <c r="S319" s="8">
        <v>152.52000000000001</v>
      </c>
      <c r="T319">
        <v>16</v>
      </c>
      <c r="U319" t="str">
        <f t="shared" si="4"/>
        <v>Friday</v>
      </c>
    </row>
    <row r="320" spans="1:21" x14ac:dyDescent="0.3">
      <c r="A320" s="5" t="s">
        <v>1362</v>
      </c>
      <c r="B320" s="3" t="s">
        <v>3731</v>
      </c>
      <c r="C320" s="5" t="s">
        <v>136</v>
      </c>
      <c r="D320" s="5" t="s">
        <v>21</v>
      </c>
      <c r="E320" s="5" t="s">
        <v>22</v>
      </c>
      <c r="F320" s="5" t="s">
        <v>42</v>
      </c>
      <c r="G320" t="s">
        <v>1363</v>
      </c>
      <c r="H320" s="5" t="s">
        <v>3676</v>
      </c>
      <c r="I320" s="5" t="s">
        <v>634</v>
      </c>
      <c r="J320" s="5" t="s">
        <v>635</v>
      </c>
      <c r="K320" s="5" t="s">
        <v>196</v>
      </c>
      <c r="L320">
        <v>6</v>
      </c>
      <c r="M320">
        <v>56.09</v>
      </c>
      <c r="N320" s="8">
        <v>0</v>
      </c>
      <c r="O320" s="8">
        <v>336.54</v>
      </c>
      <c r="P320" s="8">
        <v>16.829999999999998</v>
      </c>
      <c r="Q320" s="10">
        <v>30</v>
      </c>
      <c r="R320" s="10">
        <v>15</v>
      </c>
      <c r="S320" s="8">
        <v>398.37</v>
      </c>
      <c r="T320">
        <v>36</v>
      </c>
      <c r="U320" t="str">
        <f t="shared" si="4"/>
        <v>Monday</v>
      </c>
    </row>
    <row r="321" spans="1:21" x14ac:dyDescent="0.3">
      <c r="A321" s="5" t="s">
        <v>1364</v>
      </c>
      <c r="B321" s="3" t="s">
        <v>3698</v>
      </c>
      <c r="C321" s="5" t="s">
        <v>141</v>
      </c>
      <c r="D321" s="5" t="s">
        <v>82</v>
      </c>
      <c r="E321" s="5" t="s">
        <v>83</v>
      </c>
      <c r="F321" s="5" t="s">
        <v>37</v>
      </c>
      <c r="G321" t="s">
        <v>1365</v>
      </c>
      <c r="H321" s="5" t="s">
        <v>3673</v>
      </c>
      <c r="I321" s="5" t="s">
        <v>639</v>
      </c>
      <c r="J321" s="5" t="s">
        <v>640</v>
      </c>
      <c r="K321" s="5" t="s">
        <v>196</v>
      </c>
      <c r="L321">
        <v>1</v>
      </c>
      <c r="M321">
        <v>51.55</v>
      </c>
      <c r="N321" s="8">
        <v>7.73</v>
      </c>
      <c r="O321" s="8">
        <v>43.819999999999993</v>
      </c>
      <c r="P321" s="8">
        <v>2.19</v>
      </c>
      <c r="Q321" s="10">
        <v>20</v>
      </c>
      <c r="R321" s="10">
        <v>15</v>
      </c>
      <c r="S321" s="8">
        <v>81.009999999999991</v>
      </c>
      <c r="T321">
        <v>25</v>
      </c>
      <c r="U321" t="str">
        <f t="shared" si="4"/>
        <v>Sunday</v>
      </c>
    </row>
    <row r="322" spans="1:21" x14ac:dyDescent="0.3">
      <c r="A322" s="5" t="s">
        <v>1366</v>
      </c>
      <c r="B322" s="3" t="s">
        <v>3690</v>
      </c>
      <c r="C322" s="5" t="s">
        <v>147</v>
      </c>
      <c r="D322" s="5" t="s">
        <v>21</v>
      </c>
      <c r="E322" s="5" t="s">
        <v>69</v>
      </c>
      <c r="F322" s="5" t="s">
        <v>37</v>
      </c>
      <c r="G322" t="s">
        <v>1367</v>
      </c>
      <c r="H322" s="5" t="s">
        <v>3673</v>
      </c>
      <c r="I322" s="5" t="s">
        <v>644</v>
      </c>
      <c r="J322" s="5" t="s">
        <v>645</v>
      </c>
      <c r="K322" s="5" t="s">
        <v>34</v>
      </c>
      <c r="L322">
        <v>2</v>
      </c>
      <c r="M322">
        <v>100.96</v>
      </c>
      <c r="N322" s="8">
        <v>5.05</v>
      </c>
      <c r="O322" s="8">
        <v>196.87</v>
      </c>
      <c r="P322" s="8">
        <v>9.84</v>
      </c>
      <c r="Q322" s="10">
        <v>0</v>
      </c>
      <c r="R322" s="10">
        <v>15</v>
      </c>
      <c r="S322" s="8">
        <v>221.71</v>
      </c>
      <c r="T322">
        <v>25</v>
      </c>
      <c r="U322" t="str">
        <f t="shared" si="4"/>
        <v>Sunday</v>
      </c>
    </row>
    <row r="323" spans="1:21" x14ac:dyDescent="0.3">
      <c r="A323" s="5" t="s">
        <v>1368</v>
      </c>
      <c r="B323" s="3" t="s">
        <v>3678</v>
      </c>
      <c r="C323" s="5" t="s">
        <v>152</v>
      </c>
      <c r="D323" s="5" t="s">
        <v>21</v>
      </c>
      <c r="E323" s="5" t="s">
        <v>112</v>
      </c>
      <c r="F323" s="5" t="s">
        <v>37</v>
      </c>
      <c r="G323" t="s">
        <v>1369</v>
      </c>
      <c r="H323" s="5" t="s">
        <v>3674</v>
      </c>
      <c r="I323" s="5" t="s">
        <v>649</v>
      </c>
      <c r="J323" s="5" t="s">
        <v>650</v>
      </c>
      <c r="K323" s="5" t="s">
        <v>145</v>
      </c>
      <c r="L323">
        <v>1</v>
      </c>
      <c r="M323">
        <v>153.53</v>
      </c>
      <c r="N323" s="8">
        <v>15.35</v>
      </c>
      <c r="O323" s="8">
        <v>138.18</v>
      </c>
      <c r="P323" s="8">
        <v>6.91</v>
      </c>
      <c r="Q323" s="10">
        <v>10</v>
      </c>
      <c r="R323" s="10">
        <v>10</v>
      </c>
      <c r="S323" s="8">
        <v>165.09</v>
      </c>
      <c r="T323">
        <v>34</v>
      </c>
      <c r="U323" t="str">
        <f t="shared" ref="U323:U386" si="5">TEXT(B323,"dddd")</f>
        <v>Saturday</v>
      </c>
    </row>
    <row r="324" spans="1:21" x14ac:dyDescent="0.3">
      <c r="A324" s="5" t="s">
        <v>1370</v>
      </c>
      <c r="B324" s="3" t="s">
        <v>3715</v>
      </c>
      <c r="C324" s="5" t="s">
        <v>157</v>
      </c>
      <c r="D324" s="5" t="s">
        <v>21</v>
      </c>
      <c r="E324" s="5" t="s">
        <v>112</v>
      </c>
      <c r="F324" s="5" t="s">
        <v>23</v>
      </c>
      <c r="G324" t="s">
        <v>1371</v>
      </c>
      <c r="H324" s="5" t="s">
        <v>3674</v>
      </c>
      <c r="I324" s="5" t="s">
        <v>654</v>
      </c>
      <c r="J324" s="5" t="s">
        <v>655</v>
      </c>
      <c r="K324" s="5" t="s">
        <v>196</v>
      </c>
      <c r="L324">
        <v>1</v>
      </c>
      <c r="M324">
        <v>113.83</v>
      </c>
      <c r="N324" s="8">
        <v>11.38</v>
      </c>
      <c r="O324" s="8">
        <v>102.45</v>
      </c>
      <c r="P324" s="8">
        <v>5.12</v>
      </c>
      <c r="Q324" s="10">
        <v>0</v>
      </c>
      <c r="R324" s="10">
        <v>5</v>
      </c>
      <c r="S324" s="8">
        <v>112.57</v>
      </c>
      <c r="T324">
        <v>26</v>
      </c>
      <c r="U324" t="str">
        <f t="shared" si="5"/>
        <v>Saturday</v>
      </c>
    </row>
    <row r="325" spans="1:21" x14ac:dyDescent="0.3">
      <c r="A325" s="5" t="s">
        <v>1372</v>
      </c>
      <c r="B325" s="3" t="s">
        <v>3690</v>
      </c>
      <c r="C325" s="5" t="s">
        <v>162</v>
      </c>
      <c r="D325" s="5" t="s">
        <v>82</v>
      </c>
      <c r="E325" s="5" t="s">
        <v>83</v>
      </c>
      <c r="F325" s="5" t="s">
        <v>37</v>
      </c>
      <c r="G325" t="s">
        <v>1373</v>
      </c>
      <c r="H325" s="5" t="s">
        <v>3674</v>
      </c>
      <c r="I325" s="5" t="s">
        <v>659</v>
      </c>
      <c r="J325" s="5" t="s">
        <v>660</v>
      </c>
      <c r="K325" s="5" t="s">
        <v>45</v>
      </c>
      <c r="L325">
        <v>1</v>
      </c>
      <c r="M325">
        <v>200.15</v>
      </c>
      <c r="N325" s="8">
        <v>20.02</v>
      </c>
      <c r="O325" s="8">
        <v>180.13</v>
      </c>
      <c r="P325" s="8">
        <v>9.01</v>
      </c>
      <c r="Q325" s="10">
        <v>0</v>
      </c>
      <c r="R325" s="10">
        <v>5</v>
      </c>
      <c r="S325" s="8">
        <v>194.14</v>
      </c>
      <c r="T325">
        <v>24.67</v>
      </c>
      <c r="U325" t="str">
        <f t="shared" si="5"/>
        <v>Sunday</v>
      </c>
    </row>
    <row r="326" spans="1:21" x14ac:dyDescent="0.3">
      <c r="A326" s="5" t="s">
        <v>1374</v>
      </c>
      <c r="B326" s="3" t="s">
        <v>3732</v>
      </c>
      <c r="C326" s="5" t="s">
        <v>167</v>
      </c>
      <c r="D326" s="5" t="s">
        <v>21</v>
      </c>
      <c r="E326" s="5" t="s">
        <v>76</v>
      </c>
      <c r="F326" s="5" t="s">
        <v>42</v>
      </c>
      <c r="G326" t="s">
        <v>1375</v>
      </c>
      <c r="H326" s="5" t="s">
        <v>3676</v>
      </c>
      <c r="I326" s="5" t="s">
        <v>664</v>
      </c>
      <c r="J326" s="5" t="s">
        <v>665</v>
      </c>
      <c r="K326" s="5" t="s">
        <v>56</v>
      </c>
      <c r="L326">
        <v>2</v>
      </c>
      <c r="M326">
        <v>182.88</v>
      </c>
      <c r="N326" s="8">
        <v>27.43</v>
      </c>
      <c r="O326" s="8">
        <v>338.33</v>
      </c>
      <c r="P326" s="8">
        <v>16.920000000000002</v>
      </c>
      <c r="Q326" s="10">
        <v>20</v>
      </c>
      <c r="R326" s="10">
        <v>0</v>
      </c>
      <c r="S326" s="8">
        <v>375.25</v>
      </c>
      <c r="T326">
        <v>21</v>
      </c>
      <c r="U326" t="str">
        <f t="shared" si="5"/>
        <v>Wednesday</v>
      </c>
    </row>
    <row r="327" spans="1:21" x14ac:dyDescent="0.3">
      <c r="A327" s="5" t="s">
        <v>1376</v>
      </c>
      <c r="B327" s="3" t="s">
        <v>3686</v>
      </c>
      <c r="C327" s="5" t="s">
        <v>172</v>
      </c>
      <c r="D327" s="5" t="s">
        <v>21</v>
      </c>
      <c r="E327" s="5" t="s">
        <v>112</v>
      </c>
      <c r="F327" s="5" t="s">
        <v>37</v>
      </c>
      <c r="G327" t="s">
        <v>1377</v>
      </c>
      <c r="H327" s="5" t="s">
        <v>3673</v>
      </c>
      <c r="I327" s="5" t="s">
        <v>669</v>
      </c>
      <c r="J327" s="5" t="s">
        <v>670</v>
      </c>
      <c r="K327" s="5" t="s">
        <v>22</v>
      </c>
      <c r="L327">
        <v>3</v>
      </c>
      <c r="M327">
        <v>71.7</v>
      </c>
      <c r="N327" s="8">
        <v>3.59</v>
      </c>
      <c r="O327" s="8">
        <v>211.51</v>
      </c>
      <c r="P327" s="8">
        <v>10.58</v>
      </c>
      <c r="Q327" s="10">
        <v>0</v>
      </c>
      <c r="R327" s="10">
        <v>0</v>
      </c>
      <c r="S327" s="8">
        <v>222.09</v>
      </c>
      <c r="T327">
        <v>10</v>
      </c>
      <c r="U327" t="str">
        <f t="shared" si="5"/>
        <v>Saturday</v>
      </c>
    </row>
    <row r="328" spans="1:21" x14ac:dyDescent="0.3">
      <c r="A328" s="5" t="s">
        <v>1378</v>
      </c>
      <c r="B328" s="3" t="s">
        <v>3705</v>
      </c>
      <c r="C328" s="5" t="s">
        <v>177</v>
      </c>
      <c r="D328" s="5" t="s">
        <v>21</v>
      </c>
      <c r="E328" s="5" t="s">
        <v>76</v>
      </c>
      <c r="F328" s="5" t="s">
        <v>37</v>
      </c>
      <c r="G328" t="s">
        <v>1379</v>
      </c>
      <c r="H328" s="5" t="s">
        <v>3676</v>
      </c>
      <c r="I328" s="5" t="s">
        <v>674</v>
      </c>
      <c r="J328" s="5" t="s">
        <v>675</v>
      </c>
      <c r="K328" s="5" t="s">
        <v>34</v>
      </c>
      <c r="L328">
        <v>3</v>
      </c>
      <c r="M328">
        <v>137.32</v>
      </c>
      <c r="N328" s="8">
        <v>20.6</v>
      </c>
      <c r="O328" s="8">
        <v>391.36</v>
      </c>
      <c r="P328" s="8">
        <v>19.57</v>
      </c>
      <c r="Q328" s="10">
        <v>0</v>
      </c>
      <c r="R328" s="10">
        <v>15</v>
      </c>
      <c r="S328" s="8">
        <v>425.92999999999989</v>
      </c>
      <c r="T328">
        <v>27</v>
      </c>
      <c r="U328" t="str">
        <f t="shared" si="5"/>
        <v>Tuesday</v>
      </c>
    </row>
    <row r="329" spans="1:21" x14ac:dyDescent="0.3">
      <c r="A329" s="5" t="s">
        <v>1380</v>
      </c>
      <c r="B329" s="3" t="s">
        <v>3711</v>
      </c>
      <c r="C329" s="5" t="s">
        <v>182</v>
      </c>
      <c r="D329" s="5" t="s">
        <v>21</v>
      </c>
      <c r="E329" s="5" t="s">
        <v>76</v>
      </c>
      <c r="F329" s="5" t="s">
        <v>42</v>
      </c>
      <c r="G329" t="s">
        <v>1381</v>
      </c>
      <c r="H329" s="5" t="s">
        <v>3673</v>
      </c>
      <c r="I329" s="5" t="s">
        <v>679</v>
      </c>
      <c r="J329" s="5" t="s">
        <v>680</v>
      </c>
      <c r="K329" s="5" t="s">
        <v>145</v>
      </c>
      <c r="L329">
        <v>1</v>
      </c>
      <c r="M329">
        <v>78.41</v>
      </c>
      <c r="N329" s="8">
        <v>11.76</v>
      </c>
      <c r="O329" s="8">
        <v>66.649999999999991</v>
      </c>
      <c r="P329" s="8">
        <v>3.33</v>
      </c>
      <c r="Q329" s="10">
        <v>20</v>
      </c>
      <c r="R329" s="10">
        <v>0</v>
      </c>
      <c r="S329" s="8">
        <v>89.97999999999999</v>
      </c>
      <c r="T329">
        <v>24</v>
      </c>
      <c r="U329" t="str">
        <f t="shared" si="5"/>
        <v>Wednesday</v>
      </c>
    </row>
    <row r="330" spans="1:21" x14ac:dyDescent="0.3">
      <c r="A330" s="5" t="s">
        <v>1382</v>
      </c>
      <c r="B330" s="3" t="s">
        <v>3700</v>
      </c>
      <c r="C330" s="5" t="s">
        <v>187</v>
      </c>
      <c r="D330" s="5" t="s">
        <v>82</v>
      </c>
      <c r="E330" s="5" t="s">
        <v>83</v>
      </c>
      <c r="F330" s="5" t="s">
        <v>42</v>
      </c>
      <c r="G330" t="s">
        <v>1383</v>
      </c>
      <c r="H330" s="5" t="s">
        <v>3675</v>
      </c>
      <c r="I330" s="5" t="s">
        <v>684</v>
      </c>
      <c r="J330" s="5" t="s">
        <v>685</v>
      </c>
      <c r="K330" s="5" t="s">
        <v>40</v>
      </c>
      <c r="L330">
        <v>2</v>
      </c>
      <c r="M330">
        <v>54.54</v>
      </c>
      <c r="N330" s="8">
        <v>8.18</v>
      </c>
      <c r="O330" s="8">
        <v>100.9</v>
      </c>
      <c r="P330" s="8">
        <v>5.05</v>
      </c>
      <c r="Q330" s="10">
        <v>30</v>
      </c>
      <c r="R330" s="10">
        <v>20</v>
      </c>
      <c r="S330" s="8">
        <v>155.94999999999999</v>
      </c>
      <c r="T330">
        <v>20</v>
      </c>
      <c r="U330" t="str">
        <f t="shared" si="5"/>
        <v>Saturday</v>
      </c>
    </row>
    <row r="331" spans="1:21" x14ac:dyDescent="0.3">
      <c r="A331" s="5" t="s">
        <v>1384</v>
      </c>
      <c r="B331" s="3" t="s">
        <v>3718</v>
      </c>
      <c r="C331" s="5" t="s">
        <v>192</v>
      </c>
      <c r="D331" s="5" t="s">
        <v>21</v>
      </c>
      <c r="E331" s="5" t="s">
        <v>22</v>
      </c>
      <c r="F331" s="5" t="s">
        <v>42</v>
      </c>
      <c r="G331" t="s">
        <v>1385</v>
      </c>
      <c r="H331" s="5" t="s">
        <v>3677</v>
      </c>
      <c r="I331" s="5" t="s">
        <v>689</v>
      </c>
      <c r="J331" s="5" t="s">
        <v>690</v>
      </c>
      <c r="K331" s="5" t="s">
        <v>34</v>
      </c>
      <c r="L331">
        <v>2</v>
      </c>
      <c r="M331">
        <v>145.83000000000001</v>
      </c>
      <c r="N331" s="8">
        <v>7.29</v>
      </c>
      <c r="O331" s="8">
        <v>284.37</v>
      </c>
      <c r="P331" s="8">
        <v>14.22</v>
      </c>
      <c r="Q331" s="10">
        <v>0</v>
      </c>
      <c r="R331" s="10">
        <v>15</v>
      </c>
      <c r="S331" s="8">
        <v>313.58999999999997</v>
      </c>
      <c r="T331">
        <v>38</v>
      </c>
      <c r="U331" t="str">
        <f t="shared" si="5"/>
        <v>Wednesday</v>
      </c>
    </row>
    <row r="332" spans="1:21" x14ac:dyDescent="0.3">
      <c r="A332" s="5" t="s">
        <v>1386</v>
      </c>
      <c r="B332" s="3" t="s">
        <v>3685</v>
      </c>
      <c r="C332" s="5" t="s">
        <v>198</v>
      </c>
      <c r="D332" s="5" t="s">
        <v>21</v>
      </c>
      <c r="E332" s="5" t="s">
        <v>112</v>
      </c>
      <c r="F332" s="5" t="s">
        <v>42</v>
      </c>
      <c r="H332" s="5" t="s">
        <v>3675</v>
      </c>
      <c r="I332" s="5" t="s">
        <v>694</v>
      </c>
      <c r="J332" s="5" t="s">
        <v>695</v>
      </c>
      <c r="K332" s="5" t="s">
        <v>73</v>
      </c>
      <c r="L332">
        <v>5</v>
      </c>
      <c r="M332">
        <v>196.42</v>
      </c>
      <c r="N332" s="8">
        <v>29.46</v>
      </c>
      <c r="O332" s="8">
        <v>952.63999999999987</v>
      </c>
      <c r="P332" s="8">
        <v>47.63</v>
      </c>
      <c r="Q332" s="10">
        <v>10</v>
      </c>
      <c r="R332" s="10">
        <v>0</v>
      </c>
      <c r="S332" s="8">
        <v>1010.27</v>
      </c>
      <c r="T332">
        <v>20</v>
      </c>
      <c r="U332" t="str">
        <f t="shared" si="5"/>
        <v>Thursday</v>
      </c>
    </row>
    <row r="333" spans="1:21" x14ac:dyDescent="0.3">
      <c r="A333" s="5" t="s">
        <v>1387</v>
      </c>
      <c r="B333" s="3" t="s">
        <v>3728</v>
      </c>
      <c r="C333" s="5" t="s">
        <v>203</v>
      </c>
      <c r="D333" s="5" t="s">
        <v>106</v>
      </c>
      <c r="E333" s="5" t="s">
        <v>83</v>
      </c>
      <c r="F333" s="5" t="s">
        <v>42</v>
      </c>
      <c r="G333" t="s">
        <v>1388</v>
      </c>
      <c r="H333" s="5" t="s">
        <v>3673</v>
      </c>
      <c r="I333" s="5" t="s">
        <v>699</v>
      </c>
      <c r="J333" s="5" t="s">
        <v>700</v>
      </c>
      <c r="K333" s="5" t="s">
        <v>28</v>
      </c>
      <c r="L333">
        <v>5</v>
      </c>
      <c r="M333">
        <v>49</v>
      </c>
      <c r="N333" s="8">
        <v>4.9000000000000004</v>
      </c>
      <c r="O333" s="8">
        <v>240.1</v>
      </c>
      <c r="P333" s="8">
        <v>12.01</v>
      </c>
      <c r="Q333" s="10">
        <v>20</v>
      </c>
      <c r="R333" s="10">
        <v>0</v>
      </c>
      <c r="S333" s="8">
        <v>272.11</v>
      </c>
      <c r="T333">
        <v>24.67</v>
      </c>
      <c r="U333" t="str">
        <f t="shared" si="5"/>
        <v>Friday</v>
      </c>
    </row>
    <row r="334" spans="1:21" x14ac:dyDescent="0.3">
      <c r="A334" s="5" t="s">
        <v>1389</v>
      </c>
      <c r="B334" s="3" t="s">
        <v>3695</v>
      </c>
      <c r="C334" s="5" t="s">
        <v>208</v>
      </c>
      <c r="D334" s="5" t="s">
        <v>21</v>
      </c>
      <c r="E334" s="5" t="s">
        <v>22</v>
      </c>
      <c r="F334" s="5" t="s">
        <v>37</v>
      </c>
      <c r="G334" t="s">
        <v>1390</v>
      </c>
      <c r="H334" s="5" t="s">
        <v>3673</v>
      </c>
      <c r="I334" s="5" t="s">
        <v>704</v>
      </c>
      <c r="J334" s="5" t="s">
        <v>705</v>
      </c>
      <c r="K334" s="5" t="s">
        <v>56</v>
      </c>
      <c r="L334">
        <v>1</v>
      </c>
      <c r="M334">
        <v>84.45</v>
      </c>
      <c r="N334" s="8">
        <v>8.4499999999999993</v>
      </c>
      <c r="O334" s="8">
        <v>76</v>
      </c>
      <c r="P334" s="8">
        <v>3.8</v>
      </c>
      <c r="Q334" s="10">
        <v>30</v>
      </c>
      <c r="R334" s="10">
        <v>10</v>
      </c>
      <c r="S334" s="8">
        <v>119.8</v>
      </c>
      <c r="T334">
        <v>15</v>
      </c>
      <c r="U334" t="str">
        <f t="shared" si="5"/>
        <v>Thursday</v>
      </c>
    </row>
    <row r="335" spans="1:21" x14ac:dyDescent="0.3">
      <c r="A335" s="5" t="s">
        <v>1391</v>
      </c>
      <c r="B335" s="3" t="s">
        <v>3704</v>
      </c>
      <c r="C335" s="5" t="s">
        <v>213</v>
      </c>
      <c r="D335" s="5" t="s">
        <v>106</v>
      </c>
      <c r="E335" s="5" t="s">
        <v>83</v>
      </c>
      <c r="F335" s="5" t="s">
        <v>42</v>
      </c>
      <c r="G335" t="s">
        <v>1392</v>
      </c>
      <c r="H335" s="5" t="s">
        <v>25</v>
      </c>
      <c r="I335" s="5" t="s">
        <v>709</v>
      </c>
      <c r="J335" s="5" t="s">
        <v>710</v>
      </c>
      <c r="K335" s="5" t="s">
        <v>40</v>
      </c>
      <c r="L335">
        <v>3</v>
      </c>
      <c r="M335">
        <v>117.24</v>
      </c>
      <c r="N335" s="8">
        <v>5.86</v>
      </c>
      <c r="O335" s="8">
        <v>345.86</v>
      </c>
      <c r="P335" s="8">
        <v>17.29</v>
      </c>
      <c r="Q335" s="10">
        <v>0</v>
      </c>
      <c r="R335" s="10">
        <v>15</v>
      </c>
      <c r="S335" s="8">
        <v>378.15</v>
      </c>
      <c r="T335">
        <v>13</v>
      </c>
      <c r="U335" t="str">
        <f t="shared" si="5"/>
        <v>Tuesday</v>
      </c>
    </row>
    <row r="336" spans="1:21" x14ac:dyDescent="0.3">
      <c r="A336" s="5" t="s">
        <v>1393</v>
      </c>
      <c r="B336" s="3" t="s">
        <v>3721</v>
      </c>
      <c r="C336" s="5" t="s">
        <v>218</v>
      </c>
      <c r="D336" s="5" t="s">
        <v>21</v>
      </c>
      <c r="E336" s="5" t="s">
        <v>112</v>
      </c>
      <c r="F336" s="5" t="s">
        <v>23</v>
      </c>
      <c r="G336" t="s">
        <v>1394</v>
      </c>
      <c r="H336" s="5" t="s">
        <v>3675</v>
      </c>
      <c r="I336" s="5" t="s">
        <v>714</v>
      </c>
      <c r="J336" s="5" t="s">
        <v>715</v>
      </c>
      <c r="K336" s="5" t="s">
        <v>103</v>
      </c>
      <c r="L336">
        <v>4</v>
      </c>
      <c r="M336">
        <v>120.39</v>
      </c>
      <c r="N336" s="8">
        <v>6.02</v>
      </c>
      <c r="O336" s="8">
        <v>475.54</v>
      </c>
      <c r="P336" s="8">
        <v>23.78</v>
      </c>
      <c r="Q336" s="10">
        <v>30</v>
      </c>
      <c r="R336" s="10">
        <v>5</v>
      </c>
      <c r="S336" s="8">
        <v>534.32000000000005</v>
      </c>
      <c r="T336">
        <v>23</v>
      </c>
      <c r="U336" t="str">
        <f t="shared" si="5"/>
        <v>Tuesday</v>
      </c>
    </row>
    <row r="337" spans="1:21" x14ac:dyDescent="0.3">
      <c r="A337" s="5" t="s">
        <v>1395</v>
      </c>
      <c r="B337" s="3" t="s">
        <v>3713</v>
      </c>
      <c r="C337" s="5" t="s">
        <v>223</v>
      </c>
      <c r="D337" s="5" t="s">
        <v>21</v>
      </c>
      <c r="E337" s="5" t="s">
        <v>112</v>
      </c>
      <c r="F337" s="5" t="s">
        <v>23</v>
      </c>
      <c r="G337" t="s">
        <v>1396</v>
      </c>
      <c r="H337" s="5" t="s">
        <v>25</v>
      </c>
      <c r="I337" s="5" t="s">
        <v>719</v>
      </c>
      <c r="J337" s="5" t="s">
        <v>720</v>
      </c>
      <c r="K337" s="5" t="s">
        <v>56</v>
      </c>
      <c r="L337">
        <v>2</v>
      </c>
      <c r="M337">
        <v>54.11</v>
      </c>
      <c r="N337" s="8">
        <v>2.71</v>
      </c>
      <c r="O337" s="8">
        <v>105.51</v>
      </c>
      <c r="P337" s="8">
        <v>5.28</v>
      </c>
      <c r="Q337" s="10">
        <v>10</v>
      </c>
      <c r="R337" s="10">
        <v>0</v>
      </c>
      <c r="S337" s="8">
        <v>120.79</v>
      </c>
      <c r="T337">
        <v>21</v>
      </c>
      <c r="U337" t="str">
        <f t="shared" si="5"/>
        <v>Tuesday</v>
      </c>
    </row>
    <row r="338" spans="1:21" x14ac:dyDescent="0.3">
      <c r="A338" s="5" t="s">
        <v>1397</v>
      </c>
      <c r="B338" s="3" t="s">
        <v>3697</v>
      </c>
      <c r="C338" s="5" t="s">
        <v>228</v>
      </c>
      <c r="D338" s="5" t="s">
        <v>21</v>
      </c>
      <c r="E338" s="5" t="s">
        <v>112</v>
      </c>
      <c r="F338" s="5" t="s">
        <v>37</v>
      </c>
      <c r="G338" t="s">
        <v>1398</v>
      </c>
      <c r="H338" s="5" t="s">
        <v>100</v>
      </c>
      <c r="I338" s="5" t="s">
        <v>724</v>
      </c>
      <c r="J338" s="5" t="s">
        <v>725</v>
      </c>
      <c r="K338" s="5" t="s">
        <v>40</v>
      </c>
      <c r="L338">
        <v>2</v>
      </c>
      <c r="M338">
        <v>49.28</v>
      </c>
      <c r="N338" s="8">
        <v>0</v>
      </c>
      <c r="O338" s="8">
        <v>98.56</v>
      </c>
      <c r="P338" s="8">
        <v>4.93</v>
      </c>
      <c r="Q338" s="10">
        <v>10</v>
      </c>
      <c r="R338" s="10">
        <v>5</v>
      </c>
      <c r="S338" s="8">
        <v>118.49</v>
      </c>
      <c r="T338">
        <v>20</v>
      </c>
      <c r="U338" t="str">
        <f t="shared" si="5"/>
        <v>Saturday</v>
      </c>
    </row>
    <row r="339" spans="1:21" x14ac:dyDescent="0.3">
      <c r="A339" s="5" t="s">
        <v>1399</v>
      </c>
      <c r="B339" s="3" t="s">
        <v>3706</v>
      </c>
      <c r="C339" s="5" t="s">
        <v>233</v>
      </c>
      <c r="D339" s="5" t="s">
        <v>21</v>
      </c>
      <c r="E339" s="5" t="s">
        <v>76</v>
      </c>
      <c r="F339" s="5" t="s">
        <v>23</v>
      </c>
      <c r="G339" t="s">
        <v>1400</v>
      </c>
      <c r="H339" s="5" t="s">
        <v>25</v>
      </c>
      <c r="I339" s="5" t="s">
        <v>729</v>
      </c>
      <c r="J339" s="5" t="s">
        <v>730</v>
      </c>
      <c r="K339" s="5" t="s">
        <v>22</v>
      </c>
      <c r="L339">
        <v>5</v>
      </c>
      <c r="M339">
        <v>161.82</v>
      </c>
      <c r="N339" s="8">
        <v>0</v>
      </c>
      <c r="O339" s="8">
        <v>809.09999999999991</v>
      </c>
      <c r="P339" s="8">
        <v>40.450000000000003</v>
      </c>
      <c r="Q339" s="10">
        <v>20</v>
      </c>
      <c r="R339" s="10">
        <v>20</v>
      </c>
      <c r="S339" s="8">
        <v>889.55</v>
      </c>
      <c r="T339">
        <v>21</v>
      </c>
      <c r="U339" t="str">
        <f t="shared" si="5"/>
        <v>Thursday</v>
      </c>
    </row>
    <row r="340" spans="1:21" x14ac:dyDescent="0.3">
      <c r="A340" s="5" t="s">
        <v>1401</v>
      </c>
      <c r="B340" s="3" t="s">
        <v>3719</v>
      </c>
      <c r="C340" s="5" t="s">
        <v>238</v>
      </c>
      <c r="D340" s="5" t="s">
        <v>21</v>
      </c>
      <c r="E340" s="5" t="s">
        <v>36</v>
      </c>
      <c r="F340" s="5" t="s">
        <v>37</v>
      </c>
      <c r="G340" t="s">
        <v>1402</v>
      </c>
      <c r="H340" s="5" t="s">
        <v>3674</v>
      </c>
      <c r="I340" s="5" t="s">
        <v>734</v>
      </c>
      <c r="J340" s="5" t="s">
        <v>735</v>
      </c>
      <c r="K340" s="5" t="s">
        <v>145</v>
      </c>
      <c r="L340">
        <v>1</v>
      </c>
      <c r="M340">
        <v>125.7</v>
      </c>
      <c r="N340" s="8">
        <v>0</v>
      </c>
      <c r="O340" s="8">
        <v>125.7</v>
      </c>
      <c r="P340" s="8">
        <v>6.29</v>
      </c>
      <c r="Q340" s="10">
        <v>20</v>
      </c>
      <c r="R340" s="10">
        <v>0</v>
      </c>
      <c r="S340" s="8">
        <v>151.99</v>
      </c>
      <c r="T340">
        <v>23</v>
      </c>
      <c r="U340" t="str">
        <f t="shared" si="5"/>
        <v>Sunday</v>
      </c>
    </row>
    <row r="341" spans="1:21" x14ac:dyDescent="0.3">
      <c r="A341" s="5" t="s">
        <v>1403</v>
      </c>
      <c r="B341" s="3" t="s">
        <v>3729</v>
      </c>
      <c r="C341" s="5" t="s">
        <v>243</v>
      </c>
      <c r="D341" s="5" t="s">
        <v>21</v>
      </c>
      <c r="E341" s="5" t="s">
        <v>22</v>
      </c>
      <c r="F341" s="5" t="s">
        <v>23</v>
      </c>
      <c r="G341" t="s">
        <v>1404</v>
      </c>
      <c r="H341" s="5" t="s">
        <v>3673</v>
      </c>
      <c r="I341" s="5" t="s">
        <v>739</v>
      </c>
      <c r="J341" s="5" t="s">
        <v>740</v>
      </c>
      <c r="K341" s="5" t="s">
        <v>73</v>
      </c>
      <c r="L341">
        <v>3</v>
      </c>
      <c r="M341">
        <v>118.9</v>
      </c>
      <c r="N341" s="8">
        <v>5.95</v>
      </c>
      <c r="O341" s="8">
        <v>350.75000000000011</v>
      </c>
      <c r="P341" s="8">
        <v>17.54</v>
      </c>
      <c r="Q341" s="10">
        <v>20</v>
      </c>
      <c r="R341" s="10">
        <v>20</v>
      </c>
      <c r="S341" s="8">
        <v>408.29000000000008</v>
      </c>
      <c r="T341">
        <v>28</v>
      </c>
      <c r="U341" t="str">
        <f t="shared" si="5"/>
        <v>Monday</v>
      </c>
    </row>
    <row r="342" spans="1:21" x14ac:dyDescent="0.3">
      <c r="A342" s="5" t="s">
        <v>1405</v>
      </c>
      <c r="B342" s="3" t="s">
        <v>3711</v>
      </c>
      <c r="C342" s="5" t="s">
        <v>248</v>
      </c>
      <c r="D342" s="5" t="s">
        <v>106</v>
      </c>
      <c r="E342" s="5" t="s">
        <v>83</v>
      </c>
      <c r="F342" s="5" t="s">
        <v>37</v>
      </c>
      <c r="G342" t="s">
        <v>1406</v>
      </c>
      <c r="H342" s="5" t="s">
        <v>3673</v>
      </c>
      <c r="I342" s="5" t="s">
        <v>744</v>
      </c>
      <c r="J342" s="5" t="s">
        <v>745</v>
      </c>
      <c r="K342" s="5" t="s">
        <v>28</v>
      </c>
      <c r="L342">
        <v>4</v>
      </c>
      <c r="M342">
        <v>150.05000000000001</v>
      </c>
      <c r="N342" s="8">
        <v>7.5</v>
      </c>
      <c r="O342" s="8">
        <v>592.70000000000005</v>
      </c>
      <c r="P342" s="8">
        <v>29.64</v>
      </c>
      <c r="Q342" s="10">
        <v>30</v>
      </c>
      <c r="R342" s="10">
        <v>0</v>
      </c>
      <c r="S342" s="8">
        <v>652.34</v>
      </c>
      <c r="T342">
        <v>24.67</v>
      </c>
      <c r="U342" t="str">
        <f t="shared" si="5"/>
        <v>Wednesday</v>
      </c>
    </row>
    <row r="343" spans="1:21" x14ac:dyDescent="0.3">
      <c r="A343" s="5" t="s">
        <v>1407</v>
      </c>
      <c r="B343" s="3" t="s">
        <v>3679</v>
      </c>
      <c r="C343" s="5" t="s">
        <v>253</v>
      </c>
      <c r="D343" s="5" t="s">
        <v>21</v>
      </c>
      <c r="E343" s="5" t="s">
        <v>76</v>
      </c>
      <c r="F343" s="5" t="s">
        <v>23</v>
      </c>
      <c r="G343" t="s">
        <v>1408</v>
      </c>
      <c r="H343" s="5" t="s">
        <v>3676</v>
      </c>
      <c r="I343" s="5" t="s">
        <v>749</v>
      </c>
      <c r="J343" s="5" t="s">
        <v>750</v>
      </c>
      <c r="K343" s="5" t="s">
        <v>34</v>
      </c>
      <c r="L343">
        <v>4</v>
      </c>
      <c r="M343">
        <v>170.93</v>
      </c>
      <c r="N343" s="8">
        <v>17.09</v>
      </c>
      <c r="O343" s="8">
        <v>666.63</v>
      </c>
      <c r="P343" s="8">
        <v>33.33</v>
      </c>
      <c r="Q343" s="10">
        <v>20</v>
      </c>
      <c r="R343" s="10">
        <v>15</v>
      </c>
      <c r="S343" s="8">
        <v>734.96</v>
      </c>
      <c r="T343">
        <v>23</v>
      </c>
      <c r="U343" t="str">
        <f t="shared" si="5"/>
        <v>Friday</v>
      </c>
    </row>
    <row r="344" spans="1:21" x14ac:dyDescent="0.3">
      <c r="A344" s="5" t="s">
        <v>1409</v>
      </c>
      <c r="B344" s="3" t="s">
        <v>3697</v>
      </c>
      <c r="C344" s="5" t="s">
        <v>258</v>
      </c>
      <c r="D344" s="5" t="s">
        <v>106</v>
      </c>
      <c r="E344" s="5" t="s">
        <v>83</v>
      </c>
      <c r="F344" s="5" t="s">
        <v>23</v>
      </c>
      <c r="G344" t="s">
        <v>1410</v>
      </c>
      <c r="H344" s="5" t="s">
        <v>3677</v>
      </c>
      <c r="I344" s="5" t="s">
        <v>754</v>
      </c>
      <c r="J344" s="5" t="s">
        <v>755</v>
      </c>
      <c r="K344" s="5" t="s">
        <v>145</v>
      </c>
      <c r="L344">
        <v>2</v>
      </c>
      <c r="M344">
        <v>123.67</v>
      </c>
      <c r="N344" s="8">
        <v>0</v>
      </c>
      <c r="O344" s="8">
        <v>247.34</v>
      </c>
      <c r="P344" s="8">
        <v>12.37</v>
      </c>
      <c r="Q344" s="10">
        <v>30</v>
      </c>
      <c r="R344" s="10">
        <v>20</v>
      </c>
      <c r="S344" s="8">
        <v>309.70999999999998</v>
      </c>
      <c r="T344">
        <v>24.67</v>
      </c>
      <c r="U344" t="str">
        <f t="shared" si="5"/>
        <v>Saturday</v>
      </c>
    </row>
    <row r="345" spans="1:21" x14ac:dyDescent="0.3">
      <c r="A345" s="5" t="s">
        <v>1411</v>
      </c>
      <c r="B345" s="3" t="s">
        <v>3701</v>
      </c>
      <c r="C345" s="5" t="s">
        <v>263</v>
      </c>
      <c r="D345" s="5" t="s">
        <v>21</v>
      </c>
      <c r="E345" s="5" t="s">
        <v>69</v>
      </c>
      <c r="F345" s="5" t="s">
        <v>42</v>
      </c>
      <c r="G345" t="s">
        <v>1412</v>
      </c>
      <c r="H345" s="5" t="s">
        <v>25</v>
      </c>
      <c r="I345" s="5" t="s">
        <v>759</v>
      </c>
      <c r="J345" s="5" t="s">
        <v>760</v>
      </c>
      <c r="K345" s="5" t="s">
        <v>73</v>
      </c>
      <c r="L345">
        <v>3</v>
      </c>
      <c r="M345">
        <v>55.64</v>
      </c>
      <c r="N345" s="8">
        <v>0</v>
      </c>
      <c r="O345" s="8">
        <v>166.92</v>
      </c>
      <c r="P345" s="8">
        <v>8.35</v>
      </c>
      <c r="Q345" s="10">
        <v>30</v>
      </c>
      <c r="R345" s="10">
        <v>5</v>
      </c>
      <c r="S345" s="8">
        <v>210.27</v>
      </c>
      <c r="T345">
        <v>27</v>
      </c>
      <c r="U345" t="str">
        <f t="shared" si="5"/>
        <v>Tuesday</v>
      </c>
    </row>
    <row r="346" spans="1:21" x14ac:dyDescent="0.3">
      <c r="A346" s="5" t="s">
        <v>1413</v>
      </c>
      <c r="B346" s="3" t="s">
        <v>3693</v>
      </c>
      <c r="C346" s="5" t="s">
        <v>268</v>
      </c>
      <c r="D346" s="5" t="s">
        <v>21</v>
      </c>
      <c r="E346" s="5" t="s">
        <v>36</v>
      </c>
      <c r="F346" s="5" t="s">
        <v>37</v>
      </c>
      <c r="G346" t="s">
        <v>1414</v>
      </c>
      <c r="H346" s="5" t="s">
        <v>3676</v>
      </c>
      <c r="I346" s="5" t="s">
        <v>764</v>
      </c>
      <c r="J346" s="5" t="s">
        <v>765</v>
      </c>
      <c r="K346" s="5" t="s">
        <v>45</v>
      </c>
      <c r="L346">
        <v>2</v>
      </c>
      <c r="M346">
        <v>260.05</v>
      </c>
      <c r="N346" s="8">
        <v>26.01</v>
      </c>
      <c r="O346" s="8">
        <v>494.09</v>
      </c>
      <c r="P346" s="8">
        <v>24.7</v>
      </c>
      <c r="Q346" s="10">
        <v>0</v>
      </c>
      <c r="R346" s="10">
        <v>0</v>
      </c>
      <c r="S346" s="8">
        <v>518.79000000000008</v>
      </c>
      <c r="T346">
        <v>32</v>
      </c>
      <c r="U346" t="str">
        <f t="shared" si="5"/>
        <v>Thursday</v>
      </c>
    </row>
    <row r="347" spans="1:21" x14ac:dyDescent="0.3">
      <c r="A347" s="5" t="s">
        <v>1415</v>
      </c>
      <c r="B347" s="3" t="s">
        <v>3732</v>
      </c>
      <c r="C347" s="5" t="s">
        <v>273</v>
      </c>
      <c r="D347" s="5" t="s">
        <v>21</v>
      </c>
      <c r="E347" s="5" t="s">
        <v>112</v>
      </c>
      <c r="F347" s="5" t="s">
        <v>23</v>
      </c>
      <c r="G347" t="s">
        <v>1416</v>
      </c>
      <c r="H347" s="5" t="s">
        <v>3674</v>
      </c>
      <c r="I347" s="5" t="s">
        <v>769</v>
      </c>
      <c r="J347" s="5" t="s">
        <v>770</v>
      </c>
      <c r="K347" s="5" t="s">
        <v>196</v>
      </c>
      <c r="L347">
        <v>4</v>
      </c>
      <c r="M347">
        <v>186.06</v>
      </c>
      <c r="N347" s="8">
        <v>0</v>
      </c>
      <c r="O347" s="8">
        <v>744.24</v>
      </c>
      <c r="P347" s="8">
        <v>37.21</v>
      </c>
      <c r="Q347" s="10">
        <v>20</v>
      </c>
      <c r="R347" s="10">
        <v>20</v>
      </c>
      <c r="S347" s="8">
        <v>821.45</v>
      </c>
      <c r="T347">
        <v>44</v>
      </c>
      <c r="U347" t="str">
        <f t="shared" si="5"/>
        <v>Wednesday</v>
      </c>
    </row>
    <row r="348" spans="1:21" x14ac:dyDescent="0.3">
      <c r="A348" s="5" t="s">
        <v>1417</v>
      </c>
      <c r="B348" s="3" t="s">
        <v>3729</v>
      </c>
      <c r="C348" s="5" t="s">
        <v>278</v>
      </c>
      <c r="D348" s="5" t="s">
        <v>21</v>
      </c>
      <c r="E348" s="5" t="s">
        <v>112</v>
      </c>
      <c r="F348" s="5" t="s">
        <v>23</v>
      </c>
      <c r="H348" s="5" t="s">
        <v>3673</v>
      </c>
      <c r="I348" s="5" t="s">
        <v>774</v>
      </c>
      <c r="J348" s="5" t="s">
        <v>775</v>
      </c>
      <c r="K348" s="5" t="s">
        <v>145</v>
      </c>
      <c r="L348">
        <v>2</v>
      </c>
      <c r="M348">
        <v>43.45</v>
      </c>
      <c r="N348" s="8">
        <v>4.3499999999999996</v>
      </c>
      <c r="O348" s="8">
        <v>82.550000000000011</v>
      </c>
      <c r="P348" s="8">
        <v>4.13</v>
      </c>
      <c r="Q348" s="10">
        <v>20</v>
      </c>
      <c r="R348" s="10">
        <v>15</v>
      </c>
      <c r="S348" s="8">
        <v>121.68</v>
      </c>
      <c r="T348">
        <v>29</v>
      </c>
      <c r="U348" t="str">
        <f t="shared" si="5"/>
        <v>Monday</v>
      </c>
    </row>
    <row r="349" spans="1:21" x14ac:dyDescent="0.3">
      <c r="A349" s="5" t="s">
        <v>1418</v>
      </c>
      <c r="B349" s="3" t="s">
        <v>3699</v>
      </c>
      <c r="C349" s="5" t="s">
        <v>283</v>
      </c>
      <c r="D349" s="5" t="s">
        <v>82</v>
      </c>
      <c r="E349" s="5" t="s">
        <v>83</v>
      </c>
      <c r="F349" s="5" t="s">
        <v>42</v>
      </c>
      <c r="G349" t="s">
        <v>1419</v>
      </c>
      <c r="H349" s="5" t="s">
        <v>100</v>
      </c>
      <c r="I349" s="5" t="s">
        <v>779</v>
      </c>
      <c r="J349" s="5" t="s">
        <v>780</v>
      </c>
      <c r="K349" s="5" t="s">
        <v>34</v>
      </c>
      <c r="L349">
        <v>4</v>
      </c>
      <c r="M349">
        <v>219.87</v>
      </c>
      <c r="N349" s="8">
        <v>10.99</v>
      </c>
      <c r="O349" s="8">
        <v>868.49</v>
      </c>
      <c r="P349" s="8">
        <v>43.42</v>
      </c>
      <c r="Q349" s="10">
        <v>10</v>
      </c>
      <c r="R349" s="10">
        <v>20</v>
      </c>
      <c r="S349" s="8">
        <v>941.91</v>
      </c>
      <c r="T349">
        <v>40</v>
      </c>
      <c r="U349" t="str">
        <f t="shared" si="5"/>
        <v>Sunday</v>
      </c>
    </row>
    <row r="350" spans="1:21" x14ac:dyDescent="0.3">
      <c r="A350" s="5" t="s">
        <v>1420</v>
      </c>
      <c r="B350" s="3" t="s">
        <v>3733</v>
      </c>
      <c r="C350" s="5" t="s">
        <v>288</v>
      </c>
      <c r="D350" s="5" t="s">
        <v>21</v>
      </c>
      <c r="E350" s="5" t="s">
        <v>112</v>
      </c>
      <c r="F350" s="5" t="s">
        <v>3671</v>
      </c>
      <c r="G350" t="s">
        <v>1421</v>
      </c>
      <c r="H350" s="5" t="s">
        <v>3674</v>
      </c>
      <c r="I350" s="5" t="s">
        <v>784</v>
      </c>
      <c r="J350" s="5" t="s">
        <v>785</v>
      </c>
      <c r="K350" s="5" t="s">
        <v>40</v>
      </c>
      <c r="L350">
        <v>1</v>
      </c>
      <c r="M350">
        <v>117.06</v>
      </c>
      <c r="N350" s="8">
        <v>0</v>
      </c>
      <c r="O350" s="8">
        <v>117.06</v>
      </c>
      <c r="P350" s="8">
        <v>5.85</v>
      </c>
      <c r="Q350" s="10">
        <v>30</v>
      </c>
      <c r="R350" s="10">
        <v>5</v>
      </c>
      <c r="S350" s="8">
        <v>157.91</v>
      </c>
      <c r="T350">
        <v>24.67</v>
      </c>
      <c r="U350" t="str">
        <f t="shared" si="5"/>
        <v>Sunday</v>
      </c>
    </row>
    <row r="351" spans="1:21" x14ac:dyDescent="0.3">
      <c r="A351" s="5" t="s">
        <v>1422</v>
      </c>
      <c r="B351" s="3" t="s">
        <v>3712</v>
      </c>
      <c r="C351" s="5" t="s">
        <v>293</v>
      </c>
      <c r="D351" s="5" t="s">
        <v>21</v>
      </c>
      <c r="E351" s="5" t="s">
        <v>112</v>
      </c>
      <c r="F351" s="5" t="s">
        <v>23</v>
      </c>
      <c r="G351" t="s">
        <v>1423</v>
      </c>
      <c r="H351" s="5" t="s">
        <v>3677</v>
      </c>
      <c r="I351" s="5" t="s">
        <v>789</v>
      </c>
      <c r="J351" s="5" t="s">
        <v>790</v>
      </c>
      <c r="K351" s="5" t="s">
        <v>28</v>
      </c>
      <c r="L351">
        <v>3</v>
      </c>
      <c r="M351">
        <v>99.41</v>
      </c>
      <c r="N351" s="8">
        <v>0</v>
      </c>
      <c r="O351" s="8">
        <v>298.23</v>
      </c>
      <c r="P351" s="8">
        <v>14.91</v>
      </c>
      <c r="Q351" s="10">
        <v>10</v>
      </c>
      <c r="R351" s="10">
        <v>5</v>
      </c>
      <c r="S351" s="8">
        <v>328.14</v>
      </c>
      <c r="T351">
        <v>19</v>
      </c>
      <c r="U351" t="str">
        <f t="shared" si="5"/>
        <v>Thursday</v>
      </c>
    </row>
    <row r="352" spans="1:21" x14ac:dyDescent="0.3">
      <c r="A352" s="5" t="s">
        <v>1424</v>
      </c>
      <c r="B352" s="3" t="s">
        <v>3735</v>
      </c>
      <c r="C352" s="5" t="s">
        <v>298</v>
      </c>
      <c r="D352" s="5" t="s">
        <v>21</v>
      </c>
      <c r="E352" s="5" t="s">
        <v>36</v>
      </c>
      <c r="F352" s="5" t="s">
        <v>37</v>
      </c>
      <c r="G352" t="s">
        <v>1425</v>
      </c>
      <c r="H352" s="5" t="s">
        <v>3677</v>
      </c>
      <c r="I352" s="5" t="s">
        <v>794</v>
      </c>
      <c r="J352" s="5" t="s">
        <v>795</v>
      </c>
      <c r="K352" s="5" t="s">
        <v>145</v>
      </c>
      <c r="L352">
        <v>2</v>
      </c>
      <c r="M352">
        <v>112.52</v>
      </c>
      <c r="N352" s="8">
        <v>16.88</v>
      </c>
      <c r="O352" s="8">
        <v>208.16</v>
      </c>
      <c r="P352" s="8">
        <v>10.41</v>
      </c>
      <c r="Q352" s="10">
        <v>20</v>
      </c>
      <c r="R352" s="10">
        <v>20</v>
      </c>
      <c r="S352" s="8">
        <v>258.57</v>
      </c>
      <c r="T352">
        <v>13</v>
      </c>
      <c r="U352" t="str">
        <f t="shared" si="5"/>
        <v>Saturday</v>
      </c>
    </row>
    <row r="353" spans="1:21" x14ac:dyDescent="0.3">
      <c r="A353" s="5" t="s">
        <v>1426</v>
      </c>
      <c r="B353" s="3" t="s">
        <v>3703</v>
      </c>
      <c r="C353" s="5" t="s">
        <v>303</v>
      </c>
      <c r="D353" s="5" t="s">
        <v>21</v>
      </c>
      <c r="E353" s="5" t="s">
        <v>36</v>
      </c>
      <c r="F353" s="5" t="s">
        <v>37</v>
      </c>
      <c r="G353" t="s">
        <v>1427</v>
      </c>
      <c r="H353" s="5" t="s">
        <v>3673</v>
      </c>
      <c r="I353" s="5" t="s">
        <v>799</v>
      </c>
      <c r="J353" s="5" t="s">
        <v>800</v>
      </c>
      <c r="K353" s="5" t="s">
        <v>45</v>
      </c>
      <c r="L353">
        <v>5</v>
      </c>
      <c r="M353">
        <v>116.92</v>
      </c>
      <c r="N353" s="8">
        <v>11.69</v>
      </c>
      <c r="O353" s="8">
        <v>572.91</v>
      </c>
      <c r="P353" s="8">
        <v>28.65</v>
      </c>
      <c r="Q353" s="10">
        <v>10</v>
      </c>
      <c r="R353" s="10">
        <v>0</v>
      </c>
      <c r="S353" s="8">
        <v>611.55999999999995</v>
      </c>
      <c r="T353">
        <v>10</v>
      </c>
      <c r="U353" t="str">
        <f t="shared" si="5"/>
        <v>Friday</v>
      </c>
    </row>
    <row r="354" spans="1:21" x14ac:dyDescent="0.3">
      <c r="A354" s="5" t="s">
        <v>1428</v>
      </c>
      <c r="B354" s="3" t="s">
        <v>3710</v>
      </c>
      <c r="C354" s="5" t="s">
        <v>308</v>
      </c>
      <c r="D354" s="5" t="s">
        <v>21</v>
      </c>
      <c r="E354" s="5" t="s">
        <v>112</v>
      </c>
      <c r="F354" s="5" t="s">
        <v>37</v>
      </c>
      <c r="G354" t="s">
        <v>1429</v>
      </c>
      <c r="H354" s="5" t="s">
        <v>3673</v>
      </c>
      <c r="I354" s="5" t="s">
        <v>804</v>
      </c>
      <c r="J354" s="5" t="s">
        <v>805</v>
      </c>
      <c r="K354" s="5" t="s">
        <v>28</v>
      </c>
      <c r="L354">
        <v>1</v>
      </c>
      <c r="M354">
        <v>11.11</v>
      </c>
      <c r="N354" s="8">
        <v>0.56000000000000005</v>
      </c>
      <c r="O354" s="8">
        <v>10.55</v>
      </c>
      <c r="P354" s="8">
        <v>0.53</v>
      </c>
      <c r="Q354" s="10">
        <v>20</v>
      </c>
      <c r="R354" s="10">
        <v>20</v>
      </c>
      <c r="S354" s="8">
        <v>51.08</v>
      </c>
      <c r="T354">
        <v>44</v>
      </c>
      <c r="U354" t="str">
        <f t="shared" si="5"/>
        <v>Monday</v>
      </c>
    </row>
    <row r="355" spans="1:21" x14ac:dyDescent="0.3">
      <c r="A355" s="5" t="s">
        <v>1430</v>
      </c>
      <c r="B355" s="3" t="s">
        <v>3714</v>
      </c>
      <c r="C355" s="5" t="s">
        <v>313</v>
      </c>
      <c r="D355" s="5" t="s">
        <v>21</v>
      </c>
      <c r="E355" s="5" t="s">
        <v>36</v>
      </c>
      <c r="F355" s="5" t="s">
        <v>23</v>
      </c>
      <c r="G355" t="s">
        <v>1431</v>
      </c>
      <c r="H355" s="5" t="s">
        <v>3677</v>
      </c>
      <c r="I355" s="5" t="s">
        <v>809</v>
      </c>
      <c r="J355" s="5" t="s">
        <v>810</v>
      </c>
      <c r="K355" s="5" t="s">
        <v>145</v>
      </c>
      <c r="L355">
        <v>8</v>
      </c>
      <c r="M355">
        <v>103.82</v>
      </c>
      <c r="N355" s="8">
        <v>0</v>
      </c>
      <c r="O355" s="8">
        <v>830.56</v>
      </c>
      <c r="P355" s="8">
        <v>41.53</v>
      </c>
      <c r="Q355" s="10">
        <v>20</v>
      </c>
      <c r="R355" s="10">
        <v>0</v>
      </c>
      <c r="S355" s="8">
        <v>892.08999999999992</v>
      </c>
      <c r="T355">
        <v>23</v>
      </c>
      <c r="U355" t="str">
        <f t="shared" si="5"/>
        <v>Thursday</v>
      </c>
    </row>
    <row r="356" spans="1:21" x14ac:dyDescent="0.3">
      <c r="A356" s="5" t="s">
        <v>1432</v>
      </c>
      <c r="B356" s="3" t="s">
        <v>3731</v>
      </c>
      <c r="C356" s="5" t="s">
        <v>318</v>
      </c>
      <c r="D356" s="5" t="s">
        <v>21</v>
      </c>
      <c r="E356" s="5" t="s">
        <v>76</v>
      </c>
      <c r="F356" s="5" t="s">
        <v>23</v>
      </c>
      <c r="G356" t="s">
        <v>1433</v>
      </c>
      <c r="H356" s="5" t="s">
        <v>3677</v>
      </c>
      <c r="I356" s="5" t="s">
        <v>814</v>
      </c>
      <c r="J356" s="5" t="s">
        <v>815</v>
      </c>
      <c r="K356" s="5" t="s">
        <v>196</v>
      </c>
      <c r="L356">
        <v>4</v>
      </c>
      <c r="M356">
        <v>151.27000000000001</v>
      </c>
      <c r="N356" s="8">
        <v>7.56</v>
      </c>
      <c r="O356" s="8">
        <v>597.5200000000001</v>
      </c>
      <c r="P356" s="8">
        <v>29.88</v>
      </c>
      <c r="Q356" s="10">
        <v>20</v>
      </c>
      <c r="R356" s="10">
        <v>5</v>
      </c>
      <c r="S356" s="8">
        <v>652.40000000000009</v>
      </c>
      <c r="T356">
        <v>31</v>
      </c>
      <c r="U356" t="str">
        <f t="shared" si="5"/>
        <v>Monday</v>
      </c>
    </row>
    <row r="357" spans="1:21" x14ac:dyDescent="0.3">
      <c r="A357" s="5" t="s">
        <v>1434</v>
      </c>
      <c r="B357" s="3" t="s">
        <v>3721</v>
      </c>
      <c r="C357" s="5" t="s">
        <v>323</v>
      </c>
      <c r="D357" s="5" t="s">
        <v>21</v>
      </c>
      <c r="E357" s="5" t="s">
        <v>36</v>
      </c>
      <c r="F357" s="5" t="s">
        <v>42</v>
      </c>
      <c r="G357" t="s">
        <v>1435</v>
      </c>
      <c r="H357" s="5" t="s">
        <v>3677</v>
      </c>
      <c r="I357" s="5" t="s">
        <v>819</v>
      </c>
      <c r="J357" s="5" t="s">
        <v>820</v>
      </c>
      <c r="K357" s="5" t="s">
        <v>40</v>
      </c>
      <c r="L357">
        <v>5</v>
      </c>
      <c r="M357">
        <v>107.73</v>
      </c>
      <c r="N357" s="8">
        <v>16.16</v>
      </c>
      <c r="O357" s="8">
        <v>522.49</v>
      </c>
      <c r="P357" s="8">
        <v>26.12</v>
      </c>
      <c r="Q357" s="10">
        <v>20</v>
      </c>
      <c r="R357" s="10">
        <v>15</v>
      </c>
      <c r="S357" s="8">
        <v>583.61</v>
      </c>
      <c r="T357">
        <v>17</v>
      </c>
      <c r="U357" t="str">
        <f t="shared" si="5"/>
        <v>Tuesday</v>
      </c>
    </row>
    <row r="358" spans="1:21" x14ac:dyDescent="0.3">
      <c r="A358" s="5" t="s">
        <v>1436</v>
      </c>
      <c r="B358" s="3" t="s">
        <v>3684</v>
      </c>
      <c r="C358" s="5" t="s">
        <v>328</v>
      </c>
      <c r="D358" s="5" t="s">
        <v>21</v>
      </c>
      <c r="E358" s="5" t="s">
        <v>69</v>
      </c>
      <c r="F358" s="5" t="s">
        <v>42</v>
      </c>
      <c r="G358" t="s">
        <v>1437</v>
      </c>
      <c r="H358" s="5" t="s">
        <v>3676</v>
      </c>
      <c r="I358" s="5" t="s">
        <v>824</v>
      </c>
      <c r="J358" s="5" t="s">
        <v>825</v>
      </c>
      <c r="K358" s="5" t="s">
        <v>40</v>
      </c>
      <c r="L358">
        <v>1</v>
      </c>
      <c r="M358">
        <v>155.61000000000001</v>
      </c>
      <c r="N358" s="8">
        <v>15.56</v>
      </c>
      <c r="O358" s="8">
        <v>140.05000000000001</v>
      </c>
      <c r="P358" s="8">
        <v>7</v>
      </c>
      <c r="Q358" s="10">
        <v>0</v>
      </c>
      <c r="R358" s="10">
        <v>15</v>
      </c>
      <c r="S358" s="8">
        <v>162.05000000000001</v>
      </c>
      <c r="T358">
        <v>4</v>
      </c>
      <c r="U358" t="str">
        <f t="shared" si="5"/>
        <v>Sunday</v>
      </c>
    </row>
    <row r="359" spans="1:21" x14ac:dyDescent="0.3">
      <c r="A359" s="5" t="s">
        <v>1438</v>
      </c>
      <c r="B359" s="3" t="s">
        <v>3729</v>
      </c>
      <c r="C359" s="5" t="s">
        <v>332</v>
      </c>
      <c r="D359" s="5" t="s">
        <v>21</v>
      </c>
      <c r="E359" s="5" t="s">
        <v>69</v>
      </c>
      <c r="F359" s="5" t="s">
        <v>23</v>
      </c>
      <c r="G359" t="s">
        <v>1439</v>
      </c>
      <c r="H359" s="5" t="s">
        <v>3677</v>
      </c>
      <c r="I359" s="5" t="s">
        <v>828</v>
      </c>
      <c r="J359" s="5" t="s">
        <v>829</v>
      </c>
      <c r="K359" s="5" t="s">
        <v>103</v>
      </c>
      <c r="L359">
        <v>6</v>
      </c>
      <c r="M359">
        <v>105.52</v>
      </c>
      <c r="N359" s="8">
        <v>0</v>
      </c>
      <c r="O359" s="8">
        <v>633.12</v>
      </c>
      <c r="P359" s="8">
        <v>31.66</v>
      </c>
      <c r="Q359" s="10">
        <v>0</v>
      </c>
      <c r="R359" s="10">
        <v>20</v>
      </c>
      <c r="S359" s="8">
        <v>684.78</v>
      </c>
      <c r="T359">
        <v>25</v>
      </c>
      <c r="U359" t="str">
        <f t="shared" si="5"/>
        <v>Monday</v>
      </c>
    </row>
    <row r="360" spans="1:21" x14ac:dyDescent="0.3">
      <c r="A360" s="5" t="s">
        <v>1440</v>
      </c>
      <c r="B360" s="3" t="s">
        <v>3706</v>
      </c>
      <c r="C360" s="5" t="s">
        <v>337</v>
      </c>
      <c r="D360" s="5" t="s">
        <v>21</v>
      </c>
      <c r="E360" s="5" t="s">
        <v>36</v>
      </c>
      <c r="F360" s="5" t="s">
        <v>42</v>
      </c>
      <c r="G360" t="s">
        <v>1441</v>
      </c>
      <c r="H360" s="5" t="s">
        <v>3673</v>
      </c>
      <c r="I360" s="5" t="s">
        <v>832</v>
      </c>
      <c r="J360" s="5" t="s">
        <v>833</v>
      </c>
      <c r="K360" s="5" t="s">
        <v>28</v>
      </c>
      <c r="L360">
        <v>5</v>
      </c>
      <c r="M360">
        <v>185.07</v>
      </c>
      <c r="N360" s="8">
        <v>9.25</v>
      </c>
      <c r="O360" s="8">
        <v>916.09999999999991</v>
      </c>
      <c r="P360" s="8">
        <v>45.8</v>
      </c>
      <c r="Q360" s="10">
        <v>20</v>
      </c>
      <c r="R360" s="10">
        <v>10</v>
      </c>
      <c r="S360" s="8">
        <v>991.89999999999986</v>
      </c>
      <c r="T360">
        <v>29</v>
      </c>
      <c r="U360" t="str">
        <f t="shared" si="5"/>
        <v>Thursday</v>
      </c>
    </row>
    <row r="361" spans="1:21" x14ac:dyDescent="0.3">
      <c r="A361" s="5" t="s">
        <v>1442</v>
      </c>
      <c r="B361" s="3" t="s">
        <v>3691</v>
      </c>
      <c r="C361" s="5" t="s">
        <v>342</v>
      </c>
      <c r="D361" s="5" t="s">
        <v>82</v>
      </c>
      <c r="E361" s="5" t="s">
        <v>83</v>
      </c>
      <c r="F361" s="5" t="s">
        <v>37</v>
      </c>
      <c r="G361" t="s">
        <v>1443</v>
      </c>
      <c r="H361" s="5" t="s">
        <v>3675</v>
      </c>
      <c r="I361" s="5" t="s">
        <v>837</v>
      </c>
      <c r="J361" s="5" t="s">
        <v>838</v>
      </c>
      <c r="K361" s="5" t="s">
        <v>28</v>
      </c>
      <c r="L361">
        <v>3</v>
      </c>
      <c r="M361">
        <v>223.55</v>
      </c>
      <c r="N361" s="8">
        <v>11.18</v>
      </c>
      <c r="O361" s="8">
        <v>659.47000000000014</v>
      </c>
      <c r="P361" s="8">
        <v>32.97</v>
      </c>
      <c r="Q361" s="10">
        <v>30</v>
      </c>
      <c r="R361" s="10">
        <v>10</v>
      </c>
      <c r="S361" s="8">
        <v>732.44000000000017</v>
      </c>
      <c r="T361">
        <v>24.67</v>
      </c>
      <c r="U361" t="str">
        <f t="shared" si="5"/>
        <v>Friday</v>
      </c>
    </row>
    <row r="362" spans="1:21" x14ac:dyDescent="0.3">
      <c r="A362" s="5" t="s">
        <v>1444</v>
      </c>
      <c r="B362" s="3" t="s">
        <v>3720</v>
      </c>
      <c r="C362" s="5" t="s">
        <v>347</v>
      </c>
      <c r="D362" s="5" t="s">
        <v>21</v>
      </c>
      <c r="E362" s="5" t="s">
        <v>36</v>
      </c>
      <c r="F362" s="5" t="s">
        <v>42</v>
      </c>
      <c r="G362" t="s">
        <v>1445</v>
      </c>
      <c r="H362" s="5" t="s">
        <v>3675</v>
      </c>
      <c r="I362" s="5" t="s">
        <v>842</v>
      </c>
      <c r="J362" s="5" t="s">
        <v>843</v>
      </c>
      <c r="K362" s="5" t="s">
        <v>73</v>
      </c>
      <c r="L362">
        <v>5</v>
      </c>
      <c r="M362">
        <v>33.630000000000003</v>
      </c>
      <c r="N362" s="8">
        <v>5.04</v>
      </c>
      <c r="O362" s="8">
        <v>163.11000000000001</v>
      </c>
      <c r="P362" s="8">
        <v>8.16</v>
      </c>
      <c r="Q362" s="10">
        <v>0</v>
      </c>
      <c r="R362" s="10">
        <v>15</v>
      </c>
      <c r="S362" s="8">
        <v>186.27</v>
      </c>
      <c r="T362">
        <v>29</v>
      </c>
      <c r="U362" t="str">
        <f t="shared" si="5"/>
        <v>Monday</v>
      </c>
    </row>
    <row r="363" spans="1:21" x14ac:dyDescent="0.3">
      <c r="A363" s="5" t="s">
        <v>1446</v>
      </c>
      <c r="B363" s="3" t="s">
        <v>3687</v>
      </c>
      <c r="C363" s="5" t="s">
        <v>352</v>
      </c>
      <c r="D363" s="5" t="s">
        <v>106</v>
      </c>
      <c r="E363" s="5" t="s">
        <v>83</v>
      </c>
      <c r="F363" s="5" t="s">
        <v>23</v>
      </c>
      <c r="H363" s="5" t="s">
        <v>3677</v>
      </c>
      <c r="I363" s="5" t="s">
        <v>847</v>
      </c>
      <c r="J363" s="5" t="s">
        <v>848</v>
      </c>
      <c r="K363" s="5" t="s">
        <v>45</v>
      </c>
      <c r="L363">
        <v>3</v>
      </c>
      <c r="M363">
        <v>141.09</v>
      </c>
      <c r="N363" s="8">
        <v>21.16</v>
      </c>
      <c r="O363" s="8">
        <v>402.11</v>
      </c>
      <c r="P363" s="8">
        <v>20.11</v>
      </c>
      <c r="Q363" s="10">
        <v>30</v>
      </c>
      <c r="R363" s="10">
        <v>0</v>
      </c>
      <c r="S363" s="8">
        <v>452.22</v>
      </c>
      <c r="T363">
        <v>35</v>
      </c>
      <c r="U363" t="str">
        <f t="shared" si="5"/>
        <v>Friday</v>
      </c>
    </row>
    <row r="364" spans="1:21" x14ac:dyDescent="0.3">
      <c r="A364" s="5" t="s">
        <v>1447</v>
      </c>
      <c r="B364" s="3" t="s">
        <v>3724</v>
      </c>
      <c r="C364" s="5" t="s">
        <v>357</v>
      </c>
      <c r="D364" s="5" t="s">
        <v>21</v>
      </c>
      <c r="E364" s="5" t="s">
        <v>69</v>
      </c>
      <c r="F364" s="5" t="s">
        <v>23</v>
      </c>
      <c r="G364" t="s">
        <v>1448</v>
      </c>
      <c r="H364" s="5" t="s">
        <v>3673</v>
      </c>
      <c r="I364" s="5" t="s">
        <v>852</v>
      </c>
      <c r="J364" s="5" t="s">
        <v>853</v>
      </c>
      <c r="K364" s="5" t="s">
        <v>40</v>
      </c>
      <c r="L364">
        <v>6</v>
      </c>
      <c r="M364">
        <v>78.23</v>
      </c>
      <c r="N364" s="8">
        <v>7.82</v>
      </c>
      <c r="O364" s="8">
        <v>461.56</v>
      </c>
      <c r="P364" s="8">
        <v>23.08</v>
      </c>
      <c r="Q364" s="10">
        <v>0</v>
      </c>
      <c r="R364" s="10">
        <v>20</v>
      </c>
      <c r="S364" s="8">
        <v>504.64</v>
      </c>
      <c r="T364">
        <v>29</v>
      </c>
      <c r="U364" t="str">
        <f t="shared" si="5"/>
        <v>Sunday</v>
      </c>
    </row>
    <row r="365" spans="1:21" x14ac:dyDescent="0.3">
      <c r="A365" s="5" t="s">
        <v>1449</v>
      </c>
      <c r="B365" s="3" t="s">
        <v>3736</v>
      </c>
      <c r="C365" s="5" t="s">
        <v>362</v>
      </c>
      <c r="D365" s="5" t="s">
        <v>21</v>
      </c>
      <c r="E365" s="5" t="s">
        <v>22</v>
      </c>
      <c r="F365" s="5" t="s">
        <v>42</v>
      </c>
      <c r="G365" t="s">
        <v>1450</v>
      </c>
      <c r="H365" s="5" t="s">
        <v>3677</v>
      </c>
      <c r="I365" s="5" t="s">
        <v>857</v>
      </c>
      <c r="J365" s="5" t="s">
        <v>858</v>
      </c>
      <c r="K365" s="5" t="s">
        <v>196</v>
      </c>
      <c r="L365">
        <v>1</v>
      </c>
      <c r="M365">
        <v>6.38</v>
      </c>
      <c r="N365" s="8">
        <v>0.96</v>
      </c>
      <c r="O365" s="8">
        <v>5.42</v>
      </c>
      <c r="P365" s="8">
        <v>0.27</v>
      </c>
      <c r="Q365" s="10">
        <v>0</v>
      </c>
      <c r="R365" s="10">
        <v>20</v>
      </c>
      <c r="S365" s="8">
        <v>25.69</v>
      </c>
      <c r="T365">
        <v>27</v>
      </c>
      <c r="U365" t="str">
        <f t="shared" si="5"/>
        <v>Tuesday</v>
      </c>
    </row>
    <row r="366" spans="1:21" x14ac:dyDescent="0.3">
      <c r="A366" s="5" t="s">
        <v>1451</v>
      </c>
      <c r="B366" s="3" t="s">
        <v>3698</v>
      </c>
      <c r="C366" s="5" t="s">
        <v>367</v>
      </c>
      <c r="D366" s="5" t="s">
        <v>21</v>
      </c>
      <c r="E366" s="5" t="s">
        <v>22</v>
      </c>
      <c r="F366" s="5" t="s">
        <v>42</v>
      </c>
      <c r="G366" t="s">
        <v>1452</v>
      </c>
      <c r="H366" s="5" t="s">
        <v>3677</v>
      </c>
      <c r="I366" s="5" t="s">
        <v>862</v>
      </c>
      <c r="J366" s="5" t="s">
        <v>863</v>
      </c>
      <c r="K366" s="5" t="s">
        <v>56</v>
      </c>
      <c r="L366">
        <v>2</v>
      </c>
      <c r="M366">
        <v>157.69999999999999</v>
      </c>
      <c r="N366" s="8">
        <v>0</v>
      </c>
      <c r="O366" s="8">
        <v>315.39999999999998</v>
      </c>
      <c r="P366" s="8">
        <v>15.77</v>
      </c>
      <c r="Q366" s="10">
        <v>20</v>
      </c>
      <c r="R366" s="10">
        <v>5</v>
      </c>
      <c r="S366" s="8">
        <v>356.17</v>
      </c>
      <c r="T366">
        <v>8</v>
      </c>
      <c r="U366" t="str">
        <f t="shared" si="5"/>
        <v>Sunday</v>
      </c>
    </row>
    <row r="367" spans="1:21" x14ac:dyDescent="0.3">
      <c r="A367" s="5" t="s">
        <v>1453</v>
      </c>
      <c r="B367" s="3" t="s">
        <v>3687</v>
      </c>
      <c r="C367" s="5" t="s">
        <v>372</v>
      </c>
      <c r="D367" s="5" t="s">
        <v>21</v>
      </c>
      <c r="E367" s="5" t="s">
        <v>76</v>
      </c>
      <c r="F367" s="5" t="s">
        <v>23</v>
      </c>
      <c r="G367" t="s">
        <v>1454</v>
      </c>
      <c r="H367" s="5" t="s">
        <v>100</v>
      </c>
      <c r="I367" s="5" t="s">
        <v>867</v>
      </c>
      <c r="J367" s="5" t="s">
        <v>868</v>
      </c>
      <c r="K367" s="5" t="s">
        <v>145</v>
      </c>
      <c r="L367">
        <v>1</v>
      </c>
      <c r="M367">
        <v>103.25</v>
      </c>
      <c r="N367" s="8">
        <v>15.49</v>
      </c>
      <c r="O367" s="8">
        <v>87.76</v>
      </c>
      <c r="P367" s="8">
        <v>4.3899999999999997</v>
      </c>
      <c r="Q367" s="10">
        <v>0</v>
      </c>
      <c r="R367" s="10">
        <v>15</v>
      </c>
      <c r="S367" s="8">
        <v>107.15</v>
      </c>
      <c r="T367">
        <v>35</v>
      </c>
      <c r="U367" t="str">
        <f t="shared" si="5"/>
        <v>Friday</v>
      </c>
    </row>
    <row r="368" spans="1:21" x14ac:dyDescent="0.3">
      <c r="A368" s="5" t="s">
        <v>1455</v>
      </c>
      <c r="B368" s="3" t="s">
        <v>3679</v>
      </c>
      <c r="C368" s="5" t="s">
        <v>377</v>
      </c>
      <c r="D368" s="5" t="s">
        <v>21</v>
      </c>
      <c r="E368" s="5" t="s">
        <v>69</v>
      </c>
      <c r="F368" s="5" t="s">
        <v>42</v>
      </c>
      <c r="G368" t="s">
        <v>1456</v>
      </c>
      <c r="H368" s="5" t="s">
        <v>3673</v>
      </c>
      <c r="I368" s="5" t="s">
        <v>872</v>
      </c>
      <c r="J368" s="5" t="s">
        <v>873</v>
      </c>
      <c r="K368" s="5" t="s">
        <v>28</v>
      </c>
      <c r="L368">
        <v>2</v>
      </c>
      <c r="M368">
        <v>78.14</v>
      </c>
      <c r="N368" s="8">
        <v>0</v>
      </c>
      <c r="O368" s="8">
        <v>156.28</v>
      </c>
      <c r="P368" s="8">
        <v>7.81</v>
      </c>
      <c r="Q368" s="10">
        <v>10</v>
      </c>
      <c r="R368" s="10">
        <v>5</v>
      </c>
      <c r="S368" s="8">
        <v>179.09</v>
      </c>
      <c r="T368">
        <v>22</v>
      </c>
      <c r="U368" t="str">
        <f t="shared" si="5"/>
        <v>Friday</v>
      </c>
    </row>
    <row r="369" spans="1:21" x14ac:dyDescent="0.3">
      <c r="A369" s="5" t="s">
        <v>1457</v>
      </c>
      <c r="B369" s="3" t="s">
        <v>3686</v>
      </c>
      <c r="C369" s="5" t="s">
        <v>382</v>
      </c>
      <c r="D369" s="5" t="s">
        <v>82</v>
      </c>
      <c r="E369" s="5" t="s">
        <v>83</v>
      </c>
      <c r="F369" s="5" t="s">
        <v>37</v>
      </c>
      <c r="G369" t="s">
        <v>1458</v>
      </c>
      <c r="H369" s="5" t="s">
        <v>3674</v>
      </c>
      <c r="I369" s="5" t="s">
        <v>877</v>
      </c>
      <c r="J369" s="5" t="s">
        <v>878</v>
      </c>
      <c r="K369" s="5" t="s">
        <v>22</v>
      </c>
      <c r="L369">
        <v>1</v>
      </c>
      <c r="M369">
        <v>31.36</v>
      </c>
      <c r="N369" s="8">
        <v>3.14</v>
      </c>
      <c r="O369" s="8">
        <v>28.22</v>
      </c>
      <c r="P369" s="8">
        <v>1.41</v>
      </c>
      <c r="Q369" s="10">
        <v>10</v>
      </c>
      <c r="R369" s="10">
        <v>10</v>
      </c>
      <c r="S369" s="8">
        <v>49.63</v>
      </c>
      <c r="T369">
        <v>27</v>
      </c>
      <c r="U369" t="str">
        <f t="shared" si="5"/>
        <v>Saturday</v>
      </c>
    </row>
    <row r="370" spans="1:21" x14ac:dyDescent="0.3">
      <c r="A370" s="5" t="s">
        <v>1459</v>
      </c>
      <c r="B370" s="3" t="s">
        <v>3701</v>
      </c>
      <c r="C370" s="5" t="s">
        <v>386</v>
      </c>
      <c r="D370" s="5" t="s">
        <v>21</v>
      </c>
      <c r="E370" s="5" t="s">
        <v>69</v>
      </c>
      <c r="F370" s="5" t="s">
        <v>37</v>
      </c>
      <c r="G370" t="s">
        <v>1460</v>
      </c>
      <c r="H370" s="5" t="s">
        <v>3676</v>
      </c>
      <c r="I370" s="5" t="s">
        <v>882</v>
      </c>
      <c r="J370" s="5" t="s">
        <v>883</v>
      </c>
      <c r="K370" s="5" t="s">
        <v>45</v>
      </c>
      <c r="L370">
        <v>5</v>
      </c>
      <c r="M370">
        <v>41.47</v>
      </c>
      <c r="N370" s="8">
        <v>6.22</v>
      </c>
      <c r="O370" s="8">
        <v>201.13</v>
      </c>
      <c r="P370" s="8">
        <v>10.06</v>
      </c>
      <c r="Q370" s="10">
        <v>10</v>
      </c>
      <c r="R370" s="10">
        <v>20</v>
      </c>
      <c r="S370" s="8">
        <v>241.19</v>
      </c>
      <c r="T370">
        <v>30</v>
      </c>
      <c r="U370" t="str">
        <f t="shared" si="5"/>
        <v>Tuesday</v>
      </c>
    </row>
    <row r="371" spans="1:21" x14ac:dyDescent="0.3">
      <c r="A371" s="5" t="s">
        <v>1461</v>
      </c>
      <c r="B371" s="3" t="s">
        <v>3681</v>
      </c>
      <c r="C371" s="5" t="s">
        <v>391</v>
      </c>
      <c r="D371" s="5" t="s">
        <v>21</v>
      </c>
      <c r="E371" s="5" t="s">
        <v>69</v>
      </c>
      <c r="F371" s="5" t="s">
        <v>3671</v>
      </c>
      <c r="G371" t="s">
        <v>1462</v>
      </c>
      <c r="H371" s="5" t="s">
        <v>3676</v>
      </c>
      <c r="I371" s="5" t="s">
        <v>887</v>
      </c>
      <c r="J371" s="5" t="s">
        <v>888</v>
      </c>
      <c r="K371" s="5" t="s">
        <v>73</v>
      </c>
      <c r="L371">
        <v>1</v>
      </c>
      <c r="M371">
        <v>198.04</v>
      </c>
      <c r="N371" s="8">
        <v>0</v>
      </c>
      <c r="O371" s="8">
        <v>198.04</v>
      </c>
      <c r="P371" s="8">
        <v>9.9</v>
      </c>
      <c r="Q371" s="10">
        <v>20</v>
      </c>
      <c r="R371" s="10">
        <v>0</v>
      </c>
      <c r="S371" s="8">
        <v>227.94</v>
      </c>
      <c r="T371">
        <v>24.67</v>
      </c>
      <c r="U371" t="str">
        <f t="shared" si="5"/>
        <v>Wednesday</v>
      </c>
    </row>
    <row r="372" spans="1:21" x14ac:dyDescent="0.3">
      <c r="A372" s="5" t="s">
        <v>1463</v>
      </c>
      <c r="B372" s="3" t="s">
        <v>3689</v>
      </c>
      <c r="C372" s="5" t="s">
        <v>396</v>
      </c>
      <c r="D372" s="5" t="s">
        <v>21</v>
      </c>
      <c r="E372" s="5" t="s">
        <v>36</v>
      </c>
      <c r="F372" s="5" t="s">
        <v>42</v>
      </c>
      <c r="G372" t="s">
        <v>1464</v>
      </c>
      <c r="H372" s="5" t="s">
        <v>3673</v>
      </c>
      <c r="I372" s="5" t="s">
        <v>892</v>
      </c>
      <c r="J372" s="5" t="s">
        <v>893</v>
      </c>
      <c r="K372" s="5" t="s">
        <v>56</v>
      </c>
      <c r="L372">
        <v>2</v>
      </c>
      <c r="M372">
        <v>53.68</v>
      </c>
      <c r="N372" s="8">
        <v>0</v>
      </c>
      <c r="O372" s="8">
        <v>107.36</v>
      </c>
      <c r="P372" s="8">
        <v>5.37</v>
      </c>
      <c r="Q372" s="10">
        <v>0</v>
      </c>
      <c r="R372" s="10">
        <v>15</v>
      </c>
      <c r="S372" s="8">
        <v>127.73</v>
      </c>
      <c r="T372">
        <v>32</v>
      </c>
      <c r="U372" t="str">
        <f t="shared" si="5"/>
        <v>Wednesday</v>
      </c>
    </row>
    <row r="373" spans="1:21" x14ac:dyDescent="0.3">
      <c r="A373" s="5" t="s">
        <v>1465</v>
      </c>
      <c r="B373" s="3" t="s">
        <v>3696</v>
      </c>
      <c r="C373" s="5" t="s">
        <v>401</v>
      </c>
      <c r="D373" s="5" t="s">
        <v>21</v>
      </c>
      <c r="E373" s="5" t="s">
        <v>69</v>
      </c>
      <c r="F373" s="5" t="s">
        <v>42</v>
      </c>
      <c r="G373" t="s">
        <v>1466</v>
      </c>
      <c r="H373" s="5" t="s">
        <v>3673</v>
      </c>
      <c r="I373" s="5" t="s">
        <v>897</v>
      </c>
      <c r="J373" s="5" t="s">
        <v>898</v>
      </c>
      <c r="K373" s="5" t="s">
        <v>45</v>
      </c>
      <c r="L373">
        <v>3</v>
      </c>
      <c r="M373">
        <v>150.33000000000001</v>
      </c>
      <c r="N373" s="8">
        <v>22.55</v>
      </c>
      <c r="O373" s="8">
        <v>428.44</v>
      </c>
      <c r="P373" s="8">
        <v>21.42</v>
      </c>
      <c r="Q373" s="10">
        <v>20</v>
      </c>
      <c r="R373" s="10">
        <v>10</v>
      </c>
      <c r="S373" s="8">
        <v>479.86</v>
      </c>
      <c r="T373">
        <v>14</v>
      </c>
      <c r="U373" t="str">
        <f t="shared" si="5"/>
        <v>Friday</v>
      </c>
    </row>
    <row r="374" spans="1:21" x14ac:dyDescent="0.3">
      <c r="A374" s="5" t="s">
        <v>1467</v>
      </c>
      <c r="B374" s="3" t="s">
        <v>3690</v>
      </c>
      <c r="C374" s="5" t="s">
        <v>406</v>
      </c>
      <c r="D374" s="5" t="s">
        <v>106</v>
      </c>
      <c r="E374" s="5" t="s">
        <v>83</v>
      </c>
      <c r="F374" s="5" t="s">
        <v>42</v>
      </c>
      <c r="G374" t="s">
        <v>1468</v>
      </c>
      <c r="H374" s="5" t="s">
        <v>100</v>
      </c>
      <c r="I374" s="5" t="s">
        <v>902</v>
      </c>
      <c r="J374" s="5" t="s">
        <v>903</v>
      </c>
      <c r="K374" s="5" t="s">
        <v>45</v>
      </c>
      <c r="L374">
        <v>3</v>
      </c>
      <c r="M374">
        <v>75.67</v>
      </c>
      <c r="N374" s="8">
        <v>3.78</v>
      </c>
      <c r="O374" s="8">
        <v>223.23</v>
      </c>
      <c r="P374" s="8">
        <v>11.16</v>
      </c>
      <c r="Q374" s="10">
        <v>20</v>
      </c>
      <c r="R374" s="10">
        <v>15</v>
      </c>
      <c r="S374" s="8">
        <v>269.39</v>
      </c>
      <c r="T374">
        <v>24.67</v>
      </c>
      <c r="U374" t="str">
        <f t="shared" si="5"/>
        <v>Sunday</v>
      </c>
    </row>
    <row r="375" spans="1:21" x14ac:dyDescent="0.3">
      <c r="A375" s="5" t="s">
        <v>1469</v>
      </c>
      <c r="B375" s="3" t="s">
        <v>3720</v>
      </c>
      <c r="C375" s="5" t="s">
        <v>411</v>
      </c>
      <c r="D375" s="5" t="s">
        <v>21</v>
      </c>
      <c r="E375" s="5" t="s">
        <v>69</v>
      </c>
      <c r="F375" s="5" t="s">
        <v>37</v>
      </c>
      <c r="G375" t="s">
        <v>1470</v>
      </c>
      <c r="H375" s="5" t="s">
        <v>3673</v>
      </c>
      <c r="I375" s="5" t="s">
        <v>907</v>
      </c>
      <c r="J375" s="5" t="s">
        <v>908</v>
      </c>
      <c r="K375" s="5" t="s">
        <v>45</v>
      </c>
      <c r="L375">
        <v>4</v>
      </c>
      <c r="M375">
        <v>78.319999999999993</v>
      </c>
      <c r="N375" s="8">
        <v>3.92</v>
      </c>
      <c r="O375" s="8">
        <v>309.36</v>
      </c>
      <c r="P375" s="8">
        <v>15.47</v>
      </c>
      <c r="Q375" s="10">
        <v>10</v>
      </c>
      <c r="R375" s="10">
        <v>15</v>
      </c>
      <c r="S375" s="8">
        <v>349.83</v>
      </c>
      <c r="T375">
        <v>20</v>
      </c>
      <c r="U375" t="str">
        <f t="shared" si="5"/>
        <v>Monday</v>
      </c>
    </row>
    <row r="376" spans="1:21" x14ac:dyDescent="0.3">
      <c r="A376" s="5" t="s">
        <v>1471</v>
      </c>
      <c r="B376" s="3" t="s">
        <v>3721</v>
      </c>
      <c r="C376" s="5" t="s">
        <v>416</v>
      </c>
      <c r="D376" s="5" t="s">
        <v>21</v>
      </c>
      <c r="E376" s="5" t="s">
        <v>69</v>
      </c>
      <c r="F376" s="5" t="s">
        <v>37</v>
      </c>
      <c r="G376" t="s">
        <v>1472</v>
      </c>
      <c r="H376" s="5" t="s">
        <v>3675</v>
      </c>
      <c r="I376" s="5" t="s">
        <v>912</v>
      </c>
      <c r="J376" s="5" t="s">
        <v>913</v>
      </c>
      <c r="K376" s="5" t="s">
        <v>28</v>
      </c>
      <c r="L376">
        <v>1</v>
      </c>
      <c r="M376">
        <v>120.92</v>
      </c>
      <c r="N376" s="8">
        <v>12.09</v>
      </c>
      <c r="O376" s="8">
        <v>108.83</v>
      </c>
      <c r="P376" s="8">
        <v>5.44</v>
      </c>
      <c r="Q376" s="10">
        <v>0</v>
      </c>
      <c r="R376" s="10">
        <v>15</v>
      </c>
      <c r="S376" s="8">
        <v>129.27000000000001</v>
      </c>
      <c r="T376">
        <v>24.67</v>
      </c>
      <c r="U376" t="str">
        <f t="shared" si="5"/>
        <v>Tuesday</v>
      </c>
    </row>
    <row r="377" spans="1:21" x14ac:dyDescent="0.3">
      <c r="A377" s="5" t="s">
        <v>1473</v>
      </c>
      <c r="B377" s="3" t="s">
        <v>3729</v>
      </c>
      <c r="C377" s="5" t="s">
        <v>421</v>
      </c>
      <c r="D377" s="5" t="s">
        <v>21</v>
      </c>
      <c r="E377" s="5" t="s">
        <v>36</v>
      </c>
      <c r="F377" s="5" t="s">
        <v>42</v>
      </c>
      <c r="G377" t="s">
        <v>1474</v>
      </c>
      <c r="H377" s="5" t="s">
        <v>3677</v>
      </c>
      <c r="I377" s="5" t="s">
        <v>917</v>
      </c>
      <c r="J377" s="5" t="s">
        <v>918</v>
      </c>
      <c r="K377" s="5" t="s">
        <v>40</v>
      </c>
      <c r="L377">
        <v>3</v>
      </c>
      <c r="M377">
        <v>174.1</v>
      </c>
      <c r="N377" s="8">
        <v>0</v>
      </c>
      <c r="O377" s="8">
        <v>522.29999999999995</v>
      </c>
      <c r="P377" s="8">
        <v>26.11</v>
      </c>
      <c r="Q377" s="10">
        <v>10</v>
      </c>
      <c r="R377" s="10">
        <v>10</v>
      </c>
      <c r="S377" s="8">
        <v>568.41</v>
      </c>
      <c r="T377">
        <v>16</v>
      </c>
      <c r="U377" t="str">
        <f t="shared" si="5"/>
        <v>Monday</v>
      </c>
    </row>
    <row r="378" spans="1:21" x14ac:dyDescent="0.3">
      <c r="A378" s="5" t="s">
        <v>1475</v>
      </c>
      <c r="B378" s="3" t="s">
        <v>3700</v>
      </c>
      <c r="C378" s="5" t="s">
        <v>426</v>
      </c>
      <c r="D378" s="5" t="s">
        <v>21</v>
      </c>
      <c r="E378" s="5" t="s">
        <v>112</v>
      </c>
      <c r="F378" s="5" t="s">
        <v>23</v>
      </c>
      <c r="G378" t="s">
        <v>1476</v>
      </c>
      <c r="H378" s="5" t="s">
        <v>3674</v>
      </c>
      <c r="I378" s="5" t="s">
        <v>922</v>
      </c>
      <c r="J378" s="5" t="s">
        <v>923</v>
      </c>
      <c r="K378" s="5" t="s">
        <v>45</v>
      </c>
      <c r="L378">
        <v>5</v>
      </c>
      <c r="M378">
        <v>109.83</v>
      </c>
      <c r="N378" s="8">
        <v>16.47</v>
      </c>
      <c r="O378" s="8">
        <v>532.67999999999995</v>
      </c>
      <c r="P378" s="8">
        <v>26.63</v>
      </c>
      <c r="Q378" s="10">
        <v>20</v>
      </c>
      <c r="R378" s="10">
        <v>0</v>
      </c>
      <c r="S378" s="8">
        <v>579.30999999999995</v>
      </c>
      <c r="T378">
        <v>26</v>
      </c>
      <c r="U378" t="str">
        <f t="shared" si="5"/>
        <v>Saturday</v>
      </c>
    </row>
    <row r="379" spans="1:21" x14ac:dyDescent="0.3">
      <c r="A379" s="5" t="s">
        <v>1477</v>
      </c>
      <c r="B379" s="3" t="s">
        <v>3721</v>
      </c>
      <c r="C379" s="5" t="s">
        <v>430</v>
      </c>
      <c r="D379" s="5" t="s">
        <v>21</v>
      </c>
      <c r="E379" s="5" t="s">
        <v>112</v>
      </c>
      <c r="F379" s="5" t="s">
        <v>42</v>
      </c>
      <c r="G379" t="s">
        <v>1478</v>
      </c>
      <c r="H379" s="5" t="s">
        <v>3677</v>
      </c>
      <c r="I379" s="5" t="s">
        <v>927</v>
      </c>
      <c r="J379" s="5" t="s">
        <v>928</v>
      </c>
      <c r="K379" s="5" t="s">
        <v>22</v>
      </c>
      <c r="L379">
        <v>3</v>
      </c>
      <c r="M379">
        <v>183.6</v>
      </c>
      <c r="N379" s="8">
        <v>18.36</v>
      </c>
      <c r="O379" s="8">
        <v>532.43999999999994</v>
      </c>
      <c r="P379" s="8">
        <v>26.62</v>
      </c>
      <c r="Q379" s="10">
        <v>20</v>
      </c>
      <c r="R379" s="10">
        <v>0</v>
      </c>
      <c r="S379" s="8">
        <v>579.05999999999995</v>
      </c>
      <c r="T379">
        <v>23</v>
      </c>
      <c r="U379" t="str">
        <f t="shared" si="5"/>
        <v>Tuesday</v>
      </c>
    </row>
    <row r="380" spans="1:21" x14ac:dyDescent="0.3">
      <c r="A380" s="5" t="s">
        <v>1479</v>
      </c>
      <c r="B380" s="3" t="s">
        <v>3700</v>
      </c>
      <c r="C380" s="5" t="s">
        <v>435</v>
      </c>
      <c r="D380" s="5" t="s">
        <v>21</v>
      </c>
      <c r="E380" s="5" t="s">
        <v>22</v>
      </c>
      <c r="F380" s="5" t="s">
        <v>23</v>
      </c>
      <c r="G380" t="s">
        <v>1480</v>
      </c>
      <c r="H380" s="5" t="s">
        <v>3676</v>
      </c>
      <c r="I380" s="5" t="s">
        <v>932</v>
      </c>
      <c r="J380" s="5" t="s">
        <v>933</v>
      </c>
      <c r="K380" s="5" t="s">
        <v>56</v>
      </c>
      <c r="L380">
        <v>4</v>
      </c>
      <c r="M380">
        <v>156.19999999999999</v>
      </c>
      <c r="N380" s="8">
        <v>0</v>
      </c>
      <c r="O380" s="8">
        <v>624.79999999999995</v>
      </c>
      <c r="P380" s="8">
        <v>31.24</v>
      </c>
      <c r="Q380" s="10">
        <v>0</v>
      </c>
      <c r="R380" s="10">
        <v>20</v>
      </c>
      <c r="S380" s="8">
        <v>676.04</v>
      </c>
      <c r="T380">
        <v>23</v>
      </c>
      <c r="U380" t="str">
        <f t="shared" si="5"/>
        <v>Saturday</v>
      </c>
    </row>
    <row r="381" spans="1:21" x14ac:dyDescent="0.3">
      <c r="A381" s="5" t="s">
        <v>1481</v>
      </c>
      <c r="B381" s="3" t="s">
        <v>3725</v>
      </c>
      <c r="C381" s="5" t="s">
        <v>440</v>
      </c>
      <c r="D381" s="5" t="s">
        <v>21</v>
      </c>
      <c r="E381" s="5" t="s">
        <v>69</v>
      </c>
      <c r="F381" s="5" t="s">
        <v>23</v>
      </c>
      <c r="H381" s="5" t="s">
        <v>3675</v>
      </c>
      <c r="I381" s="5" t="s">
        <v>937</v>
      </c>
      <c r="J381" s="5" t="s">
        <v>938</v>
      </c>
      <c r="K381" s="5" t="s">
        <v>40</v>
      </c>
      <c r="L381">
        <v>4</v>
      </c>
      <c r="M381">
        <v>126.65</v>
      </c>
      <c r="N381" s="8">
        <v>6.33</v>
      </c>
      <c r="O381" s="8">
        <v>500.27</v>
      </c>
      <c r="P381" s="8">
        <v>25.01</v>
      </c>
      <c r="Q381" s="10">
        <v>20</v>
      </c>
      <c r="R381" s="10">
        <v>5</v>
      </c>
      <c r="S381" s="8">
        <v>550.28000000000009</v>
      </c>
      <c r="T381">
        <v>30</v>
      </c>
      <c r="U381" t="str">
        <f t="shared" si="5"/>
        <v>Wednesday</v>
      </c>
    </row>
    <row r="382" spans="1:21" x14ac:dyDescent="0.3">
      <c r="A382" s="5" t="s">
        <v>1482</v>
      </c>
      <c r="B382" s="3" t="s">
        <v>3715</v>
      </c>
      <c r="C382" s="5" t="s">
        <v>445</v>
      </c>
      <c r="D382" s="5" t="s">
        <v>106</v>
      </c>
      <c r="E382" s="5" t="s">
        <v>83</v>
      </c>
      <c r="F382" s="5" t="s">
        <v>23</v>
      </c>
      <c r="G382" t="s">
        <v>1483</v>
      </c>
      <c r="H382" s="5" t="s">
        <v>3673</v>
      </c>
      <c r="I382" s="5" t="s">
        <v>942</v>
      </c>
      <c r="J382" s="5" t="s">
        <v>943</v>
      </c>
      <c r="K382" s="5" t="s">
        <v>45</v>
      </c>
      <c r="L382">
        <v>1</v>
      </c>
      <c r="M382">
        <v>131.49</v>
      </c>
      <c r="N382" s="8">
        <v>0</v>
      </c>
      <c r="O382" s="8">
        <v>131.49</v>
      </c>
      <c r="P382" s="8">
        <v>6.57</v>
      </c>
      <c r="Q382" s="10">
        <v>0</v>
      </c>
      <c r="R382" s="10">
        <v>0</v>
      </c>
      <c r="S382" s="8">
        <v>138.06</v>
      </c>
      <c r="T382">
        <v>25</v>
      </c>
      <c r="U382" t="str">
        <f t="shared" si="5"/>
        <v>Saturday</v>
      </c>
    </row>
    <row r="383" spans="1:21" x14ac:dyDescent="0.3">
      <c r="A383" s="5" t="s">
        <v>1484</v>
      </c>
      <c r="B383" s="3" t="s">
        <v>3737</v>
      </c>
      <c r="C383" s="5" t="s">
        <v>450</v>
      </c>
      <c r="D383" s="5" t="s">
        <v>21</v>
      </c>
      <c r="E383" s="5" t="s">
        <v>69</v>
      </c>
      <c r="F383" s="5" t="s">
        <v>42</v>
      </c>
      <c r="G383" t="s">
        <v>1485</v>
      </c>
      <c r="H383" s="5" t="s">
        <v>3675</v>
      </c>
      <c r="I383" s="5" t="s">
        <v>947</v>
      </c>
      <c r="J383" s="5" t="s">
        <v>948</v>
      </c>
      <c r="K383" s="5" t="s">
        <v>34</v>
      </c>
      <c r="L383">
        <v>3</v>
      </c>
      <c r="M383">
        <v>131.84</v>
      </c>
      <c r="N383" s="8">
        <v>0</v>
      </c>
      <c r="O383" s="8">
        <v>395.52</v>
      </c>
      <c r="P383" s="8">
        <v>19.78</v>
      </c>
      <c r="Q383" s="10">
        <v>30</v>
      </c>
      <c r="R383" s="10">
        <v>10</v>
      </c>
      <c r="S383" s="8">
        <v>455.3</v>
      </c>
      <c r="T383">
        <v>23</v>
      </c>
      <c r="U383" t="str">
        <f t="shared" si="5"/>
        <v>Saturday</v>
      </c>
    </row>
    <row r="384" spans="1:21" x14ac:dyDescent="0.3">
      <c r="A384" s="5" t="s">
        <v>1486</v>
      </c>
      <c r="B384" s="3" t="s">
        <v>3715</v>
      </c>
      <c r="C384" s="5" t="s">
        <v>455</v>
      </c>
      <c r="D384" s="5" t="s">
        <v>106</v>
      </c>
      <c r="E384" s="5" t="s">
        <v>83</v>
      </c>
      <c r="F384" s="5" t="s">
        <v>42</v>
      </c>
      <c r="G384" t="s">
        <v>1487</v>
      </c>
      <c r="H384" s="5" t="s">
        <v>3677</v>
      </c>
      <c r="I384" s="5" t="s">
        <v>952</v>
      </c>
      <c r="J384" s="5" t="s">
        <v>953</v>
      </c>
      <c r="K384" s="5" t="s">
        <v>196</v>
      </c>
      <c r="L384">
        <v>1</v>
      </c>
      <c r="M384">
        <v>93.71</v>
      </c>
      <c r="N384" s="8">
        <v>9.3699999999999992</v>
      </c>
      <c r="O384" s="8">
        <v>84.339999999999989</v>
      </c>
      <c r="P384" s="8">
        <v>4.22</v>
      </c>
      <c r="Q384" s="10">
        <v>30</v>
      </c>
      <c r="R384" s="10">
        <v>20</v>
      </c>
      <c r="S384" s="8">
        <v>138.56</v>
      </c>
      <c r="T384">
        <v>24.67</v>
      </c>
      <c r="U384" t="str">
        <f t="shared" si="5"/>
        <v>Saturday</v>
      </c>
    </row>
    <row r="385" spans="1:21" x14ac:dyDescent="0.3">
      <c r="A385" s="5" t="s">
        <v>1488</v>
      </c>
      <c r="B385" s="3" t="s">
        <v>3693</v>
      </c>
      <c r="C385" s="5" t="s">
        <v>459</v>
      </c>
      <c r="D385" s="5" t="s">
        <v>21</v>
      </c>
      <c r="E385" s="5" t="s">
        <v>69</v>
      </c>
      <c r="F385" s="5" t="s">
        <v>23</v>
      </c>
      <c r="G385" t="s">
        <v>1489</v>
      </c>
      <c r="H385" s="5" t="s">
        <v>3677</v>
      </c>
      <c r="I385" s="5" t="s">
        <v>957</v>
      </c>
      <c r="J385" s="5" t="s">
        <v>958</v>
      </c>
      <c r="K385" s="5" t="s">
        <v>22</v>
      </c>
      <c r="L385">
        <v>3</v>
      </c>
      <c r="M385">
        <v>120.03</v>
      </c>
      <c r="N385" s="8">
        <v>0</v>
      </c>
      <c r="O385" s="8">
        <v>360.09</v>
      </c>
      <c r="P385" s="8">
        <v>18</v>
      </c>
      <c r="Q385" s="10">
        <v>30</v>
      </c>
      <c r="R385" s="10">
        <v>5</v>
      </c>
      <c r="S385" s="8">
        <v>413.09</v>
      </c>
      <c r="T385">
        <v>31</v>
      </c>
      <c r="U385" t="str">
        <f t="shared" si="5"/>
        <v>Thursday</v>
      </c>
    </row>
    <row r="386" spans="1:21" x14ac:dyDescent="0.3">
      <c r="A386" s="5" t="s">
        <v>1490</v>
      </c>
      <c r="B386" s="3" t="s">
        <v>3724</v>
      </c>
      <c r="C386" s="5" t="s">
        <v>463</v>
      </c>
      <c r="D386" s="5" t="s">
        <v>21</v>
      </c>
      <c r="E386" s="5" t="s">
        <v>36</v>
      </c>
      <c r="F386" s="5" t="s">
        <v>42</v>
      </c>
      <c r="G386" t="s">
        <v>1491</v>
      </c>
      <c r="H386" s="5" t="s">
        <v>3673</v>
      </c>
      <c r="I386" s="5" t="s">
        <v>962</v>
      </c>
      <c r="J386" s="5" t="s">
        <v>963</v>
      </c>
      <c r="K386" s="5" t="s">
        <v>28</v>
      </c>
      <c r="L386">
        <v>1</v>
      </c>
      <c r="M386">
        <v>107.43</v>
      </c>
      <c r="N386" s="8">
        <v>5.37</v>
      </c>
      <c r="O386" s="8">
        <v>102.06</v>
      </c>
      <c r="P386" s="8">
        <v>5.0999999999999996</v>
      </c>
      <c r="Q386" s="10">
        <v>30</v>
      </c>
      <c r="R386" s="10">
        <v>20</v>
      </c>
      <c r="S386" s="8">
        <v>157.16</v>
      </c>
      <c r="T386">
        <v>19</v>
      </c>
      <c r="U386" t="str">
        <f t="shared" si="5"/>
        <v>Sunday</v>
      </c>
    </row>
    <row r="387" spans="1:21" x14ac:dyDescent="0.3">
      <c r="A387" s="5" t="s">
        <v>1492</v>
      </c>
      <c r="B387" s="3" t="s">
        <v>3721</v>
      </c>
      <c r="C387" s="5" t="s">
        <v>468</v>
      </c>
      <c r="D387" s="5" t="s">
        <v>21</v>
      </c>
      <c r="E387" s="5" t="s">
        <v>112</v>
      </c>
      <c r="F387" s="5" t="s">
        <v>37</v>
      </c>
      <c r="G387" t="s">
        <v>1493</v>
      </c>
      <c r="H387" s="5" t="s">
        <v>3675</v>
      </c>
      <c r="I387" s="5" t="s">
        <v>967</v>
      </c>
      <c r="J387" s="5" t="s">
        <v>968</v>
      </c>
      <c r="K387" s="5" t="s">
        <v>40</v>
      </c>
      <c r="L387">
        <v>2</v>
      </c>
      <c r="M387">
        <v>9.8800000000000008</v>
      </c>
      <c r="N387" s="8">
        <v>0.49</v>
      </c>
      <c r="O387" s="8">
        <v>19.27</v>
      </c>
      <c r="P387" s="8">
        <v>0.96</v>
      </c>
      <c r="Q387" s="10">
        <v>0</v>
      </c>
      <c r="R387" s="10">
        <v>20</v>
      </c>
      <c r="S387" s="8">
        <v>40.229999999999997</v>
      </c>
      <c r="T387">
        <v>38</v>
      </c>
      <c r="U387" t="str">
        <f t="shared" ref="U387:U450" si="6">TEXT(B387,"dddd")</f>
        <v>Tuesday</v>
      </c>
    </row>
    <row r="388" spans="1:21" x14ac:dyDescent="0.3">
      <c r="A388" s="5" t="s">
        <v>1494</v>
      </c>
      <c r="B388" s="3" t="s">
        <v>3706</v>
      </c>
      <c r="C388" s="5" t="s">
        <v>473</v>
      </c>
      <c r="D388" s="5" t="s">
        <v>21</v>
      </c>
      <c r="E388" s="5" t="s">
        <v>76</v>
      </c>
      <c r="F388" s="5" t="s">
        <v>37</v>
      </c>
      <c r="G388" t="s">
        <v>1495</v>
      </c>
      <c r="H388" s="5" t="s">
        <v>3676</v>
      </c>
      <c r="I388" s="5" t="s">
        <v>972</v>
      </c>
      <c r="J388" s="5" t="s">
        <v>973</v>
      </c>
      <c r="K388" s="5" t="s">
        <v>73</v>
      </c>
      <c r="L388">
        <v>4</v>
      </c>
      <c r="M388">
        <v>100.48</v>
      </c>
      <c r="N388" s="8">
        <v>10.050000000000001</v>
      </c>
      <c r="O388" s="8">
        <v>391.87</v>
      </c>
      <c r="P388" s="8">
        <v>19.59</v>
      </c>
      <c r="Q388" s="10">
        <v>10</v>
      </c>
      <c r="R388" s="10">
        <v>10</v>
      </c>
      <c r="S388" s="8">
        <v>431.46</v>
      </c>
      <c r="T388">
        <v>22</v>
      </c>
      <c r="U388" t="str">
        <f t="shared" si="6"/>
        <v>Thursday</v>
      </c>
    </row>
    <row r="389" spans="1:21" x14ac:dyDescent="0.3">
      <c r="A389" s="5" t="s">
        <v>1496</v>
      </c>
      <c r="B389" s="3" t="s">
        <v>3731</v>
      </c>
      <c r="C389" s="5" t="s">
        <v>478</v>
      </c>
      <c r="D389" s="5" t="s">
        <v>21</v>
      </c>
      <c r="E389" s="5" t="s">
        <v>22</v>
      </c>
      <c r="F389" s="5" t="s">
        <v>23</v>
      </c>
      <c r="G389" t="s">
        <v>1497</v>
      </c>
      <c r="H389" s="5" t="s">
        <v>3673</v>
      </c>
      <c r="I389" s="5" t="s">
        <v>977</v>
      </c>
      <c r="J389" s="5" t="s">
        <v>978</v>
      </c>
      <c r="K389" s="5" t="s">
        <v>45</v>
      </c>
      <c r="L389">
        <v>3</v>
      </c>
      <c r="M389">
        <v>160.37</v>
      </c>
      <c r="N389" s="8">
        <v>16.04</v>
      </c>
      <c r="O389" s="8">
        <v>465.07</v>
      </c>
      <c r="P389" s="8">
        <v>23.25</v>
      </c>
      <c r="Q389" s="10">
        <v>0</v>
      </c>
      <c r="R389" s="10">
        <v>5</v>
      </c>
      <c r="S389" s="8">
        <v>493.32</v>
      </c>
      <c r="T389">
        <v>23</v>
      </c>
      <c r="U389" t="str">
        <f t="shared" si="6"/>
        <v>Monday</v>
      </c>
    </row>
    <row r="390" spans="1:21" x14ac:dyDescent="0.3">
      <c r="A390" s="5" t="s">
        <v>1498</v>
      </c>
      <c r="B390" s="3" t="s">
        <v>3689</v>
      </c>
      <c r="C390" s="5" t="s">
        <v>483</v>
      </c>
      <c r="D390" s="5" t="s">
        <v>21</v>
      </c>
      <c r="E390" s="5" t="s">
        <v>36</v>
      </c>
      <c r="F390" s="5" t="s">
        <v>42</v>
      </c>
      <c r="G390" t="s">
        <v>1499</v>
      </c>
      <c r="H390" s="5" t="s">
        <v>25</v>
      </c>
      <c r="I390" s="5" t="s">
        <v>982</v>
      </c>
      <c r="J390" s="5" t="s">
        <v>983</v>
      </c>
      <c r="K390" s="5" t="s">
        <v>73</v>
      </c>
      <c r="L390">
        <v>3</v>
      </c>
      <c r="M390">
        <v>99.61</v>
      </c>
      <c r="N390" s="8">
        <v>14.94</v>
      </c>
      <c r="O390" s="8">
        <v>283.89</v>
      </c>
      <c r="P390" s="8">
        <v>14.19</v>
      </c>
      <c r="Q390" s="10">
        <v>10</v>
      </c>
      <c r="R390" s="10">
        <v>20</v>
      </c>
      <c r="S390" s="8">
        <v>328.08</v>
      </c>
      <c r="T390">
        <v>24.67</v>
      </c>
      <c r="U390" t="str">
        <f t="shared" si="6"/>
        <v>Wednesday</v>
      </c>
    </row>
    <row r="391" spans="1:21" x14ac:dyDescent="0.3">
      <c r="A391" s="5" t="s">
        <v>1500</v>
      </c>
      <c r="B391" s="3" t="s">
        <v>3698</v>
      </c>
      <c r="C391" s="5" t="s">
        <v>488</v>
      </c>
      <c r="D391" s="5" t="s">
        <v>21</v>
      </c>
      <c r="E391" s="5" t="s">
        <v>22</v>
      </c>
      <c r="F391" s="5" t="s">
        <v>42</v>
      </c>
      <c r="G391" t="s">
        <v>1501</v>
      </c>
      <c r="H391" s="5" t="s">
        <v>3673</v>
      </c>
      <c r="I391" s="5" t="s">
        <v>987</v>
      </c>
      <c r="J391" s="5" t="s">
        <v>988</v>
      </c>
      <c r="K391" s="5" t="s">
        <v>28</v>
      </c>
      <c r="L391">
        <v>2</v>
      </c>
      <c r="M391">
        <v>156.19</v>
      </c>
      <c r="N391" s="8">
        <v>0</v>
      </c>
      <c r="O391" s="8">
        <v>312.38</v>
      </c>
      <c r="P391" s="8">
        <v>15.62</v>
      </c>
      <c r="Q391" s="10">
        <v>20</v>
      </c>
      <c r="R391" s="10">
        <v>20</v>
      </c>
      <c r="S391" s="8">
        <v>368</v>
      </c>
      <c r="T391">
        <v>35</v>
      </c>
      <c r="U391" t="str">
        <f t="shared" si="6"/>
        <v>Sunday</v>
      </c>
    </row>
    <row r="392" spans="1:21" x14ac:dyDescent="0.3">
      <c r="A392" s="5" t="s">
        <v>1502</v>
      </c>
      <c r="B392" s="3" t="s">
        <v>3716</v>
      </c>
      <c r="C392" s="5" t="s">
        <v>493</v>
      </c>
      <c r="D392" s="5" t="s">
        <v>21</v>
      </c>
      <c r="E392" s="5" t="s">
        <v>112</v>
      </c>
      <c r="F392" s="5" t="s">
        <v>23</v>
      </c>
      <c r="G392" t="s">
        <v>1503</v>
      </c>
      <c r="H392" s="5" t="s">
        <v>3675</v>
      </c>
      <c r="I392" s="5" t="s">
        <v>992</v>
      </c>
      <c r="J392" s="5" t="s">
        <v>993</v>
      </c>
      <c r="K392" s="5" t="s">
        <v>196</v>
      </c>
      <c r="L392">
        <v>4</v>
      </c>
      <c r="M392">
        <v>15.37</v>
      </c>
      <c r="N392" s="8">
        <v>0</v>
      </c>
      <c r="O392" s="8">
        <v>61.48</v>
      </c>
      <c r="P392" s="8">
        <v>3.07</v>
      </c>
      <c r="Q392" s="10">
        <v>0</v>
      </c>
      <c r="R392" s="10">
        <v>10</v>
      </c>
      <c r="S392" s="8">
        <v>74.55</v>
      </c>
      <c r="T392">
        <v>24.67</v>
      </c>
      <c r="U392" t="str">
        <f t="shared" si="6"/>
        <v>Saturday</v>
      </c>
    </row>
    <row r="393" spans="1:21" x14ac:dyDescent="0.3">
      <c r="A393" s="5" t="s">
        <v>1504</v>
      </c>
      <c r="B393" s="3" t="s">
        <v>3698</v>
      </c>
      <c r="C393" s="5" t="s">
        <v>498</v>
      </c>
      <c r="D393" s="5" t="s">
        <v>106</v>
      </c>
      <c r="E393" s="5" t="s">
        <v>83</v>
      </c>
      <c r="F393" s="5" t="s">
        <v>42</v>
      </c>
      <c r="G393" t="s">
        <v>1505</v>
      </c>
      <c r="H393" s="5" t="s">
        <v>3676</v>
      </c>
      <c r="I393" s="5" t="s">
        <v>997</v>
      </c>
      <c r="J393" s="5" t="s">
        <v>998</v>
      </c>
      <c r="K393" s="5" t="s">
        <v>196</v>
      </c>
      <c r="L393">
        <v>3</v>
      </c>
      <c r="M393">
        <v>106.28</v>
      </c>
      <c r="N393" s="8">
        <v>0</v>
      </c>
      <c r="O393" s="8">
        <v>318.83999999999997</v>
      </c>
      <c r="P393" s="8">
        <v>15.94</v>
      </c>
      <c r="Q393" s="10">
        <v>10</v>
      </c>
      <c r="R393" s="10">
        <v>5</v>
      </c>
      <c r="S393" s="8">
        <v>349.78</v>
      </c>
      <c r="T393">
        <v>15</v>
      </c>
      <c r="U393" t="str">
        <f t="shared" si="6"/>
        <v>Sunday</v>
      </c>
    </row>
    <row r="394" spans="1:21" x14ac:dyDescent="0.3">
      <c r="A394" s="5" t="s">
        <v>1506</v>
      </c>
      <c r="B394" s="3" t="s">
        <v>3717</v>
      </c>
      <c r="C394" s="5" t="s">
        <v>503</v>
      </c>
      <c r="D394" s="5" t="s">
        <v>21</v>
      </c>
      <c r="E394" s="5" t="s">
        <v>69</v>
      </c>
      <c r="F394" s="5" t="s">
        <v>23</v>
      </c>
      <c r="G394" t="s">
        <v>1507</v>
      </c>
      <c r="H394" s="5" t="s">
        <v>3674</v>
      </c>
      <c r="I394" s="5" t="s">
        <v>1002</v>
      </c>
      <c r="J394" s="5" t="s">
        <v>1003</v>
      </c>
      <c r="K394" s="5" t="s">
        <v>145</v>
      </c>
      <c r="L394">
        <v>7</v>
      </c>
      <c r="M394">
        <v>167.08</v>
      </c>
      <c r="N394" s="8">
        <v>8.35</v>
      </c>
      <c r="O394" s="8">
        <v>1161.21</v>
      </c>
      <c r="P394" s="8">
        <v>58.06</v>
      </c>
      <c r="Q394" s="10">
        <v>10</v>
      </c>
      <c r="R394" s="10">
        <v>5</v>
      </c>
      <c r="S394" s="8">
        <v>1234.27</v>
      </c>
      <c r="T394">
        <v>31</v>
      </c>
      <c r="U394" t="str">
        <f t="shared" si="6"/>
        <v>Tuesday</v>
      </c>
    </row>
    <row r="395" spans="1:21" x14ac:dyDescent="0.3">
      <c r="A395" s="5" t="s">
        <v>1508</v>
      </c>
      <c r="B395" s="3" t="s">
        <v>3682</v>
      </c>
      <c r="C395" s="5" t="s">
        <v>508</v>
      </c>
      <c r="D395" s="5" t="s">
        <v>21</v>
      </c>
      <c r="E395" s="5" t="s">
        <v>69</v>
      </c>
      <c r="F395" s="5" t="s">
        <v>37</v>
      </c>
      <c r="G395" t="s">
        <v>1509</v>
      </c>
      <c r="H395" s="5" t="s">
        <v>25</v>
      </c>
      <c r="I395" s="5" t="s">
        <v>1007</v>
      </c>
      <c r="J395" s="5" t="s">
        <v>1008</v>
      </c>
      <c r="K395" s="5" t="s">
        <v>28</v>
      </c>
      <c r="L395">
        <v>3</v>
      </c>
      <c r="M395">
        <v>241.07</v>
      </c>
      <c r="N395" s="8">
        <v>24.11</v>
      </c>
      <c r="O395" s="8">
        <v>699.1</v>
      </c>
      <c r="P395" s="8">
        <v>34.96</v>
      </c>
      <c r="Q395" s="10">
        <v>30</v>
      </c>
      <c r="R395" s="10">
        <v>15</v>
      </c>
      <c r="S395" s="8">
        <v>779.06000000000006</v>
      </c>
      <c r="T395">
        <v>24.67</v>
      </c>
      <c r="U395" t="str">
        <f t="shared" si="6"/>
        <v>Tuesday</v>
      </c>
    </row>
    <row r="396" spans="1:21" x14ac:dyDescent="0.3">
      <c r="A396" s="5" t="s">
        <v>1510</v>
      </c>
      <c r="B396" s="3" t="s">
        <v>3729</v>
      </c>
      <c r="C396" s="5" t="s">
        <v>513</v>
      </c>
      <c r="D396" s="5" t="s">
        <v>21</v>
      </c>
      <c r="E396" s="5" t="s">
        <v>76</v>
      </c>
      <c r="F396" s="5" t="s">
        <v>37</v>
      </c>
      <c r="G396" t="s">
        <v>1511</v>
      </c>
      <c r="H396" s="5" t="s">
        <v>3673</v>
      </c>
      <c r="I396" s="5" t="s">
        <v>1012</v>
      </c>
      <c r="J396" s="5" t="s">
        <v>1013</v>
      </c>
      <c r="K396" s="5" t="s">
        <v>40</v>
      </c>
      <c r="L396">
        <v>3</v>
      </c>
      <c r="M396">
        <v>162.91999999999999</v>
      </c>
      <c r="N396" s="8">
        <v>16.29</v>
      </c>
      <c r="O396" s="8">
        <v>472.47</v>
      </c>
      <c r="P396" s="8">
        <v>23.62</v>
      </c>
      <c r="Q396" s="10">
        <v>30</v>
      </c>
      <c r="R396" s="10">
        <v>15</v>
      </c>
      <c r="S396" s="8">
        <v>541.08999999999992</v>
      </c>
      <c r="T396">
        <v>32</v>
      </c>
      <c r="U396" t="str">
        <f t="shared" si="6"/>
        <v>Monday</v>
      </c>
    </row>
    <row r="397" spans="1:21" x14ac:dyDescent="0.3">
      <c r="A397" s="5" t="s">
        <v>1512</v>
      </c>
      <c r="B397" s="3" t="s">
        <v>3720</v>
      </c>
      <c r="C397" s="5" t="s">
        <v>518</v>
      </c>
      <c r="D397" s="5" t="s">
        <v>21</v>
      </c>
      <c r="E397" s="5" t="s">
        <v>36</v>
      </c>
      <c r="F397" s="5" t="s">
        <v>37</v>
      </c>
      <c r="G397" t="s">
        <v>1513</v>
      </c>
      <c r="H397" s="5" t="s">
        <v>3676</v>
      </c>
      <c r="I397" s="5" t="s">
        <v>1017</v>
      </c>
      <c r="J397" s="5" t="s">
        <v>1018</v>
      </c>
      <c r="K397" s="5" t="s">
        <v>196</v>
      </c>
      <c r="L397">
        <v>2</v>
      </c>
      <c r="M397">
        <v>131.53</v>
      </c>
      <c r="N397" s="8">
        <v>0</v>
      </c>
      <c r="O397" s="8">
        <v>263.06</v>
      </c>
      <c r="P397" s="8">
        <v>13.15</v>
      </c>
      <c r="Q397" s="10">
        <v>10</v>
      </c>
      <c r="R397" s="10">
        <v>10</v>
      </c>
      <c r="S397" s="8">
        <v>296.20999999999998</v>
      </c>
      <c r="T397">
        <v>24.67</v>
      </c>
      <c r="U397" t="str">
        <f t="shared" si="6"/>
        <v>Monday</v>
      </c>
    </row>
    <row r="398" spans="1:21" x14ac:dyDescent="0.3">
      <c r="A398" s="5" t="s">
        <v>1514</v>
      </c>
      <c r="B398" s="3" t="s">
        <v>3736</v>
      </c>
      <c r="C398" s="5" t="s">
        <v>523</v>
      </c>
      <c r="D398" s="5" t="s">
        <v>21</v>
      </c>
      <c r="E398" s="5" t="s">
        <v>36</v>
      </c>
      <c r="F398" s="5" t="s">
        <v>42</v>
      </c>
      <c r="G398" t="s">
        <v>1515</v>
      </c>
      <c r="H398" s="5" t="s">
        <v>3673</v>
      </c>
      <c r="I398" s="5" t="s">
        <v>1022</v>
      </c>
      <c r="J398" s="5" t="s">
        <v>1023</v>
      </c>
      <c r="K398" s="5" t="s">
        <v>73</v>
      </c>
      <c r="L398">
        <v>3</v>
      </c>
      <c r="M398">
        <v>212.94</v>
      </c>
      <c r="N398" s="8">
        <v>0</v>
      </c>
      <c r="O398" s="8">
        <v>638.81999999999994</v>
      </c>
      <c r="P398" s="8">
        <v>31.94</v>
      </c>
      <c r="Q398" s="10">
        <v>10</v>
      </c>
      <c r="R398" s="10">
        <v>20</v>
      </c>
      <c r="S398" s="8">
        <v>700.76</v>
      </c>
      <c r="T398">
        <v>34</v>
      </c>
      <c r="U398" t="str">
        <f t="shared" si="6"/>
        <v>Tuesday</v>
      </c>
    </row>
    <row r="399" spans="1:21" x14ac:dyDescent="0.3">
      <c r="A399" s="5" t="s">
        <v>1516</v>
      </c>
      <c r="B399" s="3" t="s">
        <v>3681</v>
      </c>
      <c r="C399" s="5" t="s">
        <v>528</v>
      </c>
      <c r="D399" s="5" t="s">
        <v>21</v>
      </c>
      <c r="E399" s="5" t="s">
        <v>36</v>
      </c>
      <c r="F399" s="5" t="s">
        <v>37</v>
      </c>
      <c r="G399" t="s">
        <v>1517</v>
      </c>
      <c r="H399" s="5" t="s">
        <v>3676</v>
      </c>
      <c r="I399" s="5" t="s">
        <v>1027</v>
      </c>
      <c r="J399" s="5" t="s">
        <v>1028</v>
      </c>
      <c r="K399" s="5" t="s">
        <v>56</v>
      </c>
      <c r="L399">
        <v>6</v>
      </c>
      <c r="M399">
        <v>129.88999999999999</v>
      </c>
      <c r="N399" s="8">
        <v>19.48</v>
      </c>
      <c r="O399" s="8">
        <v>759.8599999999999</v>
      </c>
      <c r="P399" s="8">
        <v>37.99</v>
      </c>
      <c r="Q399" s="10">
        <v>30</v>
      </c>
      <c r="R399" s="10">
        <v>20</v>
      </c>
      <c r="S399" s="8">
        <v>847.84999999999991</v>
      </c>
      <c r="T399">
        <v>25</v>
      </c>
      <c r="U399" t="str">
        <f t="shared" si="6"/>
        <v>Wednesday</v>
      </c>
    </row>
    <row r="400" spans="1:21" x14ac:dyDescent="0.3">
      <c r="A400" s="5" t="s">
        <v>1518</v>
      </c>
      <c r="B400" s="3" t="s">
        <v>3713</v>
      </c>
      <c r="C400" s="5" t="s">
        <v>533</v>
      </c>
      <c r="D400" s="5" t="s">
        <v>21</v>
      </c>
      <c r="E400" s="5" t="s">
        <v>69</v>
      </c>
      <c r="F400" s="5" t="s">
        <v>23</v>
      </c>
      <c r="H400" s="5" t="s">
        <v>3674</v>
      </c>
      <c r="I400" s="5" t="s">
        <v>26</v>
      </c>
      <c r="J400" s="5" t="s">
        <v>27</v>
      </c>
      <c r="K400" s="5" t="s">
        <v>103</v>
      </c>
      <c r="L400">
        <v>4</v>
      </c>
      <c r="M400">
        <v>160.62</v>
      </c>
      <c r="N400" s="8">
        <v>16.059999999999999</v>
      </c>
      <c r="O400" s="8">
        <v>626.42000000000007</v>
      </c>
      <c r="P400" s="8">
        <v>31.32</v>
      </c>
      <c r="Q400" s="10">
        <v>30</v>
      </c>
      <c r="R400" s="10">
        <v>10</v>
      </c>
      <c r="S400" s="8">
        <v>697.74000000000012</v>
      </c>
      <c r="T400">
        <v>20</v>
      </c>
      <c r="U400" t="str">
        <f t="shared" si="6"/>
        <v>Tuesday</v>
      </c>
    </row>
    <row r="401" spans="1:21" x14ac:dyDescent="0.3">
      <c r="A401" s="5" t="s">
        <v>1519</v>
      </c>
      <c r="B401" s="3" t="s">
        <v>3691</v>
      </c>
      <c r="C401" s="5" t="s">
        <v>538</v>
      </c>
      <c r="D401" s="5" t="s">
        <v>82</v>
      </c>
      <c r="E401" s="5" t="s">
        <v>83</v>
      </c>
      <c r="F401" s="5" t="s">
        <v>23</v>
      </c>
      <c r="G401" t="s">
        <v>1520</v>
      </c>
      <c r="H401" s="5" t="s">
        <v>100</v>
      </c>
      <c r="I401" s="5" t="s">
        <v>32</v>
      </c>
      <c r="J401" s="5" t="s">
        <v>33</v>
      </c>
      <c r="K401" s="5" t="s">
        <v>40</v>
      </c>
      <c r="L401">
        <v>2</v>
      </c>
      <c r="M401">
        <v>137.87</v>
      </c>
      <c r="N401" s="8">
        <v>0</v>
      </c>
      <c r="O401" s="8">
        <v>275.74</v>
      </c>
      <c r="P401" s="8">
        <v>13.79</v>
      </c>
      <c r="Q401" s="10">
        <v>0</v>
      </c>
      <c r="R401" s="10">
        <v>15</v>
      </c>
      <c r="S401" s="8">
        <v>304.52999999999997</v>
      </c>
      <c r="T401">
        <v>24.67</v>
      </c>
      <c r="U401" t="str">
        <f t="shared" si="6"/>
        <v>Friday</v>
      </c>
    </row>
    <row r="402" spans="1:21" x14ac:dyDescent="0.3">
      <c r="A402" s="5" t="s">
        <v>1521</v>
      </c>
      <c r="B402" s="3" t="s">
        <v>3722</v>
      </c>
      <c r="C402" s="5" t="s">
        <v>542</v>
      </c>
      <c r="D402" s="5" t="s">
        <v>106</v>
      </c>
      <c r="E402" s="5" t="s">
        <v>83</v>
      </c>
      <c r="F402" s="5" t="s">
        <v>37</v>
      </c>
      <c r="G402" t="s">
        <v>1522</v>
      </c>
      <c r="H402" s="5" t="s">
        <v>3673</v>
      </c>
      <c r="I402" s="5" t="s">
        <v>38</v>
      </c>
      <c r="J402" s="5" t="s">
        <v>39</v>
      </c>
      <c r="K402" s="5" t="s">
        <v>28</v>
      </c>
      <c r="L402">
        <v>4</v>
      </c>
      <c r="M402">
        <v>82.8</v>
      </c>
      <c r="N402" s="8">
        <v>0</v>
      </c>
      <c r="O402" s="8">
        <v>331.2</v>
      </c>
      <c r="P402" s="8">
        <v>16.559999999999999</v>
      </c>
      <c r="Q402" s="10">
        <v>30</v>
      </c>
      <c r="R402" s="10">
        <v>0</v>
      </c>
      <c r="S402" s="8">
        <v>377.76</v>
      </c>
      <c r="T402">
        <v>49</v>
      </c>
      <c r="U402" t="str">
        <f t="shared" si="6"/>
        <v>Friday</v>
      </c>
    </row>
    <row r="403" spans="1:21" x14ac:dyDescent="0.3">
      <c r="A403" s="5" t="s">
        <v>1523</v>
      </c>
      <c r="B403" s="3" t="s">
        <v>3698</v>
      </c>
      <c r="C403" s="5" t="s">
        <v>547</v>
      </c>
      <c r="D403" s="5" t="s">
        <v>82</v>
      </c>
      <c r="E403" s="5" t="s">
        <v>83</v>
      </c>
      <c r="F403" s="5" t="s">
        <v>23</v>
      </c>
      <c r="G403" t="s">
        <v>1524</v>
      </c>
      <c r="H403" s="5" t="s">
        <v>3673</v>
      </c>
      <c r="I403" s="5" t="s">
        <v>43</v>
      </c>
      <c r="J403" s="5" t="s">
        <v>44</v>
      </c>
      <c r="K403" s="5" t="s">
        <v>45</v>
      </c>
      <c r="L403">
        <v>4</v>
      </c>
      <c r="M403">
        <v>226.37</v>
      </c>
      <c r="N403" s="8">
        <v>11.32</v>
      </c>
      <c r="O403" s="8">
        <v>894.16</v>
      </c>
      <c r="P403" s="8">
        <v>44.71</v>
      </c>
      <c r="Q403" s="10">
        <v>10</v>
      </c>
      <c r="R403" s="10">
        <v>15</v>
      </c>
      <c r="S403" s="8">
        <v>963.87</v>
      </c>
      <c r="T403">
        <v>25</v>
      </c>
      <c r="U403" t="str">
        <f t="shared" si="6"/>
        <v>Sunday</v>
      </c>
    </row>
    <row r="404" spans="1:21" x14ac:dyDescent="0.3">
      <c r="A404" s="5" t="s">
        <v>1525</v>
      </c>
      <c r="B404" s="3" t="s">
        <v>3729</v>
      </c>
      <c r="C404" s="5" t="s">
        <v>552</v>
      </c>
      <c r="D404" s="5" t="s">
        <v>21</v>
      </c>
      <c r="E404" s="5" t="s">
        <v>76</v>
      </c>
      <c r="F404" s="5" t="s">
        <v>3671</v>
      </c>
      <c r="G404" t="s">
        <v>1526</v>
      </c>
      <c r="H404" s="5" t="s">
        <v>3673</v>
      </c>
      <c r="I404" s="5" t="s">
        <v>49</v>
      </c>
      <c r="J404" s="5" t="s">
        <v>50</v>
      </c>
      <c r="K404" s="5" t="s">
        <v>73</v>
      </c>
      <c r="L404">
        <v>3</v>
      </c>
      <c r="M404">
        <v>208.22</v>
      </c>
      <c r="N404" s="8">
        <v>20.82</v>
      </c>
      <c r="O404" s="8">
        <v>603.83999999999992</v>
      </c>
      <c r="P404" s="8">
        <v>30.19</v>
      </c>
      <c r="Q404" s="10">
        <v>10</v>
      </c>
      <c r="R404" s="10">
        <v>10</v>
      </c>
      <c r="S404" s="8">
        <v>654.03</v>
      </c>
      <c r="T404">
        <v>24.67</v>
      </c>
      <c r="U404" t="str">
        <f t="shared" si="6"/>
        <v>Monday</v>
      </c>
    </row>
    <row r="405" spans="1:21" x14ac:dyDescent="0.3">
      <c r="A405" s="5" t="s">
        <v>1527</v>
      </c>
      <c r="B405" s="3" t="s">
        <v>3699</v>
      </c>
      <c r="C405" s="5" t="s">
        <v>557</v>
      </c>
      <c r="D405" s="5" t="s">
        <v>21</v>
      </c>
      <c r="E405" s="5" t="s">
        <v>36</v>
      </c>
      <c r="F405" s="5" t="s">
        <v>37</v>
      </c>
      <c r="G405" t="s">
        <v>1528</v>
      </c>
      <c r="H405" s="5" t="s">
        <v>3673</v>
      </c>
      <c r="I405" s="5" t="s">
        <v>54</v>
      </c>
      <c r="J405" s="5" t="s">
        <v>55</v>
      </c>
      <c r="K405" s="5" t="s">
        <v>145</v>
      </c>
      <c r="L405">
        <v>3</v>
      </c>
      <c r="M405">
        <v>166.1</v>
      </c>
      <c r="N405" s="8">
        <v>0</v>
      </c>
      <c r="O405" s="8">
        <v>498.3</v>
      </c>
      <c r="P405" s="8">
        <v>24.91</v>
      </c>
      <c r="Q405" s="10">
        <v>0</v>
      </c>
      <c r="R405" s="10">
        <v>0</v>
      </c>
      <c r="S405" s="8">
        <v>523.20999999999992</v>
      </c>
      <c r="T405">
        <v>39</v>
      </c>
      <c r="U405" t="str">
        <f t="shared" si="6"/>
        <v>Sunday</v>
      </c>
    </row>
    <row r="406" spans="1:21" x14ac:dyDescent="0.3">
      <c r="A406" s="5" t="s">
        <v>1529</v>
      </c>
      <c r="B406" s="3" t="s">
        <v>3703</v>
      </c>
      <c r="C406" s="5" t="s">
        <v>562</v>
      </c>
      <c r="D406" s="5" t="s">
        <v>21</v>
      </c>
      <c r="E406" s="5" t="s">
        <v>112</v>
      </c>
      <c r="F406" s="5" t="s">
        <v>23</v>
      </c>
      <c r="H406" s="5" t="s">
        <v>3674</v>
      </c>
      <c r="I406" s="5" t="s">
        <v>60</v>
      </c>
      <c r="J406" s="5" t="s">
        <v>61</v>
      </c>
      <c r="K406" s="5" t="s">
        <v>56</v>
      </c>
      <c r="L406">
        <v>2</v>
      </c>
      <c r="M406">
        <v>171.88</v>
      </c>
      <c r="N406" s="8">
        <v>8.59</v>
      </c>
      <c r="O406" s="8">
        <v>335.17</v>
      </c>
      <c r="P406" s="8">
        <v>16.760000000000002</v>
      </c>
      <c r="Q406" s="10">
        <v>10</v>
      </c>
      <c r="R406" s="10">
        <v>15</v>
      </c>
      <c r="S406" s="8">
        <v>376.93</v>
      </c>
      <c r="T406">
        <v>24.67</v>
      </c>
      <c r="U406" t="str">
        <f t="shared" si="6"/>
        <v>Friday</v>
      </c>
    </row>
    <row r="407" spans="1:21" x14ac:dyDescent="0.3">
      <c r="A407" s="5" t="s">
        <v>1530</v>
      </c>
      <c r="B407" s="3" t="s">
        <v>3709</v>
      </c>
      <c r="C407" s="5" t="s">
        <v>567</v>
      </c>
      <c r="D407" s="5" t="s">
        <v>21</v>
      </c>
      <c r="E407" s="5" t="s">
        <v>69</v>
      </c>
      <c r="F407" s="5" t="s">
        <v>42</v>
      </c>
      <c r="G407" t="s">
        <v>1531</v>
      </c>
      <c r="H407" s="5" t="s">
        <v>3673</v>
      </c>
      <c r="I407" s="5" t="s">
        <v>65</v>
      </c>
      <c r="J407" s="5" t="s">
        <v>66</v>
      </c>
      <c r="K407" s="5" t="s">
        <v>28</v>
      </c>
      <c r="L407">
        <v>3</v>
      </c>
      <c r="M407">
        <v>97.82</v>
      </c>
      <c r="N407" s="8">
        <v>0</v>
      </c>
      <c r="O407" s="8">
        <v>293.45999999999998</v>
      </c>
      <c r="P407" s="8">
        <v>14.67</v>
      </c>
      <c r="Q407" s="10">
        <v>20</v>
      </c>
      <c r="R407" s="10">
        <v>5</v>
      </c>
      <c r="S407" s="8">
        <v>333.13</v>
      </c>
      <c r="T407">
        <v>36</v>
      </c>
      <c r="U407" t="str">
        <f t="shared" si="6"/>
        <v>Thursday</v>
      </c>
    </row>
    <row r="408" spans="1:21" x14ac:dyDescent="0.3">
      <c r="A408" s="5" t="s">
        <v>1532</v>
      </c>
      <c r="B408" s="3" t="s">
        <v>3692</v>
      </c>
      <c r="C408" s="5" t="s">
        <v>572</v>
      </c>
      <c r="D408" s="5" t="s">
        <v>21</v>
      </c>
      <c r="E408" s="5" t="s">
        <v>36</v>
      </c>
      <c r="F408" s="5" t="s">
        <v>42</v>
      </c>
      <c r="G408" t="s">
        <v>1533</v>
      </c>
      <c r="H408" s="5" t="s">
        <v>3676</v>
      </c>
      <c r="I408" s="5" t="s">
        <v>71</v>
      </c>
      <c r="J408" s="5" t="s">
        <v>72</v>
      </c>
      <c r="K408" s="5" t="s">
        <v>145</v>
      </c>
      <c r="L408">
        <v>4</v>
      </c>
      <c r="M408">
        <v>105.96</v>
      </c>
      <c r="N408" s="8">
        <v>15.89</v>
      </c>
      <c r="O408" s="8">
        <v>407.95</v>
      </c>
      <c r="P408" s="8">
        <v>20.399999999999999</v>
      </c>
      <c r="Q408" s="10">
        <v>20</v>
      </c>
      <c r="R408" s="10">
        <v>20</v>
      </c>
      <c r="S408" s="8">
        <v>468.35</v>
      </c>
      <c r="T408">
        <v>29</v>
      </c>
      <c r="U408" t="str">
        <f t="shared" si="6"/>
        <v>Wednesday</v>
      </c>
    </row>
    <row r="409" spans="1:21" x14ac:dyDescent="0.3">
      <c r="A409" s="5" t="s">
        <v>1534</v>
      </c>
      <c r="B409" s="3" t="s">
        <v>3710</v>
      </c>
      <c r="C409" s="5" t="s">
        <v>577</v>
      </c>
      <c r="D409" s="5" t="s">
        <v>21</v>
      </c>
      <c r="E409" s="5" t="s">
        <v>112</v>
      </c>
      <c r="F409" s="5" t="s">
        <v>37</v>
      </c>
      <c r="G409" t="s">
        <v>1535</v>
      </c>
      <c r="H409" s="5" t="s">
        <v>3673</v>
      </c>
      <c r="I409" s="5" t="s">
        <v>78</v>
      </c>
      <c r="J409" s="5" t="s">
        <v>79</v>
      </c>
      <c r="K409" s="5" t="s">
        <v>145</v>
      </c>
      <c r="L409">
        <v>3</v>
      </c>
      <c r="M409">
        <v>97.01</v>
      </c>
      <c r="N409" s="8">
        <v>4.8499999999999996</v>
      </c>
      <c r="O409" s="8">
        <v>286.18</v>
      </c>
      <c r="P409" s="8">
        <v>14.31</v>
      </c>
      <c r="Q409" s="10">
        <v>0</v>
      </c>
      <c r="R409" s="10">
        <v>10</v>
      </c>
      <c r="S409" s="8">
        <v>310.49</v>
      </c>
      <c r="T409">
        <v>16</v>
      </c>
      <c r="U409" t="str">
        <f t="shared" si="6"/>
        <v>Monday</v>
      </c>
    </row>
    <row r="410" spans="1:21" x14ac:dyDescent="0.3">
      <c r="A410" s="5" t="s">
        <v>1536</v>
      </c>
      <c r="B410" s="3" t="s">
        <v>3692</v>
      </c>
      <c r="C410" s="5" t="s">
        <v>582</v>
      </c>
      <c r="D410" s="5" t="s">
        <v>21</v>
      </c>
      <c r="E410" s="5" t="s">
        <v>76</v>
      </c>
      <c r="F410" s="5" t="s">
        <v>23</v>
      </c>
      <c r="G410" t="s">
        <v>1537</v>
      </c>
      <c r="H410" s="5" t="s">
        <v>100</v>
      </c>
      <c r="I410" s="5" t="s">
        <v>85</v>
      </c>
      <c r="J410" s="5" t="s">
        <v>86</v>
      </c>
      <c r="K410" s="5" t="s">
        <v>103</v>
      </c>
      <c r="L410">
        <v>7</v>
      </c>
      <c r="M410">
        <v>122.27</v>
      </c>
      <c r="N410" s="8">
        <v>6.11</v>
      </c>
      <c r="O410" s="8">
        <v>849.78</v>
      </c>
      <c r="P410" s="8">
        <v>42.49</v>
      </c>
      <c r="Q410" s="10">
        <v>20</v>
      </c>
      <c r="R410" s="10">
        <v>20</v>
      </c>
      <c r="S410" s="8">
        <v>932.27</v>
      </c>
      <c r="T410">
        <v>30</v>
      </c>
      <c r="U410" t="str">
        <f t="shared" si="6"/>
        <v>Wednesday</v>
      </c>
    </row>
    <row r="411" spans="1:21" x14ac:dyDescent="0.3">
      <c r="A411" s="5" t="s">
        <v>1538</v>
      </c>
      <c r="B411" s="3" t="s">
        <v>3737</v>
      </c>
      <c r="C411" s="5" t="s">
        <v>587</v>
      </c>
      <c r="D411" s="5" t="s">
        <v>106</v>
      </c>
      <c r="E411" s="5" t="s">
        <v>83</v>
      </c>
      <c r="F411" s="5" t="s">
        <v>23</v>
      </c>
      <c r="H411" s="5" t="s">
        <v>3675</v>
      </c>
      <c r="I411" s="5" t="s">
        <v>90</v>
      </c>
      <c r="J411" s="5" t="s">
        <v>91</v>
      </c>
      <c r="K411" s="5" t="s">
        <v>45</v>
      </c>
      <c r="L411">
        <v>7</v>
      </c>
      <c r="M411">
        <v>120.41</v>
      </c>
      <c r="N411" s="8">
        <v>12.04</v>
      </c>
      <c r="O411" s="8">
        <v>830.83</v>
      </c>
      <c r="P411" s="8">
        <v>41.54</v>
      </c>
      <c r="Q411" s="10">
        <v>30</v>
      </c>
      <c r="R411" s="10">
        <v>15</v>
      </c>
      <c r="S411" s="8">
        <v>917.37</v>
      </c>
      <c r="T411">
        <v>24.67</v>
      </c>
      <c r="U411" t="str">
        <f t="shared" si="6"/>
        <v>Saturday</v>
      </c>
    </row>
    <row r="412" spans="1:21" x14ac:dyDescent="0.3">
      <c r="A412" s="5" t="s">
        <v>1539</v>
      </c>
      <c r="B412" s="3" t="s">
        <v>3695</v>
      </c>
      <c r="C412" s="5" t="s">
        <v>592</v>
      </c>
      <c r="D412" s="5" t="s">
        <v>106</v>
      </c>
      <c r="E412" s="5" t="s">
        <v>83</v>
      </c>
      <c r="F412" s="5" t="s">
        <v>42</v>
      </c>
      <c r="G412" t="s">
        <v>1540</v>
      </c>
      <c r="H412" s="5" t="s">
        <v>3677</v>
      </c>
      <c r="I412" s="5" t="s">
        <v>95</v>
      </c>
      <c r="J412" s="5" t="s">
        <v>96</v>
      </c>
      <c r="K412" s="5" t="s">
        <v>56</v>
      </c>
      <c r="L412">
        <v>4</v>
      </c>
      <c r="M412">
        <v>131.08000000000001</v>
      </c>
      <c r="N412" s="8">
        <v>6.55</v>
      </c>
      <c r="O412" s="8">
        <v>517.7700000000001</v>
      </c>
      <c r="P412" s="8">
        <v>25.89</v>
      </c>
      <c r="Q412" s="10">
        <v>0</v>
      </c>
      <c r="R412" s="10">
        <v>0</v>
      </c>
      <c r="S412" s="8">
        <v>543.66000000000008</v>
      </c>
      <c r="T412">
        <v>46</v>
      </c>
      <c r="U412" t="str">
        <f t="shared" si="6"/>
        <v>Thursday</v>
      </c>
    </row>
    <row r="413" spans="1:21" x14ac:dyDescent="0.3">
      <c r="A413" s="5" t="s">
        <v>1541</v>
      </c>
      <c r="B413" s="3" t="s">
        <v>3696</v>
      </c>
      <c r="C413" s="5" t="s">
        <v>597</v>
      </c>
      <c r="D413" s="5" t="s">
        <v>21</v>
      </c>
      <c r="E413" s="5" t="s">
        <v>76</v>
      </c>
      <c r="F413" s="5" t="s">
        <v>37</v>
      </c>
      <c r="G413" t="s">
        <v>1542</v>
      </c>
      <c r="H413" s="5" t="s">
        <v>3673</v>
      </c>
      <c r="I413" s="5" t="s">
        <v>101</v>
      </c>
      <c r="J413" s="5" t="s">
        <v>102</v>
      </c>
      <c r="K413" s="5" t="s">
        <v>40</v>
      </c>
      <c r="L413">
        <v>1</v>
      </c>
      <c r="M413">
        <v>257.33999999999997</v>
      </c>
      <c r="N413" s="8">
        <v>25.73</v>
      </c>
      <c r="O413" s="8">
        <v>231.61</v>
      </c>
      <c r="P413" s="8">
        <v>11.58</v>
      </c>
      <c r="Q413" s="10">
        <v>0</v>
      </c>
      <c r="R413" s="10">
        <v>15</v>
      </c>
      <c r="S413" s="8">
        <v>258.19</v>
      </c>
      <c r="T413">
        <v>9</v>
      </c>
      <c r="U413" t="str">
        <f t="shared" si="6"/>
        <v>Friday</v>
      </c>
    </row>
    <row r="414" spans="1:21" x14ac:dyDescent="0.3">
      <c r="A414" s="5" t="s">
        <v>1543</v>
      </c>
      <c r="B414" s="3" t="s">
        <v>3696</v>
      </c>
      <c r="C414" s="5" t="s">
        <v>602</v>
      </c>
      <c r="D414" s="5" t="s">
        <v>21</v>
      </c>
      <c r="E414" s="5" t="s">
        <v>112</v>
      </c>
      <c r="F414" s="5" t="s">
        <v>42</v>
      </c>
      <c r="G414" t="s">
        <v>1544</v>
      </c>
      <c r="H414" s="5" t="s">
        <v>3674</v>
      </c>
      <c r="I414" s="5" t="s">
        <v>108</v>
      </c>
      <c r="J414" s="5" t="s">
        <v>109</v>
      </c>
      <c r="K414" s="5" t="s">
        <v>196</v>
      </c>
      <c r="L414">
        <v>3</v>
      </c>
      <c r="M414">
        <v>142.27000000000001</v>
      </c>
      <c r="N414" s="8">
        <v>7.11</v>
      </c>
      <c r="O414" s="8">
        <v>419.7</v>
      </c>
      <c r="P414" s="8">
        <v>20.99</v>
      </c>
      <c r="Q414" s="10">
        <v>0</v>
      </c>
      <c r="R414" s="10">
        <v>0</v>
      </c>
      <c r="S414" s="8">
        <v>440.69000000000011</v>
      </c>
      <c r="T414">
        <v>17</v>
      </c>
      <c r="U414" t="str">
        <f t="shared" si="6"/>
        <v>Friday</v>
      </c>
    </row>
    <row r="415" spans="1:21" x14ac:dyDescent="0.3">
      <c r="A415" s="5" t="s">
        <v>1545</v>
      </c>
      <c r="B415" s="3" t="s">
        <v>3730</v>
      </c>
      <c r="C415" s="5" t="s">
        <v>607</v>
      </c>
      <c r="D415" s="5" t="s">
        <v>21</v>
      </c>
      <c r="E415" s="5" t="s">
        <v>112</v>
      </c>
      <c r="F415" s="5" t="s">
        <v>23</v>
      </c>
      <c r="G415" t="s">
        <v>1546</v>
      </c>
      <c r="H415" s="5" t="s">
        <v>25</v>
      </c>
      <c r="I415" s="5" t="s">
        <v>114</v>
      </c>
      <c r="J415" s="5" t="s">
        <v>115</v>
      </c>
      <c r="K415" s="5" t="s">
        <v>196</v>
      </c>
      <c r="L415">
        <v>3</v>
      </c>
      <c r="M415">
        <v>24.11</v>
      </c>
      <c r="N415" s="8">
        <v>3.62</v>
      </c>
      <c r="O415" s="8">
        <v>68.709999999999994</v>
      </c>
      <c r="P415" s="8">
        <v>3.44</v>
      </c>
      <c r="Q415" s="10">
        <v>30</v>
      </c>
      <c r="R415" s="10">
        <v>5</v>
      </c>
      <c r="S415" s="8">
        <v>107.15</v>
      </c>
      <c r="T415">
        <v>29</v>
      </c>
      <c r="U415" t="str">
        <f t="shared" si="6"/>
        <v>Friday</v>
      </c>
    </row>
    <row r="416" spans="1:21" x14ac:dyDescent="0.3">
      <c r="A416" s="5" t="s">
        <v>1547</v>
      </c>
      <c r="B416" s="3" t="s">
        <v>3709</v>
      </c>
      <c r="C416" s="5" t="s">
        <v>612</v>
      </c>
      <c r="D416" s="5" t="s">
        <v>106</v>
      </c>
      <c r="E416" s="5" t="s">
        <v>83</v>
      </c>
      <c r="F416" s="5" t="s">
        <v>23</v>
      </c>
      <c r="G416" t="s">
        <v>1548</v>
      </c>
      <c r="H416" s="5" t="s">
        <v>3674</v>
      </c>
      <c r="I416" s="5" t="s">
        <v>119</v>
      </c>
      <c r="J416" s="5" t="s">
        <v>120</v>
      </c>
      <c r="K416" s="5" t="s">
        <v>145</v>
      </c>
      <c r="L416">
        <v>1</v>
      </c>
      <c r="M416">
        <v>129.41999999999999</v>
      </c>
      <c r="N416" s="8">
        <v>19.41</v>
      </c>
      <c r="O416" s="8">
        <v>110.01</v>
      </c>
      <c r="P416" s="8">
        <v>5.5</v>
      </c>
      <c r="Q416" s="10">
        <v>30</v>
      </c>
      <c r="R416" s="10">
        <v>0</v>
      </c>
      <c r="S416" s="8">
        <v>145.51</v>
      </c>
      <c r="T416">
        <v>30</v>
      </c>
      <c r="U416" t="str">
        <f t="shared" si="6"/>
        <v>Thursday</v>
      </c>
    </row>
    <row r="417" spans="1:21" x14ac:dyDescent="0.3">
      <c r="A417" s="5" t="s">
        <v>1549</v>
      </c>
      <c r="B417" s="3" t="s">
        <v>3724</v>
      </c>
      <c r="C417" s="5" t="s">
        <v>617</v>
      </c>
      <c r="D417" s="5" t="s">
        <v>21</v>
      </c>
      <c r="E417" s="5" t="s">
        <v>112</v>
      </c>
      <c r="F417" s="5" t="s">
        <v>23</v>
      </c>
      <c r="G417" t="s">
        <v>1550</v>
      </c>
      <c r="H417" s="5" t="s">
        <v>3673</v>
      </c>
      <c r="I417" s="5" t="s">
        <v>124</v>
      </c>
      <c r="J417" s="5" t="s">
        <v>125</v>
      </c>
      <c r="K417" s="5" t="s">
        <v>45</v>
      </c>
      <c r="L417">
        <v>4</v>
      </c>
      <c r="M417">
        <v>145.55000000000001</v>
      </c>
      <c r="N417" s="8">
        <v>7.28</v>
      </c>
      <c r="O417" s="8">
        <v>574.92000000000007</v>
      </c>
      <c r="P417" s="8">
        <v>28.75</v>
      </c>
      <c r="Q417" s="10">
        <v>20</v>
      </c>
      <c r="R417" s="10">
        <v>0</v>
      </c>
      <c r="S417" s="8">
        <v>623.67000000000007</v>
      </c>
      <c r="T417">
        <v>25</v>
      </c>
      <c r="U417" t="str">
        <f t="shared" si="6"/>
        <v>Sunday</v>
      </c>
    </row>
    <row r="418" spans="1:21" x14ac:dyDescent="0.3">
      <c r="A418" s="5" t="s">
        <v>1551</v>
      </c>
      <c r="B418" s="3" t="s">
        <v>3681</v>
      </c>
      <c r="C418" s="5" t="s">
        <v>622</v>
      </c>
      <c r="D418" s="5" t="s">
        <v>21</v>
      </c>
      <c r="E418" s="5" t="s">
        <v>69</v>
      </c>
      <c r="F418" s="5" t="s">
        <v>42</v>
      </c>
      <c r="G418" t="s">
        <v>1552</v>
      </c>
      <c r="H418" s="5" t="s">
        <v>3673</v>
      </c>
      <c r="I418" s="5" t="s">
        <v>129</v>
      </c>
      <c r="J418" s="5" t="s">
        <v>130</v>
      </c>
      <c r="K418" s="5" t="s">
        <v>28</v>
      </c>
      <c r="L418">
        <v>3</v>
      </c>
      <c r="M418">
        <v>151.72999999999999</v>
      </c>
      <c r="N418" s="8">
        <v>7.59</v>
      </c>
      <c r="O418" s="8">
        <v>447.6</v>
      </c>
      <c r="P418" s="8">
        <v>22.38</v>
      </c>
      <c r="Q418" s="10">
        <v>30</v>
      </c>
      <c r="R418" s="10">
        <v>0</v>
      </c>
      <c r="S418" s="8">
        <v>499.98</v>
      </c>
      <c r="T418">
        <v>22</v>
      </c>
      <c r="U418" t="str">
        <f t="shared" si="6"/>
        <v>Wednesday</v>
      </c>
    </row>
    <row r="419" spans="1:21" x14ac:dyDescent="0.3">
      <c r="A419" s="5" t="s">
        <v>1553</v>
      </c>
      <c r="B419" s="3" t="s">
        <v>3702</v>
      </c>
      <c r="C419" s="5" t="s">
        <v>627</v>
      </c>
      <c r="D419" s="5" t="s">
        <v>21</v>
      </c>
      <c r="E419" s="5" t="s">
        <v>112</v>
      </c>
      <c r="F419" s="5" t="s">
        <v>37</v>
      </c>
      <c r="G419" t="s">
        <v>1554</v>
      </c>
      <c r="H419" s="5" t="s">
        <v>3675</v>
      </c>
      <c r="I419" s="5" t="s">
        <v>133</v>
      </c>
      <c r="J419" s="5" t="s">
        <v>134</v>
      </c>
      <c r="K419" s="5" t="s">
        <v>22</v>
      </c>
      <c r="L419">
        <v>1</v>
      </c>
      <c r="M419">
        <v>133.93</v>
      </c>
      <c r="N419" s="8">
        <v>20.09</v>
      </c>
      <c r="O419" s="8">
        <v>113.84</v>
      </c>
      <c r="P419" s="8">
        <v>5.69</v>
      </c>
      <c r="Q419" s="10">
        <v>0</v>
      </c>
      <c r="R419" s="10">
        <v>5</v>
      </c>
      <c r="S419" s="8">
        <v>124.53</v>
      </c>
      <c r="T419">
        <v>24.67</v>
      </c>
      <c r="U419" t="str">
        <f t="shared" si="6"/>
        <v>Monday</v>
      </c>
    </row>
    <row r="420" spans="1:21" x14ac:dyDescent="0.3">
      <c r="A420" s="5" t="s">
        <v>1555</v>
      </c>
      <c r="B420" s="3" t="s">
        <v>3702</v>
      </c>
      <c r="C420" s="5" t="s">
        <v>632</v>
      </c>
      <c r="D420" s="5" t="s">
        <v>21</v>
      </c>
      <c r="E420" s="5" t="s">
        <v>36</v>
      </c>
      <c r="F420" s="5" t="s">
        <v>37</v>
      </c>
      <c r="G420" t="s">
        <v>1556</v>
      </c>
      <c r="H420" s="5" t="s">
        <v>3677</v>
      </c>
      <c r="I420" s="5" t="s">
        <v>138</v>
      </c>
      <c r="J420" s="5" t="s">
        <v>139</v>
      </c>
      <c r="K420" s="5" t="s">
        <v>45</v>
      </c>
      <c r="L420">
        <v>1</v>
      </c>
      <c r="M420">
        <v>188.26</v>
      </c>
      <c r="N420" s="8">
        <v>0</v>
      </c>
      <c r="O420" s="8">
        <v>188.26</v>
      </c>
      <c r="P420" s="8">
        <v>9.41</v>
      </c>
      <c r="Q420" s="10">
        <v>10</v>
      </c>
      <c r="R420" s="10">
        <v>0</v>
      </c>
      <c r="S420" s="8">
        <v>207.67</v>
      </c>
      <c r="T420">
        <v>24.67</v>
      </c>
      <c r="U420" t="str">
        <f t="shared" si="6"/>
        <v>Monday</v>
      </c>
    </row>
    <row r="421" spans="1:21" x14ac:dyDescent="0.3">
      <c r="A421" s="5" t="s">
        <v>1557</v>
      </c>
      <c r="B421" s="3" t="s">
        <v>3726</v>
      </c>
      <c r="C421" s="5" t="s">
        <v>637</v>
      </c>
      <c r="D421" s="5" t="s">
        <v>21</v>
      </c>
      <c r="E421" s="5" t="s">
        <v>112</v>
      </c>
      <c r="F421" s="5" t="s">
        <v>42</v>
      </c>
      <c r="G421" t="s">
        <v>1558</v>
      </c>
      <c r="H421" s="5" t="s">
        <v>25</v>
      </c>
      <c r="I421" s="5" t="s">
        <v>143</v>
      </c>
      <c r="J421" s="5" t="s">
        <v>144</v>
      </c>
      <c r="K421" s="5" t="s">
        <v>45</v>
      </c>
      <c r="L421">
        <v>3</v>
      </c>
      <c r="M421">
        <v>173.67</v>
      </c>
      <c r="N421" s="8">
        <v>8.68</v>
      </c>
      <c r="O421" s="8">
        <v>512.33000000000004</v>
      </c>
      <c r="P421" s="8">
        <v>25.62</v>
      </c>
      <c r="Q421" s="10">
        <v>20</v>
      </c>
      <c r="R421" s="10">
        <v>0</v>
      </c>
      <c r="S421" s="8">
        <v>557.95000000000005</v>
      </c>
      <c r="T421">
        <v>3</v>
      </c>
      <c r="U421" t="str">
        <f t="shared" si="6"/>
        <v>Monday</v>
      </c>
    </row>
    <row r="422" spans="1:21" x14ac:dyDescent="0.3">
      <c r="A422" s="5" t="s">
        <v>1559</v>
      </c>
      <c r="B422" s="3" t="s">
        <v>3682</v>
      </c>
      <c r="C422" s="5" t="s">
        <v>642</v>
      </c>
      <c r="D422" s="5" t="s">
        <v>21</v>
      </c>
      <c r="E422" s="5" t="s">
        <v>36</v>
      </c>
      <c r="F422" s="5" t="s">
        <v>42</v>
      </c>
      <c r="G422" t="s">
        <v>1560</v>
      </c>
      <c r="H422" s="5" t="s">
        <v>3676</v>
      </c>
      <c r="I422" s="5" t="s">
        <v>149</v>
      </c>
      <c r="J422" s="5" t="s">
        <v>150</v>
      </c>
      <c r="K422" s="5" t="s">
        <v>56</v>
      </c>
      <c r="L422">
        <v>3</v>
      </c>
      <c r="M422">
        <v>40.6</v>
      </c>
      <c r="N422" s="8">
        <v>2.0299999999999998</v>
      </c>
      <c r="O422" s="8">
        <v>119.77</v>
      </c>
      <c r="P422" s="8">
        <v>5.99</v>
      </c>
      <c r="Q422" s="10">
        <v>20</v>
      </c>
      <c r="R422" s="10">
        <v>20</v>
      </c>
      <c r="S422" s="8">
        <v>165.76</v>
      </c>
      <c r="T422">
        <v>16</v>
      </c>
      <c r="U422" t="str">
        <f t="shared" si="6"/>
        <v>Tuesday</v>
      </c>
    </row>
    <row r="423" spans="1:21" x14ac:dyDescent="0.3">
      <c r="A423" s="5" t="s">
        <v>1561</v>
      </c>
      <c r="B423" s="3" t="s">
        <v>3695</v>
      </c>
      <c r="C423" s="5" t="s">
        <v>647</v>
      </c>
      <c r="D423" s="5" t="s">
        <v>21</v>
      </c>
      <c r="E423" s="5" t="s">
        <v>69</v>
      </c>
      <c r="F423" s="5" t="s">
        <v>23</v>
      </c>
      <c r="G423" t="s">
        <v>1562</v>
      </c>
      <c r="H423" s="5" t="s">
        <v>100</v>
      </c>
      <c r="I423" s="5" t="s">
        <v>154</v>
      </c>
      <c r="J423" s="5" t="s">
        <v>155</v>
      </c>
      <c r="K423" s="5" t="s">
        <v>28</v>
      </c>
      <c r="L423">
        <v>1</v>
      </c>
      <c r="M423">
        <v>245.98</v>
      </c>
      <c r="N423" s="8">
        <v>0</v>
      </c>
      <c r="O423" s="8">
        <v>245.98</v>
      </c>
      <c r="P423" s="8">
        <v>12.3</v>
      </c>
      <c r="Q423" s="10">
        <v>20</v>
      </c>
      <c r="R423" s="10">
        <v>0</v>
      </c>
      <c r="S423" s="8">
        <v>278.27999999999997</v>
      </c>
      <c r="T423">
        <v>24.67</v>
      </c>
      <c r="U423" t="str">
        <f t="shared" si="6"/>
        <v>Thursday</v>
      </c>
    </row>
    <row r="424" spans="1:21" x14ac:dyDescent="0.3">
      <c r="A424" s="5" t="s">
        <v>1563</v>
      </c>
      <c r="B424" s="3" t="s">
        <v>3698</v>
      </c>
      <c r="C424" s="5" t="s">
        <v>652</v>
      </c>
      <c r="D424" s="5" t="s">
        <v>21</v>
      </c>
      <c r="E424" s="5" t="s">
        <v>22</v>
      </c>
      <c r="F424" s="5" t="s">
        <v>23</v>
      </c>
      <c r="G424" t="s">
        <v>1564</v>
      </c>
      <c r="H424" s="5" t="s">
        <v>3673</v>
      </c>
      <c r="I424" s="5" t="s">
        <v>159</v>
      </c>
      <c r="J424" s="5" t="s">
        <v>160</v>
      </c>
      <c r="K424" s="5" t="s">
        <v>145</v>
      </c>
      <c r="L424">
        <v>2</v>
      </c>
      <c r="M424">
        <v>74.52</v>
      </c>
      <c r="N424" s="8">
        <v>3.73</v>
      </c>
      <c r="O424" s="8">
        <v>145.31</v>
      </c>
      <c r="P424" s="8">
        <v>7.27</v>
      </c>
      <c r="Q424" s="10">
        <v>30</v>
      </c>
      <c r="R424" s="10">
        <v>5</v>
      </c>
      <c r="S424" s="8">
        <v>187.58</v>
      </c>
      <c r="T424">
        <v>9</v>
      </c>
      <c r="U424" t="str">
        <f t="shared" si="6"/>
        <v>Sunday</v>
      </c>
    </row>
    <row r="425" spans="1:21" x14ac:dyDescent="0.3">
      <c r="A425" s="5" t="s">
        <v>1565</v>
      </c>
      <c r="B425" s="3" t="s">
        <v>3705</v>
      </c>
      <c r="C425" s="5" t="s">
        <v>657</v>
      </c>
      <c r="D425" s="5" t="s">
        <v>21</v>
      </c>
      <c r="E425" s="5" t="s">
        <v>36</v>
      </c>
      <c r="F425" s="5" t="s">
        <v>42</v>
      </c>
      <c r="G425" t="s">
        <v>1566</v>
      </c>
      <c r="H425" s="5" t="s">
        <v>3674</v>
      </c>
      <c r="I425" s="5" t="s">
        <v>164</v>
      </c>
      <c r="J425" s="5" t="s">
        <v>165</v>
      </c>
      <c r="K425" s="5" t="s">
        <v>196</v>
      </c>
      <c r="L425">
        <v>1</v>
      </c>
      <c r="M425">
        <v>199.28</v>
      </c>
      <c r="N425" s="8">
        <v>19.93</v>
      </c>
      <c r="O425" s="8">
        <v>179.35</v>
      </c>
      <c r="P425" s="8">
        <v>8.9700000000000006</v>
      </c>
      <c r="Q425" s="10">
        <v>0</v>
      </c>
      <c r="R425" s="10">
        <v>15</v>
      </c>
      <c r="S425" s="8">
        <v>203.32</v>
      </c>
      <c r="T425">
        <v>27</v>
      </c>
      <c r="U425" t="str">
        <f t="shared" si="6"/>
        <v>Tuesday</v>
      </c>
    </row>
    <row r="426" spans="1:21" x14ac:dyDescent="0.3">
      <c r="A426" s="5" t="s">
        <v>1567</v>
      </c>
      <c r="B426" s="3" t="s">
        <v>3708</v>
      </c>
      <c r="C426" s="5" t="s">
        <v>662</v>
      </c>
      <c r="D426" s="5" t="s">
        <v>21</v>
      </c>
      <c r="E426" s="5" t="s">
        <v>112</v>
      </c>
      <c r="F426" s="5" t="s">
        <v>42</v>
      </c>
      <c r="G426" t="s">
        <v>1568</v>
      </c>
      <c r="H426" s="5" t="s">
        <v>100</v>
      </c>
      <c r="I426" s="5" t="s">
        <v>169</v>
      </c>
      <c r="J426" s="5" t="s">
        <v>170</v>
      </c>
      <c r="K426" s="5" t="s">
        <v>73</v>
      </c>
      <c r="L426">
        <v>3</v>
      </c>
      <c r="M426">
        <v>17.72</v>
      </c>
      <c r="N426" s="8">
        <v>0.89</v>
      </c>
      <c r="O426" s="8">
        <v>52.27</v>
      </c>
      <c r="P426" s="8">
        <v>2.61</v>
      </c>
      <c r="Q426" s="10">
        <v>30</v>
      </c>
      <c r="R426" s="10">
        <v>0</v>
      </c>
      <c r="S426" s="8">
        <v>84.88</v>
      </c>
      <c r="T426">
        <v>20</v>
      </c>
      <c r="U426" t="str">
        <f t="shared" si="6"/>
        <v>Sunday</v>
      </c>
    </row>
    <row r="427" spans="1:21" x14ac:dyDescent="0.3">
      <c r="A427" s="5" t="s">
        <v>1569</v>
      </c>
      <c r="B427" s="3" t="s">
        <v>3698</v>
      </c>
      <c r="C427" s="5" t="s">
        <v>667</v>
      </c>
      <c r="D427" s="5" t="s">
        <v>21</v>
      </c>
      <c r="E427" s="5" t="s">
        <v>36</v>
      </c>
      <c r="F427" s="5" t="s">
        <v>42</v>
      </c>
      <c r="G427" t="s">
        <v>1570</v>
      </c>
      <c r="H427" s="5" t="s">
        <v>3674</v>
      </c>
      <c r="I427" s="5" t="s">
        <v>174</v>
      </c>
      <c r="J427" s="5" t="s">
        <v>175</v>
      </c>
      <c r="K427" s="5" t="s">
        <v>73</v>
      </c>
      <c r="L427">
        <v>1</v>
      </c>
      <c r="M427">
        <v>216.61</v>
      </c>
      <c r="N427" s="8">
        <v>0</v>
      </c>
      <c r="O427" s="8">
        <v>216.61</v>
      </c>
      <c r="P427" s="8">
        <v>10.83</v>
      </c>
      <c r="Q427" s="10">
        <v>30</v>
      </c>
      <c r="R427" s="10">
        <v>0</v>
      </c>
      <c r="S427" s="8">
        <v>257.44000000000011</v>
      </c>
      <c r="T427">
        <v>29</v>
      </c>
      <c r="U427" t="str">
        <f t="shared" si="6"/>
        <v>Sunday</v>
      </c>
    </row>
    <row r="428" spans="1:21" x14ac:dyDescent="0.3">
      <c r="A428" s="5" t="s">
        <v>1571</v>
      </c>
      <c r="B428" s="3" t="s">
        <v>3733</v>
      </c>
      <c r="C428" s="5" t="s">
        <v>672</v>
      </c>
      <c r="D428" s="5" t="s">
        <v>21</v>
      </c>
      <c r="E428" s="5" t="s">
        <v>112</v>
      </c>
      <c r="F428" s="5" t="s">
        <v>23</v>
      </c>
      <c r="G428" t="s">
        <v>1572</v>
      </c>
      <c r="H428" s="5" t="s">
        <v>3674</v>
      </c>
      <c r="I428" s="5" t="s">
        <v>179</v>
      </c>
      <c r="J428" s="5" t="s">
        <v>180</v>
      </c>
      <c r="K428" s="5" t="s">
        <v>56</v>
      </c>
      <c r="L428">
        <v>4</v>
      </c>
      <c r="M428">
        <v>95.58</v>
      </c>
      <c r="N428" s="8">
        <v>9.56</v>
      </c>
      <c r="O428" s="8">
        <v>372.76</v>
      </c>
      <c r="P428" s="8">
        <v>18.64</v>
      </c>
      <c r="Q428" s="10">
        <v>10</v>
      </c>
      <c r="R428" s="10">
        <v>0</v>
      </c>
      <c r="S428" s="8">
        <v>401.4</v>
      </c>
      <c r="T428">
        <v>31</v>
      </c>
      <c r="U428" t="str">
        <f t="shared" si="6"/>
        <v>Sunday</v>
      </c>
    </row>
    <row r="429" spans="1:21" x14ac:dyDescent="0.3">
      <c r="A429" s="5" t="s">
        <v>1573</v>
      </c>
      <c r="B429" s="3" t="s">
        <v>3697</v>
      </c>
      <c r="C429" s="5" t="s">
        <v>677</v>
      </c>
      <c r="D429" s="5" t="s">
        <v>106</v>
      </c>
      <c r="E429" s="5" t="s">
        <v>83</v>
      </c>
      <c r="F429" s="5" t="s">
        <v>23</v>
      </c>
      <c r="G429" t="s">
        <v>1574</v>
      </c>
      <c r="H429" s="5" t="s">
        <v>3673</v>
      </c>
      <c r="I429" s="5" t="s">
        <v>184</v>
      </c>
      <c r="J429" s="5" t="s">
        <v>185</v>
      </c>
      <c r="K429" s="5" t="s">
        <v>103</v>
      </c>
      <c r="L429">
        <v>3</v>
      </c>
      <c r="M429">
        <v>222.12</v>
      </c>
      <c r="N429" s="8">
        <v>11.11</v>
      </c>
      <c r="O429" s="8">
        <v>655.25</v>
      </c>
      <c r="P429" s="8">
        <v>32.76</v>
      </c>
      <c r="Q429" s="10">
        <v>20</v>
      </c>
      <c r="R429" s="10">
        <v>5</v>
      </c>
      <c r="S429" s="8">
        <v>713.01</v>
      </c>
      <c r="T429">
        <v>41</v>
      </c>
      <c r="U429" t="str">
        <f t="shared" si="6"/>
        <v>Saturday</v>
      </c>
    </row>
    <row r="430" spans="1:21" x14ac:dyDescent="0.3">
      <c r="A430" s="5" t="s">
        <v>1575</v>
      </c>
      <c r="B430" s="3" t="s">
        <v>3729</v>
      </c>
      <c r="C430" s="5" t="s">
        <v>682</v>
      </c>
      <c r="D430" s="5" t="s">
        <v>21</v>
      </c>
      <c r="E430" s="5" t="s">
        <v>22</v>
      </c>
      <c r="F430" s="5" t="s">
        <v>37</v>
      </c>
      <c r="G430" t="s">
        <v>1576</v>
      </c>
      <c r="H430" s="5" t="s">
        <v>3675</v>
      </c>
      <c r="I430" s="5" t="s">
        <v>189</v>
      </c>
      <c r="J430" s="5" t="s">
        <v>190</v>
      </c>
      <c r="K430" s="5" t="s">
        <v>145</v>
      </c>
      <c r="L430">
        <v>3</v>
      </c>
      <c r="M430">
        <v>106.92</v>
      </c>
      <c r="N430" s="8">
        <v>5.35</v>
      </c>
      <c r="O430" s="8">
        <v>315.41000000000003</v>
      </c>
      <c r="P430" s="8">
        <v>15.77</v>
      </c>
      <c r="Q430" s="10">
        <v>10</v>
      </c>
      <c r="R430" s="10">
        <v>20</v>
      </c>
      <c r="S430" s="8">
        <v>361.17999999999989</v>
      </c>
      <c r="T430">
        <v>13</v>
      </c>
      <c r="U430" t="str">
        <f t="shared" si="6"/>
        <v>Monday</v>
      </c>
    </row>
    <row r="431" spans="1:21" x14ac:dyDescent="0.3">
      <c r="A431" s="5" t="s">
        <v>1577</v>
      </c>
      <c r="B431" s="3" t="s">
        <v>3684</v>
      </c>
      <c r="C431" s="5" t="s">
        <v>687</v>
      </c>
      <c r="D431" s="5" t="s">
        <v>21</v>
      </c>
      <c r="E431" s="5" t="s">
        <v>112</v>
      </c>
      <c r="F431" s="5" t="s">
        <v>37</v>
      </c>
      <c r="G431" t="s">
        <v>1578</v>
      </c>
      <c r="H431" s="5" t="s">
        <v>3675</v>
      </c>
      <c r="I431" s="5" t="s">
        <v>194</v>
      </c>
      <c r="J431" s="5" t="s">
        <v>195</v>
      </c>
      <c r="K431" s="5" t="s">
        <v>196</v>
      </c>
      <c r="L431">
        <v>2</v>
      </c>
      <c r="M431">
        <v>175.3</v>
      </c>
      <c r="N431" s="8">
        <v>8.77</v>
      </c>
      <c r="O431" s="8">
        <v>341.83</v>
      </c>
      <c r="P431" s="8">
        <v>17.09</v>
      </c>
      <c r="Q431" s="10">
        <v>10</v>
      </c>
      <c r="R431" s="10">
        <v>10</v>
      </c>
      <c r="S431" s="8">
        <v>378.92</v>
      </c>
      <c r="T431">
        <v>10</v>
      </c>
      <c r="U431" t="str">
        <f t="shared" si="6"/>
        <v>Sunday</v>
      </c>
    </row>
    <row r="432" spans="1:21" x14ac:dyDescent="0.3">
      <c r="A432" s="5" t="s">
        <v>1579</v>
      </c>
      <c r="B432" s="3" t="s">
        <v>3716</v>
      </c>
      <c r="C432" s="5" t="s">
        <v>692</v>
      </c>
      <c r="D432" s="5" t="s">
        <v>21</v>
      </c>
      <c r="E432" s="5" t="s">
        <v>76</v>
      </c>
      <c r="F432" s="5" t="s">
        <v>37</v>
      </c>
      <c r="G432" t="s">
        <v>1580</v>
      </c>
      <c r="H432" s="5" t="s">
        <v>3673</v>
      </c>
      <c r="I432" s="5" t="s">
        <v>200</v>
      </c>
      <c r="J432" s="5" t="s">
        <v>201</v>
      </c>
      <c r="K432" s="5" t="s">
        <v>34</v>
      </c>
      <c r="L432">
        <v>3</v>
      </c>
      <c r="M432">
        <v>86.96</v>
      </c>
      <c r="N432" s="8">
        <v>0</v>
      </c>
      <c r="O432" s="8">
        <v>260.88</v>
      </c>
      <c r="P432" s="8">
        <v>13.04</v>
      </c>
      <c r="Q432" s="10">
        <v>20</v>
      </c>
      <c r="R432" s="10">
        <v>15</v>
      </c>
      <c r="S432" s="8">
        <v>308.92</v>
      </c>
      <c r="T432">
        <v>24.67</v>
      </c>
      <c r="U432" t="str">
        <f t="shared" si="6"/>
        <v>Saturday</v>
      </c>
    </row>
    <row r="433" spans="1:21" x14ac:dyDescent="0.3">
      <c r="A433" s="5" t="s">
        <v>1581</v>
      </c>
      <c r="B433" s="3" t="s">
        <v>3721</v>
      </c>
      <c r="C433" s="5" t="s">
        <v>697</v>
      </c>
      <c r="D433" s="5" t="s">
        <v>21</v>
      </c>
      <c r="E433" s="5" t="s">
        <v>36</v>
      </c>
      <c r="F433" s="5" t="s">
        <v>23</v>
      </c>
      <c r="G433" t="s">
        <v>1582</v>
      </c>
      <c r="H433" s="5" t="s">
        <v>3673</v>
      </c>
      <c r="I433" s="5" t="s">
        <v>205</v>
      </c>
      <c r="J433" s="5" t="s">
        <v>206</v>
      </c>
      <c r="K433" s="5" t="s">
        <v>45</v>
      </c>
      <c r="L433">
        <v>1</v>
      </c>
      <c r="M433">
        <v>36.25</v>
      </c>
      <c r="N433" s="8">
        <v>3.62</v>
      </c>
      <c r="O433" s="8">
        <v>32.630000000000003</v>
      </c>
      <c r="P433" s="8">
        <v>1.63</v>
      </c>
      <c r="Q433" s="10">
        <v>30</v>
      </c>
      <c r="R433" s="10">
        <v>0</v>
      </c>
      <c r="S433" s="8">
        <v>64.260000000000005</v>
      </c>
      <c r="T433">
        <v>26</v>
      </c>
      <c r="U433" t="str">
        <f t="shared" si="6"/>
        <v>Tuesday</v>
      </c>
    </row>
    <row r="434" spans="1:21" x14ac:dyDescent="0.3">
      <c r="A434" s="5" t="s">
        <v>1583</v>
      </c>
      <c r="B434" s="3" t="s">
        <v>3701</v>
      </c>
      <c r="C434" s="5" t="s">
        <v>702</v>
      </c>
      <c r="D434" s="5" t="s">
        <v>82</v>
      </c>
      <c r="E434" s="5" t="s">
        <v>83</v>
      </c>
      <c r="F434" s="5" t="s">
        <v>42</v>
      </c>
      <c r="G434" t="s">
        <v>1584</v>
      </c>
      <c r="H434" s="5" t="s">
        <v>3676</v>
      </c>
      <c r="I434" s="5" t="s">
        <v>210</v>
      </c>
      <c r="J434" s="5" t="s">
        <v>211</v>
      </c>
      <c r="K434" s="5" t="s">
        <v>145</v>
      </c>
      <c r="L434">
        <v>2</v>
      </c>
      <c r="M434">
        <v>177.46</v>
      </c>
      <c r="N434" s="8">
        <v>17.75</v>
      </c>
      <c r="O434" s="8">
        <v>337.17</v>
      </c>
      <c r="P434" s="8">
        <v>16.86</v>
      </c>
      <c r="Q434" s="10">
        <v>0</v>
      </c>
      <c r="R434" s="10">
        <v>5</v>
      </c>
      <c r="S434" s="8">
        <v>359.03</v>
      </c>
      <c r="T434">
        <v>35</v>
      </c>
      <c r="U434" t="str">
        <f t="shared" si="6"/>
        <v>Tuesday</v>
      </c>
    </row>
    <row r="435" spans="1:21" x14ac:dyDescent="0.3">
      <c r="A435" s="5" t="s">
        <v>1585</v>
      </c>
      <c r="B435" s="3" t="s">
        <v>3722</v>
      </c>
      <c r="C435" s="5" t="s">
        <v>707</v>
      </c>
      <c r="D435" s="5" t="s">
        <v>21</v>
      </c>
      <c r="E435" s="5" t="s">
        <v>22</v>
      </c>
      <c r="F435" s="5" t="s">
        <v>23</v>
      </c>
      <c r="G435" t="s">
        <v>1586</v>
      </c>
      <c r="H435" s="5" t="s">
        <v>3673</v>
      </c>
      <c r="I435" s="5" t="s">
        <v>215</v>
      </c>
      <c r="J435" s="5" t="s">
        <v>216</v>
      </c>
      <c r="K435" s="5" t="s">
        <v>45</v>
      </c>
      <c r="L435">
        <v>2</v>
      </c>
      <c r="M435">
        <v>126.57</v>
      </c>
      <c r="N435" s="8">
        <v>0</v>
      </c>
      <c r="O435" s="8">
        <v>253.14</v>
      </c>
      <c r="P435" s="8">
        <v>12.66</v>
      </c>
      <c r="Q435" s="10">
        <v>20</v>
      </c>
      <c r="R435" s="10">
        <v>20</v>
      </c>
      <c r="S435" s="8">
        <v>305.8</v>
      </c>
      <c r="T435">
        <v>35</v>
      </c>
      <c r="U435" t="str">
        <f t="shared" si="6"/>
        <v>Friday</v>
      </c>
    </row>
    <row r="436" spans="1:21" x14ac:dyDescent="0.3">
      <c r="A436" s="5" t="s">
        <v>1587</v>
      </c>
      <c r="B436" s="3" t="s">
        <v>3694</v>
      </c>
      <c r="C436" s="5" t="s">
        <v>712</v>
      </c>
      <c r="D436" s="5" t="s">
        <v>106</v>
      </c>
      <c r="E436" s="5" t="s">
        <v>83</v>
      </c>
      <c r="F436" s="5" t="s">
        <v>37</v>
      </c>
      <c r="G436" t="s">
        <v>1588</v>
      </c>
      <c r="H436" s="5" t="s">
        <v>3675</v>
      </c>
      <c r="I436" s="5" t="s">
        <v>220</v>
      </c>
      <c r="J436" s="5" t="s">
        <v>221</v>
      </c>
      <c r="K436" s="5" t="s">
        <v>28</v>
      </c>
      <c r="L436">
        <v>2</v>
      </c>
      <c r="M436">
        <v>159.97</v>
      </c>
      <c r="N436" s="8">
        <v>16</v>
      </c>
      <c r="O436" s="8">
        <v>303.94</v>
      </c>
      <c r="P436" s="8">
        <v>15.2</v>
      </c>
      <c r="Q436" s="10">
        <v>0</v>
      </c>
      <c r="R436" s="10">
        <v>10</v>
      </c>
      <c r="S436" s="8">
        <v>329.14</v>
      </c>
      <c r="T436">
        <v>24.67</v>
      </c>
      <c r="U436" t="str">
        <f t="shared" si="6"/>
        <v>Thursday</v>
      </c>
    </row>
    <row r="437" spans="1:21" x14ac:dyDescent="0.3">
      <c r="A437" s="5" t="s">
        <v>1589</v>
      </c>
      <c r="B437" s="3" t="s">
        <v>3705</v>
      </c>
      <c r="C437" s="5" t="s">
        <v>717</v>
      </c>
      <c r="D437" s="5" t="s">
        <v>82</v>
      </c>
      <c r="E437" s="5" t="s">
        <v>83</v>
      </c>
      <c r="F437" s="5" t="s">
        <v>42</v>
      </c>
      <c r="G437" t="s">
        <v>1590</v>
      </c>
      <c r="H437" s="5" t="s">
        <v>3676</v>
      </c>
      <c r="I437" s="5" t="s">
        <v>225</v>
      </c>
      <c r="J437" s="5" t="s">
        <v>226</v>
      </c>
      <c r="K437" s="5" t="s">
        <v>22</v>
      </c>
      <c r="L437">
        <v>7</v>
      </c>
      <c r="M437">
        <v>171.47</v>
      </c>
      <c r="N437" s="8">
        <v>0</v>
      </c>
      <c r="O437" s="8">
        <v>1200.29</v>
      </c>
      <c r="P437" s="8">
        <v>60.01</v>
      </c>
      <c r="Q437" s="10">
        <v>0</v>
      </c>
      <c r="R437" s="10">
        <v>0</v>
      </c>
      <c r="S437" s="8">
        <v>1260.3</v>
      </c>
      <c r="T437">
        <v>18</v>
      </c>
      <c r="U437" t="str">
        <f t="shared" si="6"/>
        <v>Tuesday</v>
      </c>
    </row>
    <row r="438" spans="1:21" x14ac:dyDescent="0.3">
      <c r="A438" s="5" t="s">
        <v>1591</v>
      </c>
      <c r="B438" s="3" t="s">
        <v>3695</v>
      </c>
      <c r="C438" s="5" t="s">
        <v>722</v>
      </c>
      <c r="D438" s="5" t="s">
        <v>106</v>
      </c>
      <c r="E438" s="5" t="s">
        <v>83</v>
      </c>
      <c r="F438" s="5" t="s">
        <v>42</v>
      </c>
      <c r="G438" t="s">
        <v>1592</v>
      </c>
      <c r="H438" s="5" t="s">
        <v>3676</v>
      </c>
      <c r="I438" s="5" t="s">
        <v>230</v>
      </c>
      <c r="J438" s="5" t="s">
        <v>231</v>
      </c>
      <c r="K438" s="5" t="s">
        <v>28</v>
      </c>
      <c r="L438">
        <v>3</v>
      </c>
      <c r="M438">
        <v>85.07</v>
      </c>
      <c r="N438" s="8">
        <v>8.51</v>
      </c>
      <c r="O438" s="8">
        <v>246.7</v>
      </c>
      <c r="P438" s="8">
        <v>12.34</v>
      </c>
      <c r="Q438" s="10">
        <v>10</v>
      </c>
      <c r="R438" s="10">
        <v>15</v>
      </c>
      <c r="S438" s="8">
        <v>284.04000000000002</v>
      </c>
      <c r="T438">
        <v>19</v>
      </c>
      <c r="U438" t="str">
        <f t="shared" si="6"/>
        <v>Thursday</v>
      </c>
    </row>
    <row r="439" spans="1:21" x14ac:dyDescent="0.3">
      <c r="A439" s="5" t="s">
        <v>1593</v>
      </c>
      <c r="B439" s="3" t="s">
        <v>3725</v>
      </c>
      <c r="C439" s="5" t="s">
        <v>727</v>
      </c>
      <c r="D439" s="5" t="s">
        <v>21</v>
      </c>
      <c r="E439" s="5" t="s">
        <v>22</v>
      </c>
      <c r="F439" s="5" t="s">
        <v>42</v>
      </c>
      <c r="G439" t="s">
        <v>1594</v>
      </c>
      <c r="H439" s="5" t="s">
        <v>3674</v>
      </c>
      <c r="I439" s="5" t="s">
        <v>235</v>
      </c>
      <c r="J439" s="5" t="s">
        <v>236</v>
      </c>
      <c r="K439" s="5" t="s">
        <v>73</v>
      </c>
      <c r="L439">
        <v>1</v>
      </c>
      <c r="M439">
        <v>62.05</v>
      </c>
      <c r="N439" s="8">
        <v>9.31</v>
      </c>
      <c r="O439" s="8">
        <v>52.739999999999988</v>
      </c>
      <c r="P439" s="8">
        <v>2.64</v>
      </c>
      <c r="Q439" s="10">
        <v>0</v>
      </c>
      <c r="R439" s="10">
        <v>5</v>
      </c>
      <c r="S439" s="8">
        <v>60.38</v>
      </c>
      <c r="T439">
        <v>14</v>
      </c>
      <c r="U439" t="str">
        <f t="shared" si="6"/>
        <v>Wednesday</v>
      </c>
    </row>
    <row r="440" spans="1:21" x14ac:dyDescent="0.3">
      <c r="A440" s="5" t="s">
        <v>1595</v>
      </c>
      <c r="B440" s="3" t="s">
        <v>3737</v>
      </c>
      <c r="C440" s="5" t="s">
        <v>732</v>
      </c>
      <c r="D440" s="5" t="s">
        <v>21</v>
      </c>
      <c r="E440" s="5" t="s">
        <v>22</v>
      </c>
      <c r="F440" s="5" t="s">
        <v>37</v>
      </c>
      <c r="G440" t="s">
        <v>1596</v>
      </c>
      <c r="H440" s="5" t="s">
        <v>3676</v>
      </c>
      <c r="I440" s="5" t="s">
        <v>240</v>
      </c>
      <c r="J440" s="5" t="s">
        <v>241</v>
      </c>
      <c r="K440" s="5" t="s">
        <v>40</v>
      </c>
      <c r="L440">
        <v>6</v>
      </c>
      <c r="M440">
        <v>16.45</v>
      </c>
      <c r="N440" s="8">
        <v>2.4700000000000002</v>
      </c>
      <c r="O440" s="8">
        <v>96.22999999999999</v>
      </c>
      <c r="P440" s="8">
        <v>4.8099999999999996</v>
      </c>
      <c r="Q440" s="10">
        <v>30</v>
      </c>
      <c r="R440" s="10">
        <v>5</v>
      </c>
      <c r="S440" s="8">
        <v>136.04</v>
      </c>
      <c r="T440">
        <v>18</v>
      </c>
      <c r="U440" t="str">
        <f t="shared" si="6"/>
        <v>Saturday</v>
      </c>
    </row>
    <row r="441" spans="1:21" x14ac:dyDescent="0.3">
      <c r="A441" s="5" t="s">
        <v>1597</v>
      </c>
      <c r="B441" s="3" t="s">
        <v>3688</v>
      </c>
      <c r="C441" s="5" t="s">
        <v>737</v>
      </c>
      <c r="D441" s="5" t="s">
        <v>21</v>
      </c>
      <c r="E441" s="5" t="s">
        <v>22</v>
      </c>
      <c r="F441" s="5" t="s">
        <v>3671</v>
      </c>
      <c r="G441" t="s">
        <v>1598</v>
      </c>
      <c r="H441" s="5" t="s">
        <v>3673</v>
      </c>
      <c r="I441" s="5" t="s">
        <v>245</v>
      </c>
      <c r="J441" s="5" t="s">
        <v>246</v>
      </c>
      <c r="K441" s="5" t="s">
        <v>73</v>
      </c>
      <c r="L441">
        <v>4</v>
      </c>
      <c r="M441">
        <v>154.78</v>
      </c>
      <c r="N441" s="8">
        <v>7.74</v>
      </c>
      <c r="O441" s="8">
        <v>611.38</v>
      </c>
      <c r="P441" s="8">
        <v>30.57</v>
      </c>
      <c r="Q441" s="10">
        <v>0</v>
      </c>
      <c r="R441" s="10">
        <v>0</v>
      </c>
      <c r="S441" s="8">
        <v>641.95000000000005</v>
      </c>
      <c r="T441">
        <v>21</v>
      </c>
      <c r="U441" t="str">
        <f t="shared" si="6"/>
        <v>Saturday</v>
      </c>
    </row>
    <row r="442" spans="1:21" x14ac:dyDescent="0.3">
      <c r="A442" s="5" t="s">
        <v>1599</v>
      </c>
      <c r="B442" s="3" t="s">
        <v>3723</v>
      </c>
      <c r="C442" s="5" t="s">
        <v>742</v>
      </c>
      <c r="D442" s="5" t="s">
        <v>21</v>
      </c>
      <c r="E442" s="5" t="s">
        <v>22</v>
      </c>
      <c r="F442" s="5" t="s">
        <v>23</v>
      </c>
      <c r="G442" t="s">
        <v>1600</v>
      </c>
      <c r="H442" s="5" t="s">
        <v>100</v>
      </c>
      <c r="I442" s="5" t="s">
        <v>250</v>
      </c>
      <c r="J442" s="5" t="s">
        <v>251</v>
      </c>
      <c r="K442" s="5" t="s">
        <v>40</v>
      </c>
      <c r="L442">
        <v>1</v>
      </c>
      <c r="M442">
        <v>84.15</v>
      </c>
      <c r="N442" s="8">
        <v>0</v>
      </c>
      <c r="O442" s="8">
        <v>84.15</v>
      </c>
      <c r="P442" s="8">
        <v>4.21</v>
      </c>
      <c r="Q442" s="10">
        <v>10</v>
      </c>
      <c r="R442" s="10">
        <v>15</v>
      </c>
      <c r="S442" s="8">
        <v>113.36</v>
      </c>
      <c r="T442">
        <v>39</v>
      </c>
      <c r="U442" t="str">
        <f t="shared" si="6"/>
        <v>Monday</v>
      </c>
    </row>
    <row r="443" spans="1:21" x14ac:dyDescent="0.3">
      <c r="A443" s="5" t="s">
        <v>1601</v>
      </c>
      <c r="B443" s="3" t="s">
        <v>3721</v>
      </c>
      <c r="C443" s="5" t="s">
        <v>747</v>
      </c>
      <c r="D443" s="5" t="s">
        <v>106</v>
      </c>
      <c r="E443" s="5" t="s">
        <v>83</v>
      </c>
      <c r="F443" s="5" t="s">
        <v>37</v>
      </c>
      <c r="G443" t="s">
        <v>1602</v>
      </c>
      <c r="H443" s="5" t="s">
        <v>3677</v>
      </c>
      <c r="I443" s="5" t="s">
        <v>255</v>
      </c>
      <c r="J443" s="5" t="s">
        <v>256</v>
      </c>
      <c r="K443" s="5" t="s">
        <v>34</v>
      </c>
      <c r="L443">
        <v>1</v>
      </c>
      <c r="M443">
        <v>133.71</v>
      </c>
      <c r="N443" s="8">
        <v>0</v>
      </c>
      <c r="O443" s="8">
        <v>133.71</v>
      </c>
      <c r="P443" s="8">
        <v>6.69</v>
      </c>
      <c r="Q443" s="10">
        <v>0</v>
      </c>
      <c r="R443" s="10">
        <v>0</v>
      </c>
      <c r="S443" s="8">
        <v>140.4</v>
      </c>
      <c r="T443">
        <v>26</v>
      </c>
      <c r="U443" t="str">
        <f t="shared" si="6"/>
        <v>Tuesday</v>
      </c>
    </row>
    <row r="444" spans="1:21" x14ac:dyDescent="0.3">
      <c r="A444" s="5" t="s">
        <v>1603</v>
      </c>
      <c r="B444" s="3" t="s">
        <v>3697</v>
      </c>
      <c r="C444" s="5" t="s">
        <v>752</v>
      </c>
      <c r="D444" s="5" t="s">
        <v>21</v>
      </c>
      <c r="E444" s="5" t="s">
        <v>36</v>
      </c>
      <c r="F444" s="5" t="s">
        <v>23</v>
      </c>
      <c r="G444" t="s">
        <v>1604</v>
      </c>
      <c r="H444" s="5" t="s">
        <v>25</v>
      </c>
      <c r="I444" s="5" t="s">
        <v>260</v>
      </c>
      <c r="J444" s="5" t="s">
        <v>261</v>
      </c>
      <c r="K444" s="5" t="s">
        <v>40</v>
      </c>
      <c r="L444">
        <v>1</v>
      </c>
      <c r="M444">
        <v>159.03</v>
      </c>
      <c r="N444" s="8">
        <v>7.95</v>
      </c>
      <c r="O444" s="8">
        <v>151.08000000000001</v>
      </c>
      <c r="P444" s="8">
        <v>7.55</v>
      </c>
      <c r="Q444" s="10">
        <v>0</v>
      </c>
      <c r="R444" s="10">
        <v>15</v>
      </c>
      <c r="S444" s="8">
        <v>173.63</v>
      </c>
      <c r="T444">
        <v>9</v>
      </c>
      <c r="U444" t="str">
        <f t="shared" si="6"/>
        <v>Saturday</v>
      </c>
    </row>
    <row r="445" spans="1:21" x14ac:dyDescent="0.3">
      <c r="A445" s="5" t="s">
        <v>1605</v>
      </c>
      <c r="B445" s="3" t="s">
        <v>3731</v>
      </c>
      <c r="C445" s="5" t="s">
        <v>757</v>
      </c>
      <c r="D445" s="5" t="s">
        <v>21</v>
      </c>
      <c r="E445" s="5" t="s">
        <v>76</v>
      </c>
      <c r="F445" s="5" t="s">
        <v>37</v>
      </c>
      <c r="G445" t="s">
        <v>1606</v>
      </c>
      <c r="H445" s="5" t="s">
        <v>3673</v>
      </c>
      <c r="I445" s="5" t="s">
        <v>265</v>
      </c>
      <c r="J445" s="5" t="s">
        <v>266</v>
      </c>
      <c r="K445" s="5" t="s">
        <v>56</v>
      </c>
      <c r="L445">
        <v>4</v>
      </c>
      <c r="M445">
        <v>168.2</v>
      </c>
      <c r="N445" s="8">
        <v>25.23</v>
      </c>
      <c r="O445" s="8">
        <v>647.56999999999994</v>
      </c>
      <c r="P445" s="8">
        <v>32.380000000000003</v>
      </c>
      <c r="Q445" s="10">
        <v>20</v>
      </c>
      <c r="R445" s="10">
        <v>20</v>
      </c>
      <c r="S445" s="8">
        <v>719.94999999999993</v>
      </c>
      <c r="T445">
        <v>32</v>
      </c>
      <c r="U445" t="str">
        <f t="shared" si="6"/>
        <v>Monday</v>
      </c>
    </row>
    <row r="446" spans="1:21" x14ac:dyDescent="0.3">
      <c r="A446" s="5" t="s">
        <v>1607</v>
      </c>
      <c r="B446" s="3" t="s">
        <v>3712</v>
      </c>
      <c r="C446" s="5" t="s">
        <v>762</v>
      </c>
      <c r="D446" s="5" t="s">
        <v>21</v>
      </c>
      <c r="E446" s="5" t="s">
        <v>22</v>
      </c>
      <c r="F446" s="5" t="s">
        <v>42</v>
      </c>
      <c r="G446" t="s">
        <v>1608</v>
      </c>
      <c r="H446" s="5" t="s">
        <v>3673</v>
      </c>
      <c r="I446" s="5" t="s">
        <v>270</v>
      </c>
      <c r="J446" s="5" t="s">
        <v>271</v>
      </c>
      <c r="K446" s="5" t="s">
        <v>45</v>
      </c>
      <c r="L446">
        <v>4</v>
      </c>
      <c r="M446">
        <v>117.08</v>
      </c>
      <c r="N446" s="8">
        <v>11.71</v>
      </c>
      <c r="O446" s="8">
        <v>456.61</v>
      </c>
      <c r="P446" s="8">
        <v>22.83</v>
      </c>
      <c r="Q446" s="10">
        <v>20</v>
      </c>
      <c r="R446" s="10">
        <v>5</v>
      </c>
      <c r="S446" s="8">
        <v>504.44</v>
      </c>
      <c r="T446">
        <v>29</v>
      </c>
      <c r="U446" t="str">
        <f t="shared" si="6"/>
        <v>Thursday</v>
      </c>
    </row>
    <row r="447" spans="1:21" x14ac:dyDescent="0.3">
      <c r="A447" s="5" t="s">
        <v>1609</v>
      </c>
      <c r="B447" s="3" t="s">
        <v>3687</v>
      </c>
      <c r="C447" s="5" t="s">
        <v>767</v>
      </c>
      <c r="D447" s="5" t="s">
        <v>21</v>
      </c>
      <c r="E447" s="5" t="s">
        <v>36</v>
      </c>
      <c r="F447" s="5" t="s">
        <v>23</v>
      </c>
      <c r="G447" t="s">
        <v>1610</v>
      </c>
      <c r="H447" s="5" t="s">
        <v>3676</v>
      </c>
      <c r="I447" s="5" t="s">
        <v>275</v>
      </c>
      <c r="J447" s="5" t="s">
        <v>276</v>
      </c>
      <c r="K447" s="5" t="s">
        <v>34</v>
      </c>
      <c r="L447">
        <v>2</v>
      </c>
      <c r="M447">
        <v>133.22</v>
      </c>
      <c r="N447" s="8">
        <v>19.98</v>
      </c>
      <c r="O447" s="8">
        <v>246.46</v>
      </c>
      <c r="P447" s="8">
        <v>12.32</v>
      </c>
      <c r="Q447" s="10">
        <v>10</v>
      </c>
      <c r="R447" s="10">
        <v>5</v>
      </c>
      <c r="S447" s="8">
        <v>273.77999999999997</v>
      </c>
      <c r="T447">
        <v>31</v>
      </c>
      <c r="U447" t="str">
        <f t="shared" si="6"/>
        <v>Friday</v>
      </c>
    </row>
    <row r="448" spans="1:21" x14ac:dyDescent="0.3">
      <c r="A448" s="5" t="s">
        <v>1611</v>
      </c>
      <c r="B448" s="3" t="s">
        <v>3725</v>
      </c>
      <c r="C448" s="5" t="s">
        <v>772</v>
      </c>
      <c r="D448" s="5" t="s">
        <v>21</v>
      </c>
      <c r="E448" s="5" t="s">
        <v>69</v>
      </c>
      <c r="F448" s="5" t="s">
        <v>42</v>
      </c>
      <c r="G448" t="s">
        <v>1612</v>
      </c>
      <c r="H448" s="5" t="s">
        <v>100</v>
      </c>
      <c r="I448" s="5" t="s">
        <v>280</v>
      </c>
      <c r="J448" s="5" t="s">
        <v>281</v>
      </c>
      <c r="K448" s="5" t="s">
        <v>45</v>
      </c>
      <c r="L448">
        <v>3</v>
      </c>
      <c r="M448">
        <v>97.91</v>
      </c>
      <c r="N448" s="8">
        <v>4.9000000000000004</v>
      </c>
      <c r="O448" s="8">
        <v>288.83</v>
      </c>
      <c r="P448" s="8">
        <v>14.44</v>
      </c>
      <c r="Q448" s="10">
        <v>30</v>
      </c>
      <c r="R448" s="10">
        <v>0</v>
      </c>
      <c r="S448" s="8">
        <v>333.27</v>
      </c>
      <c r="T448">
        <v>20</v>
      </c>
      <c r="U448" t="str">
        <f t="shared" si="6"/>
        <v>Wednesday</v>
      </c>
    </row>
    <row r="449" spans="1:21" x14ac:dyDescent="0.3">
      <c r="A449" s="5" t="s">
        <v>1613</v>
      </c>
      <c r="B449" s="3" t="s">
        <v>3701</v>
      </c>
      <c r="C449" s="5" t="s">
        <v>777</v>
      </c>
      <c r="D449" s="5" t="s">
        <v>21</v>
      </c>
      <c r="E449" s="5" t="s">
        <v>69</v>
      </c>
      <c r="F449" s="5" t="s">
        <v>42</v>
      </c>
      <c r="G449" t="s">
        <v>1614</v>
      </c>
      <c r="H449" s="5" t="s">
        <v>3673</v>
      </c>
      <c r="I449" s="5" t="s">
        <v>285</v>
      </c>
      <c r="J449" s="5" t="s">
        <v>286</v>
      </c>
      <c r="K449" s="5" t="s">
        <v>145</v>
      </c>
      <c r="L449">
        <v>4</v>
      </c>
      <c r="M449">
        <v>188.47</v>
      </c>
      <c r="N449" s="8">
        <v>28.27</v>
      </c>
      <c r="O449" s="8">
        <v>725.61</v>
      </c>
      <c r="P449" s="8">
        <v>36.28</v>
      </c>
      <c r="Q449" s="10">
        <v>0</v>
      </c>
      <c r="R449" s="10">
        <v>10</v>
      </c>
      <c r="S449" s="8">
        <v>771.89</v>
      </c>
      <c r="T449">
        <v>24</v>
      </c>
      <c r="U449" t="str">
        <f t="shared" si="6"/>
        <v>Tuesday</v>
      </c>
    </row>
    <row r="450" spans="1:21" x14ac:dyDescent="0.3">
      <c r="A450" s="5" t="s">
        <v>1615</v>
      </c>
      <c r="B450" s="3" t="s">
        <v>3737</v>
      </c>
      <c r="C450" s="5" t="s">
        <v>782</v>
      </c>
      <c r="D450" s="5" t="s">
        <v>21</v>
      </c>
      <c r="E450" s="5" t="s">
        <v>69</v>
      </c>
      <c r="F450" s="5" t="s">
        <v>42</v>
      </c>
      <c r="G450" t="s">
        <v>1616</v>
      </c>
      <c r="H450" s="5" t="s">
        <v>3677</v>
      </c>
      <c r="I450" s="5" t="s">
        <v>290</v>
      </c>
      <c r="J450" s="5" t="s">
        <v>291</v>
      </c>
      <c r="K450" s="5" t="s">
        <v>45</v>
      </c>
      <c r="L450">
        <v>4</v>
      </c>
      <c r="M450">
        <v>197.48</v>
      </c>
      <c r="N450" s="8">
        <v>19.75</v>
      </c>
      <c r="O450" s="8">
        <v>770.17</v>
      </c>
      <c r="P450" s="8">
        <v>38.51</v>
      </c>
      <c r="Q450" s="10">
        <v>20</v>
      </c>
      <c r="R450" s="10">
        <v>0</v>
      </c>
      <c r="S450" s="8">
        <v>828.68</v>
      </c>
      <c r="T450">
        <v>8</v>
      </c>
      <c r="U450" t="str">
        <f t="shared" si="6"/>
        <v>Saturday</v>
      </c>
    </row>
    <row r="451" spans="1:21" x14ac:dyDescent="0.3">
      <c r="A451" s="5" t="s">
        <v>1617</v>
      </c>
      <c r="B451" s="3" t="s">
        <v>3688</v>
      </c>
      <c r="C451" s="5" t="s">
        <v>787</v>
      </c>
      <c r="D451" s="5" t="s">
        <v>21</v>
      </c>
      <c r="E451" s="5" t="s">
        <v>22</v>
      </c>
      <c r="F451" s="5" t="s">
        <v>42</v>
      </c>
      <c r="G451" t="s">
        <v>1618</v>
      </c>
      <c r="H451" s="5" t="s">
        <v>3674</v>
      </c>
      <c r="I451" s="5" t="s">
        <v>295</v>
      </c>
      <c r="J451" s="5" t="s">
        <v>296</v>
      </c>
      <c r="K451" s="5" t="s">
        <v>56</v>
      </c>
      <c r="L451">
        <v>2</v>
      </c>
      <c r="M451">
        <v>137.99</v>
      </c>
      <c r="N451" s="8">
        <v>20.7</v>
      </c>
      <c r="O451" s="8">
        <v>255.28</v>
      </c>
      <c r="P451" s="8">
        <v>12.76</v>
      </c>
      <c r="Q451" s="10">
        <v>10</v>
      </c>
      <c r="R451" s="10">
        <v>20</v>
      </c>
      <c r="S451" s="8">
        <v>298.04000000000002</v>
      </c>
      <c r="T451">
        <v>24.67</v>
      </c>
      <c r="U451" t="str">
        <f t="shared" ref="U451:U514" si="7">TEXT(B451,"dddd")</f>
        <v>Saturday</v>
      </c>
    </row>
    <row r="452" spans="1:21" x14ac:dyDescent="0.3">
      <c r="A452" s="5" t="s">
        <v>1619</v>
      </c>
      <c r="B452" s="3" t="s">
        <v>3728</v>
      </c>
      <c r="C452" s="5" t="s">
        <v>792</v>
      </c>
      <c r="D452" s="5" t="s">
        <v>82</v>
      </c>
      <c r="E452" s="5" t="s">
        <v>83</v>
      </c>
      <c r="F452" s="5" t="s">
        <v>23</v>
      </c>
      <c r="G452" t="s">
        <v>1620</v>
      </c>
      <c r="H452" s="5" t="s">
        <v>3673</v>
      </c>
      <c r="I452" s="5" t="s">
        <v>300</v>
      </c>
      <c r="J452" s="5" t="s">
        <v>301</v>
      </c>
      <c r="K452" s="5" t="s">
        <v>22</v>
      </c>
      <c r="L452">
        <v>5</v>
      </c>
      <c r="M452">
        <v>141.79</v>
      </c>
      <c r="N452" s="8">
        <v>0</v>
      </c>
      <c r="O452" s="8">
        <v>708.94999999999993</v>
      </c>
      <c r="P452" s="8">
        <v>35.450000000000003</v>
      </c>
      <c r="Q452" s="10">
        <v>10</v>
      </c>
      <c r="R452" s="10">
        <v>10</v>
      </c>
      <c r="S452" s="8">
        <v>764.4</v>
      </c>
      <c r="T452">
        <v>32</v>
      </c>
      <c r="U452" t="str">
        <f t="shared" si="7"/>
        <v>Friday</v>
      </c>
    </row>
    <row r="453" spans="1:21" x14ac:dyDescent="0.3">
      <c r="A453" s="5" t="s">
        <v>1621</v>
      </c>
      <c r="B453" s="3" t="s">
        <v>3721</v>
      </c>
      <c r="C453" s="5" t="s">
        <v>797</v>
      </c>
      <c r="D453" s="5" t="s">
        <v>21</v>
      </c>
      <c r="E453" s="5" t="s">
        <v>69</v>
      </c>
      <c r="F453" s="5" t="s">
        <v>23</v>
      </c>
      <c r="G453" t="s">
        <v>1622</v>
      </c>
      <c r="H453" s="5" t="s">
        <v>3675</v>
      </c>
      <c r="I453" s="5" t="s">
        <v>305</v>
      </c>
      <c r="J453" s="5" t="s">
        <v>306</v>
      </c>
      <c r="K453" s="5" t="s">
        <v>103</v>
      </c>
      <c r="L453">
        <v>1</v>
      </c>
      <c r="M453">
        <v>150.04</v>
      </c>
      <c r="N453" s="8">
        <v>22.51</v>
      </c>
      <c r="O453" s="8">
        <v>127.53</v>
      </c>
      <c r="P453" s="8">
        <v>6.38</v>
      </c>
      <c r="Q453" s="10">
        <v>20</v>
      </c>
      <c r="R453" s="10">
        <v>20</v>
      </c>
      <c r="S453" s="8">
        <v>173.91</v>
      </c>
      <c r="T453">
        <v>25</v>
      </c>
      <c r="U453" t="str">
        <f t="shared" si="7"/>
        <v>Tuesday</v>
      </c>
    </row>
    <row r="454" spans="1:21" x14ac:dyDescent="0.3">
      <c r="A454" s="5" t="s">
        <v>1623</v>
      </c>
      <c r="B454" s="3" t="s">
        <v>3697</v>
      </c>
      <c r="C454" s="5" t="s">
        <v>802</v>
      </c>
      <c r="D454" s="5" t="s">
        <v>82</v>
      </c>
      <c r="E454" s="5" t="s">
        <v>83</v>
      </c>
      <c r="F454" s="5" t="s">
        <v>42</v>
      </c>
      <c r="G454" t="s">
        <v>1624</v>
      </c>
      <c r="H454" s="5" t="s">
        <v>3673</v>
      </c>
      <c r="I454" s="5" t="s">
        <v>310</v>
      </c>
      <c r="J454" s="5" t="s">
        <v>311</v>
      </c>
      <c r="K454" s="5" t="s">
        <v>56</v>
      </c>
      <c r="L454">
        <v>6</v>
      </c>
      <c r="M454">
        <v>122.4</v>
      </c>
      <c r="N454" s="8">
        <v>18.36</v>
      </c>
      <c r="O454" s="8">
        <v>716.04000000000008</v>
      </c>
      <c r="P454" s="8">
        <v>35.799999999999997</v>
      </c>
      <c r="Q454" s="10">
        <v>30</v>
      </c>
      <c r="R454" s="10">
        <v>0</v>
      </c>
      <c r="S454" s="8">
        <v>781.84</v>
      </c>
      <c r="T454">
        <v>24.67</v>
      </c>
      <c r="U454" t="str">
        <f t="shared" si="7"/>
        <v>Saturday</v>
      </c>
    </row>
    <row r="455" spans="1:21" x14ac:dyDescent="0.3">
      <c r="A455" s="5" t="s">
        <v>1625</v>
      </c>
      <c r="B455" s="3" t="s">
        <v>3698</v>
      </c>
      <c r="C455" s="5" t="s">
        <v>807</v>
      </c>
      <c r="D455" s="5" t="s">
        <v>21</v>
      </c>
      <c r="E455" s="5" t="s">
        <v>36</v>
      </c>
      <c r="F455" s="5" t="s">
        <v>37</v>
      </c>
      <c r="G455" t="s">
        <v>1626</v>
      </c>
      <c r="H455" s="5" t="s">
        <v>3674</v>
      </c>
      <c r="I455" s="5" t="s">
        <v>315</v>
      </c>
      <c r="J455" s="5" t="s">
        <v>316</v>
      </c>
      <c r="K455" s="5" t="s">
        <v>45</v>
      </c>
      <c r="L455">
        <v>3</v>
      </c>
      <c r="M455">
        <v>88.44</v>
      </c>
      <c r="N455" s="8">
        <v>0</v>
      </c>
      <c r="O455" s="8">
        <v>265.32</v>
      </c>
      <c r="P455" s="8">
        <v>13.27</v>
      </c>
      <c r="Q455" s="10">
        <v>10</v>
      </c>
      <c r="R455" s="10">
        <v>0</v>
      </c>
      <c r="S455" s="8">
        <v>288.58999999999997</v>
      </c>
      <c r="T455">
        <v>26</v>
      </c>
      <c r="U455" t="str">
        <f t="shared" si="7"/>
        <v>Sunday</v>
      </c>
    </row>
    <row r="456" spans="1:21" x14ac:dyDescent="0.3">
      <c r="A456" s="5" t="s">
        <v>1627</v>
      </c>
      <c r="B456" s="3" t="s">
        <v>3679</v>
      </c>
      <c r="C456" s="5" t="s">
        <v>812</v>
      </c>
      <c r="D456" s="5" t="s">
        <v>21</v>
      </c>
      <c r="E456" s="5" t="s">
        <v>76</v>
      </c>
      <c r="F456" s="5" t="s">
        <v>37</v>
      </c>
      <c r="G456" t="s">
        <v>1628</v>
      </c>
      <c r="H456" s="5" t="s">
        <v>3677</v>
      </c>
      <c r="I456" s="5" t="s">
        <v>320</v>
      </c>
      <c r="J456" s="5" t="s">
        <v>321</v>
      </c>
      <c r="K456" s="5" t="s">
        <v>145</v>
      </c>
      <c r="L456">
        <v>3</v>
      </c>
      <c r="M456">
        <v>52.97</v>
      </c>
      <c r="N456" s="8">
        <v>5.3</v>
      </c>
      <c r="O456" s="8">
        <v>153.61000000000001</v>
      </c>
      <c r="P456" s="8">
        <v>7.68</v>
      </c>
      <c r="Q456" s="10">
        <v>10</v>
      </c>
      <c r="R456" s="10">
        <v>0</v>
      </c>
      <c r="S456" s="8">
        <v>171.29</v>
      </c>
      <c r="T456">
        <v>14</v>
      </c>
      <c r="U456" t="str">
        <f t="shared" si="7"/>
        <v>Friday</v>
      </c>
    </row>
    <row r="457" spans="1:21" x14ac:dyDescent="0.3">
      <c r="A457" s="5" t="s">
        <v>1629</v>
      </c>
      <c r="B457" s="3" t="s">
        <v>3682</v>
      </c>
      <c r="C457" s="5" t="s">
        <v>817</v>
      </c>
      <c r="D457" s="5" t="s">
        <v>21</v>
      </c>
      <c r="E457" s="5" t="s">
        <v>69</v>
      </c>
      <c r="F457" s="5" t="s">
        <v>37</v>
      </c>
      <c r="G457" t="s">
        <v>1630</v>
      </c>
      <c r="H457" s="5" t="s">
        <v>3674</v>
      </c>
      <c r="I457" s="5" t="s">
        <v>325</v>
      </c>
      <c r="J457" s="5" t="s">
        <v>326</v>
      </c>
      <c r="K457" s="5" t="s">
        <v>103</v>
      </c>
      <c r="L457">
        <v>5</v>
      </c>
      <c r="M457">
        <v>157.02000000000001</v>
      </c>
      <c r="N457" s="8">
        <v>7.85</v>
      </c>
      <c r="O457" s="8">
        <v>777.25</v>
      </c>
      <c r="P457" s="8">
        <v>38.86</v>
      </c>
      <c r="Q457" s="10">
        <v>20</v>
      </c>
      <c r="R457" s="10">
        <v>10</v>
      </c>
      <c r="S457" s="8">
        <v>846.11</v>
      </c>
      <c r="T457">
        <v>29</v>
      </c>
      <c r="U457" t="str">
        <f t="shared" si="7"/>
        <v>Tuesday</v>
      </c>
    </row>
    <row r="458" spans="1:21" x14ac:dyDescent="0.3">
      <c r="A458" s="5" t="s">
        <v>1631</v>
      </c>
      <c r="B458" s="3" t="s">
        <v>3735</v>
      </c>
      <c r="C458" s="5" t="s">
        <v>822</v>
      </c>
      <c r="D458" s="5" t="s">
        <v>21</v>
      </c>
      <c r="E458" s="5" t="s">
        <v>76</v>
      </c>
      <c r="F458" s="5" t="s">
        <v>23</v>
      </c>
      <c r="G458" t="s">
        <v>1632</v>
      </c>
      <c r="H458" s="5" t="s">
        <v>3674</v>
      </c>
      <c r="I458" s="5" t="s">
        <v>329</v>
      </c>
      <c r="J458" s="5" t="s">
        <v>330</v>
      </c>
      <c r="K458" s="5" t="s">
        <v>56</v>
      </c>
      <c r="L458">
        <v>2</v>
      </c>
      <c r="M458">
        <v>124.18</v>
      </c>
      <c r="N458" s="8">
        <v>12.42</v>
      </c>
      <c r="O458" s="8">
        <v>235.94</v>
      </c>
      <c r="P458" s="8">
        <v>11.8</v>
      </c>
      <c r="Q458" s="10">
        <v>0</v>
      </c>
      <c r="R458" s="10">
        <v>5</v>
      </c>
      <c r="S458" s="8">
        <v>252.74</v>
      </c>
      <c r="T458">
        <v>18</v>
      </c>
      <c r="U458" t="str">
        <f t="shared" si="7"/>
        <v>Saturday</v>
      </c>
    </row>
    <row r="459" spans="1:21" x14ac:dyDescent="0.3">
      <c r="A459" s="5" t="s">
        <v>1633</v>
      </c>
      <c r="B459" s="3" t="s">
        <v>3685</v>
      </c>
      <c r="C459" s="5" t="s">
        <v>827</v>
      </c>
      <c r="D459" s="5" t="s">
        <v>21</v>
      </c>
      <c r="E459" s="5" t="s">
        <v>36</v>
      </c>
      <c r="F459" s="5" t="s">
        <v>23</v>
      </c>
      <c r="G459" t="s">
        <v>1634</v>
      </c>
      <c r="H459" s="5" t="s">
        <v>3675</v>
      </c>
      <c r="I459" s="5" t="s">
        <v>334</v>
      </c>
      <c r="J459" s="5" t="s">
        <v>335</v>
      </c>
      <c r="K459" s="5" t="s">
        <v>196</v>
      </c>
      <c r="L459">
        <v>1</v>
      </c>
      <c r="M459">
        <v>38.840000000000003</v>
      </c>
      <c r="N459" s="8">
        <v>1.94</v>
      </c>
      <c r="O459" s="8">
        <v>36.900000000000013</v>
      </c>
      <c r="P459" s="8">
        <v>1.85</v>
      </c>
      <c r="Q459" s="10">
        <v>10</v>
      </c>
      <c r="R459" s="10">
        <v>0</v>
      </c>
      <c r="S459" s="8">
        <v>48.750000000000007</v>
      </c>
      <c r="T459">
        <v>23</v>
      </c>
      <c r="U459" t="str">
        <f t="shared" si="7"/>
        <v>Thursday</v>
      </c>
    </row>
    <row r="460" spans="1:21" x14ac:dyDescent="0.3">
      <c r="A460" s="5" t="s">
        <v>1635</v>
      </c>
      <c r="B460" s="3" t="s">
        <v>3698</v>
      </c>
      <c r="C460" s="5" t="s">
        <v>831</v>
      </c>
      <c r="D460" s="5" t="s">
        <v>21</v>
      </c>
      <c r="E460" s="5" t="s">
        <v>36</v>
      </c>
      <c r="F460" s="5" t="s">
        <v>42</v>
      </c>
      <c r="G460" t="s">
        <v>1636</v>
      </c>
      <c r="H460" s="5" t="s">
        <v>3676</v>
      </c>
      <c r="I460" s="5" t="s">
        <v>339</v>
      </c>
      <c r="J460" s="5" t="s">
        <v>340</v>
      </c>
      <c r="K460" s="5" t="s">
        <v>28</v>
      </c>
      <c r="L460">
        <v>4</v>
      </c>
      <c r="M460">
        <v>78.89</v>
      </c>
      <c r="N460" s="8">
        <v>7.89</v>
      </c>
      <c r="O460" s="8">
        <v>307.67</v>
      </c>
      <c r="P460" s="8">
        <v>15.38</v>
      </c>
      <c r="Q460" s="10">
        <v>30</v>
      </c>
      <c r="R460" s="10">
        <v>15</v>
      </c>
      <c r="S460" s="8">
        <v>368.05</v>
      </c>
      <c r="T460">
        <v>23</v>
      </c>
      <c r="U460" t="str">
        <f t="shared" si="7"/>
        <v>Sunday</v>
      </c>
    </row>
    <row r="461" spans="1:21" x14ac:dyDescent="0.3">
      <c r="A461" s="5" t="s">
        <v>1637</v>
      </c>
      <c r="B461" s="3" t="s">
        <v>3691</v>
      </c>
      <c r="C461" s="5" t="s">
        <v>835</v>
      </c>
      <c r="D461" s="5" t="s">
        <v>21</v>
      </c>
      <c r="E461" s="5" t="s">
        <v>112</v>
      </c>
      <c r="F461" s="5" t="s">
        <v>37</v>
      </c>
      <c r="G461" t="s">
        <v>1638</v>
      </c>
      <c r="H461" s="5" t="s">
        <v>25</v>
      </c>
      <c r="I461" s="5" t="s">
        <v>344</v>
      </c>
      <c r="J461" s="5" t="s">
        <v>345</v>
      </c>
      <c r="K461" s="5" t="s">
        <v>40</v>
      </c>
      <c r="L461">
        <v>1</v>
      </c>
      <c r="M461">
        <v>17.559999999999999</v>
      </c>
      <c r="N461" s="8">
        <v>1.76</v>
      </c>
      <c r="O461" s="8">
        <v>15.8</v>
      </c>
      <c r="P461" s="8">
        <v>0.79</v>
      </c>
      <c r="Q461" s="10">
        <v>20</v>
      </c>
      <c r="R461" s="10">
        <v>15</v>
      </c>
      <c r="S461" s="8">
        <v>51.59</v>
      </c>
      <c r="T461">
        <v>24.67</v>
      </c>
      <c r="U461" t="str">
        <f t="shared" si="7"/>
        <v>Friday</v>
      </c>
    </row>
    <row r="462" spans="1:21" x14ac:dyDescent="0.3">
      <c r="A462" s="5" t="s">
        <v>1639</v>
      </c>
      <c r="B462" s="3" t="s">
        <v>3715</v>
      </c>
      <c r="C462" s="5" t="s">
        <v>840</v>
      </c>
      <c r="D462" s="5" t="s">
        <v>21</v>
      </c>
      <c r="E462" s="5" t="s">
        <v>69</v>
      </c>
      <c r="F462" s="5" t="s">
        <v>42</v>
      </c>
      <c r="G462" t="s">
        <v>1640</v>
      </c>
      <c r="H462" s="5" t="s">
        <v>3673</v>
      </c>
      <c r="I462" s="5" t="s">
        <v>349</v>
      </c>
      <c r="J462" s="5" t="s">
        <v>350</v>
      </c>
      <c r="K462" s="5" t="s">
        <v>145</v>
      </c>
      <c r="L462">
        <v>2</v>
      </c>
      <c r="M462">
        <v>110.2</v>
      </c>
      <c r="N462" s="8">
        <v>11.02</v>
      </c>
      <c r="O462" s="8">
        <v>209.38</v>
      </c>
      <c r="P462" s="8">
        <v>10.47</v>
      </c>
      <c r="Q462" s="10">
        <v>20</v>
      </c>
      <c r="R462" s="10">
        <v>0</v>
      </c>
      <c r="S462" s="8">
        <v>239.85</v>
      </c>
      <c r="T462">
        <v>26</v>
      </c>
      <c r="U462" t="str">
        <f t="shared" si="7"/>
        <v>Saturday</v>
      </c>
    </row>
    <row r="463" spans="1:21" x14ac:dyDescent="0.3">
      <c r="A463" s="5" t="s">
        <v>1641</v>
      </c>
      <c r="B463" s="3" t="s">
        <v>3700</v>
      </c>
      <c r="C463" s="5" t="s">
        <v>845</v>
      </c>
      <c r="D463" s="5" t="s">
        <v>82</v>
      </c>
      <c r="E463" s="5" t="s">
        <v>83</v>
      </c>
      <c r="F463" s="5" t="s">
        <v>23</v>
      </c>
      <c r="G463" t="s">
        <v>1642</v>
      </c>
      <c r="H463" s="5" t="s">
        <v>3674</v>
      </c>
      <c r="I463" s="5" t="s">
        <v>354</v>
      </c>
      <c r="J463" s="5" t="s">
        <v>355</v>
      </c>
      <c r="K463" s="5" t="s">
        <v>56</v>
      </c>
      <c r="L463">
        <v>2</v>
      </c>
      <c r="M463">
        <v>187.04</v>
      </c>
      <c r="N463" s="8">
        <v>28.06</v>
      </c>
      <c r="O463" s="8">
        <v>346.02</v>
      </c>
      <c r="P463" s="8">
        <v>17.3</v>
      </c>
      <c r="Q463" s="10">
        <v>30</v>
      </c>
      <c r="R463" s="10">
        <v>5</v>
      </c>
      <c r="S463" s="8">
        <v>398.32</v>
      </c>
      <c r="T463">
        <v>39</v>
      </c>
      <c r="U463" t="str">
        <f t="shared" si="7"/>
        <v>Saturday</v>
      </c>
    </row>
    <row r="464" spans="1:21" x14ac:dyDescent="0.3">
      <c r="A464" s="5" t="s">
        <v>1643</v>
      </c>
      <c r="B464" s="3" t="s">
        <v>3704</v>
      </c>
      <c r="C464" s="5" t="s">
        <v>850</v>
      </c>
      <c r="D464" s="5" t="s">
        <v>21</v>
      </c>
      <c r="E464" s="5" t="s">
        <v>22</v>
      </c>
      <c r="F464" s="5" t="s">
        <v>3671</v>
      </c>
      <c r="G464" t="s">
        <v>1644</v>
      </c>
      <c r="H464" s="5" t="s">
        <v>3673</v>
      </c>
      <c r="I464" s="5" t="s">
        <v>359</v>
      </c>
      <c r="J464" s="5" t="s">
        <v>360</v>
      </c>
      <c r="K464" s="5" t="s">
        <v>28</v>
      </c>
      <c r="L464">
        <v>3</v>
      </c>
      <c r="M464">
        <v>200.14</v>
      </c>
      <c r="N464" s="8">
        <v>20.010000000000002</v>
      </c>
      <c r="O464" s="8">
        <v>580.41</v>
      </c>
      <c r="P464" s="8">
        <v>29.02</v>
      </c>
      <c r="Q464" s="10">
        <v>0</v>
      </c>
      <c r="R464" s="10">
        <v>20</v>
      </c>
      <c r="S464" s="8">
        <v>629.42999999999995</v>
      </c>
      <c r="T464">
        <v>15</v>
      </c>
      <c r="U464" t="str">
        <f t="shared" si="7"/>
        <v>Tuesday</v>
      </c>
    </row>
    <row r="465" spans="1:21" x14ac:dyDescent="0.3">
      <c r="A465" s="5" t="s">
        <v>1645</v>
      </c>
      <c r="B465" s="3" t="s">
        <v>3728</v>
      </c>
      <c r="C465" s="5" t="s">
        <v>855</v>
      </c>
      <c r="D465" s="5" t="s">
        <v>82</v>
      </c>
      <c r="E465" s="5" t="s">
        <v>83</v>
      </c>
      <c r="F465" s="5" t="s">
        <v>37</v>
      </c>
      <c r="G465" t="s">
        <v>1646</v>
      </c>
      <c r="H465" s="5" t="s">
        <v>3674</v>
      </c>
      <c r="I465" s="5" t="s">
        <v>364</v>
      </c>
      <c r="J465" s="5" t="s">
        <v>365</v>
      </c>
      <c r="K465" s="5" t="s">
        <v>45</v>
      </c>
      <c r="L465">
        <v>1</v>
      </c>
      <c r="M465">
        <v>144.29</v>
      </c>
      <c r="N465" s="8">
        <v>7.21</v>
      </c>
      <c r="O465" s="8">
        <v>137.08000000000001</v>
      </c>
      <c r="P465" s="8">
        <v>6.85</v>
      </c>
      <c r="Q465" s="10">
        <v>0</v>
      </c>
      <c r="R465" s="10">
        <v>5</v>
      </c>
      <c r="S465" s="8">
        <v>148.93</v>
      </c>
      <c r="T465">
        <v>24</v>
      </c>
      <c r="U465" t="str">
        <f t="shared" si="7"/>
        <v>Friday</v>
      </c>
    </row>
    <row r="466" spans="1:21" x14ac:dyDescent="0.3">
      <c r="A466" s="5" t="s">
        <v>1647</v>
      </c>
      <c r="B466" s="3" t="s">
        <v>3724</v>
      </c>
      <c r="C466" s="5" t="s">
        <v>860</v>
      </c>
      <c r="D466" s="5" t="s">
        <v>21</v>
      </c>
      <c r="E466" s="5" t="s">
        <v>69</v>
      </c>
      <c r="F466" s="5" t="s">
        <v>42</v>
      </c>
      <c r="G466" t="s">
        <v>1648</v>
      </c>
      <c r="H466" s="5" t="s">
        <v>3673</v>
      </c>
      <c r="I466" s="5" t="s">
        <v>369</v>
      </c>
      <c r="J466" s="5" t="s">
        <v>370</v>
      </c>
      <c r="K466" s="5" t="s">
        <v>40</v>
      </c>
      <c r="L466">
        <v>2</v>
      </c>
      <c r="M466">
        <v>64.55</v>
      </c>
      <c r="N466" s="8">
        <v>3.23</v>
      </c>
      <c r="O466" s="8">
        <v>125.87</v>
      </c>
      <c r="P466" s="8">
        <v>6.29</v>
      </c>
      <c r="Q466" s="10">
        <v>0</v>
      </c>
      <c r="R466" s="10">
        <v>10</v>
      </c>
      <c r="S466" s="8">
        <v>142.16</v>
      </c>
      <c r="T466">
        <v>18</v>
      </c>
      <c r="U466" t="str">
        <f t="shared" si="7"/>
        <v>Sunday</v>
      </c>
    </row>
    <row r="467" spans="1:21" x14ac:dyDescent="0.3">
      <c r="A467" s="5" t="s">
        <v>1649</v>
      </c>
      <c r="B467" s="3" t="s">
        <v>3683</v>
      </c>
      <c r="C467" s="5" t="s">
        <v>865</v>
      </c>
      <c r="D467" s="5" t="s">
        <v>21</v>
      </c>
      <c r="E467" s="5" t="s">
        <v>112</v>
      </c>
      <c r="F467" s="5" t="s">
        <v>23</v>
      </c>
      <c r="G467" t="s">
        <v>1650</v>
      </c>
      <c r="H467" s="5" t="s">
        <v>3677</v>
      </c>
      <c r="I467" s="5" t="s">
        <v>374</v>
      </c>
      <c r="J467" s="5" t="s">
        <v>375</v>
      </c>
      <c r="K467" s="5" t="s">
        <v>196</v>
      </c>
      <c r="L467">
        <v>6</v>
      </c>
      <c r="M467">
        <v>72.17</v>
      </c>
      <c r="N467" s="8">
        <v>3.61</v>
      </c>
      <c r="O467" s="8">
        <v>429.41</v>
      </c>
      <c r="P467" s="8">
        <v>21.47</v>
      </c>
      <c r="Q467" s="10">
        <v>10</v>
      </c>
      <c r="R467" s="10">
        <v>10</v>
      </c>
      <c r="S467" s="8">
        <v>470.88</v>
      </c>
      <c r="T467">
        <v>24.67</v>
      </c>
      <c r="U467" t="str">
        <f t="shared" si="7"/>
        <v>Thursday</v>
      </c>
    </row>
    <row r="468" spans="1:21" x14ac:dyDescent="0.3">
      <c r="A468" s="5" t="s">
        <v>1651</v>
      </c>
      <c r="B468" s="3" t="s">
        <v>3691</v>
      </c>
      <c r="C468" s="5" t="s">
        <v>870</v>
      </c>
      <c r="D468" s="5" t="s">
        <v>21</v>
      </c>
      <c r="E468" s="5" t="s">
        <v>112</v>
      </c>
      <c r="F468" s="5" t="s">
        <v>37</v>
      </c>
      <c r="G468" t="s">
        <v>1652</v>
      </c>
      <c r="H468" s="5" t="s">
        <v>3675</v>
      </c>
      <c r="I468" s="5" t="s">
        <v>379</v>
      </c>
      <c r="J468" s="5" t="s">
        <v>380</v>
      </c>
      <c r="K468" s="5" t="s">
        <v>45</v>
      </c>
      <c r="L468">
        <v>3</v>
      </c>
      <c r="M468">
        <v>222.34</v>
      </c>
      <c r="N468" s="8">
        <v>0</v>
      </c>
      <c r="O468" s="8">
        <v>667.02</v>
      </c>
      <c r="P468" s="8">
        <v>33.35</v>
      </c>
      <c r="Q468" s="10">
        <v>10</v>
      </c>
      <c r="R468" s="10">
        <v>5</v>
      </c>
      <c r="S468" s="8">
        <v>715.37</v>
      </c>
      <c r="T468">
        <v>26</v>
      </c>
      <c r="U468" t="str">
        <f t="shared" si="7"/>
        <v>Friday</v>
      </c>
    </row>
    <row r="469" spans="1:21" x14ac:dyDescent="0.3">
      <c r="A469" s="5" t="s">
        <v>1653</v>
      </c>
      <c r="B469" s="3" t="s">
        <v>3690</v>
      </c>
      <c r="C469" s="5" t="s">
        <v>875</v>
      </c>
      <c r="D469" s="5" t="s">
        <v>21</v>
      </c>
      <c r="E469" s="5" t="s">
        <v>112</v>
      </c>
      <c r="F469" s="5" t="s">
        <v>37</v>
      </c>
      <c r="G469" t="s">
        <v>1654</v>
      </c>
      <c r="H469" s="5" t="s">
        <v>3677</v>
      </c>
      <c r="I469" s="5" t="s">
        <v>383</v>
      </c>
      <c r="J469" s="5" t="s">
        <v>384</v>
      </c>
      <c r="K469" s="5" t="s">
        <v>40</v>
      </c>
      <c r="L469">
        <v>6</v>
      </c>
      <c r="M469">
        <v>149.36000000000001</v>
      </c>
      <c r="N469" s="8">
        <v>0</v>
      </c>
      <c r="O469" s="8">
        <v>896.16000000000008</v>
      </c>
      <c r="P469" s="8">
        <v>44.81</v>
      </c>
      <c r="Q469" s="10">
        <v>0</v>
      </c>
      <c r="R469" s="10">
        <v>15</v>
      </c>
      <c r="S469" s="8">
        <v>955.97</v>
      </c>
      <c r="T469">
        <v>17</v>
      </c>
      <c r="U469" t="str">
        <f t="shared" si="7"/>
        <v>Sunday</v>
      </c>
    </row>
    <row r="470" spans="1:21" x14ac:dyDescent="0.3">
      <c r="A470" s="5" t="s">
        <v>1655</v>
      </c>
      <c r="B470" s="3" t="s">
        <v>3737</v>
      </c>
      <c r="C470" s="5" t="s">
        <v>880</v>
      </c>
      <c r="D470" s="5" t="s">
        <v>82</v>
      </c>
      <c r="E470" s="5" t="s">
        <v>83</v>
      </c>
      <c r="F470" s="5" t="s">
        <v>42</v>
      </c>
      <c r="G470" t="s">
        <v>1656</v>
      </c>
      <c r="H470" s="5" t="s">
        <v>3677</v>
      </c>
      <c r="I470" s="5" t="s">
        <v>388</v>
      </c>
      <c r="J470" s="5" t="s">
        <v>389</v>
      </c>
      <c r="K470" s="5" t="s">
        <v>28</v>
      </c>
      <c r="L470">
        <v>3</v>
      </c>
      <c r="M470">
        <v>225.94</v>
      </c>
      <c r="N470" s="8">
        <v>11.3</v>
      </c>
      <c r="O470" s="8">
        <v>666.52</v>
      </c>
      <c r="P470" s="8">
        <v>33.33</v>
      </c>
      <c r="Q470" s="10">
        <v>0</v>
      </c>
      <c r="R470" s="10">
        <v>15</v>
      </c>
      <c r="S470" s="8">
        <v>714.85</v>
      </c>
      <c r="T470">
        <v>18</v>
      </c>
      <c r="U470" t="str">
        <f t="shared" si="7"/>
        <v>Saturday</v>
      </c>
    </row>
    <row r="471" spans="1:21" x14ac:dyDescent="0.3">
      <c r="A471" s="5" t="s">
        <v>1657</v>
      </c>
      <c r="B471" s="3" t="s">
        <v>3687</v>
      </c>
      <c r="C471" s="5" t="s">
        <v>885</v>
      </c>
      <c r="D471" s="5" t="s">
        <v>21</v>
      </c>
      <c r="E471" s="5" t="s">
        <v>76</v>
      </c>
      <c r="F471" s="5" t="s">
        <v>37</v>
      </c>
      <c r="G471" t="s">
        <v>1658</v>
      </c>
      <c r="H471" s="5" t="s">
        <v>3674</v>
      </c>
      <c r="I471" s="5" t="s">
        <v>393</v>
      </c>
      <c r="J471" s="5" t="s">
        <v>394</v>
      </c>
      <c r="K471" s="5" t="s">
        <v>145</v>
      </c>
      <c r="L471">
        <v>3</v>
      </c>
      <c r="M471">
        <v>67.45</v>
      </c>
      <c r="N471" s="8">
        <v>10.119999999999999</v>
      </c>
      <c r="O471" s="8">
        <v>192.23</v>
      </c>
      <c r="P471" s="8">
        <v>9.61</v>
      </c>
      <c r="Q471" s="10">
        <v>20</v>
      </c>
      <c r="R471" s="10">
        <v>0</v>
      </c>
      <c r="S471" s="8">
        <v>221.84</v>
      </c>
      <c r="T471">
        <v>33</v>
      </c>
      <c r="U471" t="str">
        <f t="shared" si="7"/>
        <v>Friday</v>
      </c>
    </row>
    <row r="472" spans="1:21" x14ac:dyDescent="0.3">
      <c r="A472" s="5" t="s">
        <v>1659</v>
      </c>
      <c r="B472" s="3" t="s">
        <v>3718</v>
      </c>
      <c r="C472" s="5" t="s">
        <v>890</v>
      </c>
      <c r="D472" s="5" t="s">
        <v>21</v>
      </c>
      <c r="E472" s="5" t="s">
        <v>76</v>
      </c>
      <c r="F472" s="5" t="s">
        <v>37</v>
      </c>
      <c r="G472" t="s">
        <v>1660</v>
      </c>
      <c r="H472" s="5" t="s">
        <v>100</v>
      </c>
      <c r="I472" s="5" t="s">
        <v>398</v>
      </c>
      <c r="J472" s="5" t="s">
        <v>399</v>
      </c>
      <c r="K472" s="5" t="s">
        <v>28</v>
      </c>
      <c r="L472">
        <v>1</v>
      </c>
      <c r="M472">
        <v>171.39</v>
      </c>
      <c r="N472" s="8">
        <v>25.71</v>
      </c>
      <c r="O472" s="8">
        <v>145.68</v>
      </c>
      <c r="P472" s="8">
        <v>7.28</v>
      </c>
      <c r="Q472" s="10">
        <v>30</v>
      </c>
      <c r="R472" s="10">
        <v>20</v>
      </c>
      <c r="S472" s="8">
        <v>202.96</v>
      </c>
      <c r="T472">
        <v>42</v>
      </c>
      <c r="U472" t="str">
        <f t="shared" si="7"/>
        <v>Wednesday</v>
      </c>
    </row>
    <row r="473" spans="1:21" x14ac:dyDescent="0.3">
      <c r="A473" s="5" t="s">
        <v>1661</v>
      </c>
      <c r="B473" s="3" t="s">
        <v>3735</v>
      </c>
      <c r="C473" s="5" t="s">
        <v>895</v>
      </c>
      <c r="D473" s="5" t="s">
        <v>21</v>
      </c>
      <c r="E473" s="5" t="s">
        <v>69</v>
      </c>
      <c r="F473" s="5" t="s">
        <v>42</v>
      </c>
      <c r="G473" t="s">
        <v>1662</v>
      </c>
      <c r="H473" s="5" t="s">
        <v>100</v>
      </c>
      <c r="I473" s="5" t="s">
        <v>403</v>
      </c>
      <c r="J473" s="5" t="s">
        <v>404</v>
      </c>
      <c r="K473" s="5" t="s">
        <v>34</v>
      </c>
      <c r="L473">
        <v>7</v>
      </c>
      <c r="M473">
        <v>61.35</v>
      </c>
      <c r="N473" s="8">
        <v>6.14</v>
      </c>
      <c r="O473" s="8">
        <v>423.31</v>
      </c>
      <c r="P473" s="8">
        <v>21.17</v>
      </c>
      <c r="Q473" s="10">
        <v>10</v>
      </c>
      <c r="R473" s="10">
        <v>10</v>
      </c>
      <c r="S473" s="8">
        <v>464.48</v>
      </c>
      <c r="T473">
        <v>30</v>
      </c>
      <c r="U473" t="str">
        <f t="shared" si="7"/>
        <v>Saturday</v>
      </c>
    </row>
    <row r="474" spans="1:21" x14ac:dyDescent="0.3">
      <c r="A474" s="5" t="s">
        <v>1663</v>
      </c>
      <c r="B474" s="3" t="s">
        <v>3708</v>
      </c>
      <c r="C474" s="5" t="s">
        <v>900</v>
      </c>
      <c r="D474" s="5" t="s">
        <v>21</v>
      </c>
      <c r="E474" s="5" t="s">
        <v>76</v>
      </c>
      <c r="F474" s="5" t="s">
        <v>37</v>
      </c>
      <c r="G474" t="s">
        <v>1664</v>
      </c>
      <c r="H474" s="5" t="s">
        <v>100</v>
      </c>
      <c r="I474" s="5" t="s">
        <v>408</v>
      </c>
      <c r="J474" s="5" t="s">
        <v>409</v>
      </c>
      <c r="K474" s="5" t="s">
        <v>45</v>
      </c>
      <c r="L474">
        <v>3</v>
      </c>
      <c r="M474">
        <v>219.86</v>
      </c>
      <c r="N474" s="8">
        <v>21.99</v>
      </c>
      <c r="O474" s="8">
        <v>637.59</v>
      </c>
      <c r="P474" s="8">
        <v>31.88</v>
      </c>
      <c r="Q474" s="10">
        <v>20</v>
      </c>
      <c r="R474" s="10">
        <v>10</v>
      </c>
      <c r="S474" s="8">
        <v>699.47</v>
      </c>
      <c r="T474">
        <v>32</v>
      </c>
      <c r="U474" t="str">
        <f t="shared" si="7"/>
        <v>Sunday</v>
      </c>
    </row>
    <row r="475" spans="1:21" x14ac:dyDescent="0.3">
      <c r="A475" s="5" t="s">
        <v>1665</v>
      </c>
      <c r="B475" s="3" t="s">
        <v>3692</v>
      </c>
      <c r="C475" s="5" t="s">
        <v>905</v>
      </c>
      <c r="D475" s="5" t="s">
        <v>21</v>
      </c>
      <c r="E475" s="5" t="s">
        <v>22</v>
      </c>
      <c r="F475" s="5" t="s">
        <v>42</v>
      </c>
      <c r="G475" t="s">
        <v>1666</v>
      </c>
      <c r="H475" s="5" t="s">
        <v>3674</v>
      </c>
      <c r="I475" s="5" t="s">
        <v>413</v>
      </c>
      <c r="J475" s="5" t="s">
        <v>414</v>
      </c>
      <c r="K475" s="5" t="s">
        <v>145</v>
      </c>
      <c r="L475">
        <v>2</v>
      </c>
      <c r="M475">
        <v>117.39</v>
      </c>
      <c r="N475" s="8">
        <v>0</v>
      </c>
      <c r="O475" s="8">
        <v>234.78</v>
      </c>
      <c r="P475" s="8">
        <v>11.74</v>
      </c>
      <c r="Q475" s="10">
        <v>30</v>
      </c>
      <c r="R475" s="10">
        <v>20</v>
      </c>
      <c r="S475" s="8">
        <v>296.52</v>
      </c>
      <c r="T475">
        <v>24.67</v>
      </c>
      <c r="U475" t="str">
        <f t="shared" si="7"/>
        <v>Wednesday</v>
      </c>
    </row>
    <row r="476" spans="1:21" x14ac:dyDescent="0.3">
      <c r="A476" s="5" t="s">
        <v>1667</v>
      </c>
      <c r="B476" s="3" t="s">
        <v>3685</v>
      </c>
      <c r="C476" s="5" t="s">
        <v>910</v>
      </c>
      <c r="D476" s="5" t="s">
        <v>21</v>
      </c>
      <c r="E476" s="5" t="s">
        <v>112</v>
      </c>
      <c r="F476" s="5" t="s">
        <v>23</v>
      </c>
      <c r="G476" t="s">
        <v>1668</v>
      </c>
      <c r="H476" s="5" t="s">
        <v>3673</v>
      </c>
      <c r="I476" s="5" t="s">
        <v>418</v>
      </c>
      <c r="J476" s="5" t="s">
        <v>419</v>
      </c>
      <c r="K476" s="5" t="s">
        <v>145</v>
      </c>
      <c r="L476">
        <v>4</v>
      </c>
      <c r="M476">
        <v>124.02</v>
      </c>
      <c r="N476" s="8">
        <v>6.2</v>
      </c>
      <c r="O476" s="8">
        <v>489.88</v>
      </c>
      <c r="P476" s="8">
        <v>24.49</v>
      </c>
      <c r="Q476" s="10">
        <v>0</v>
      </c>
      <c r="R476" s="10">
        <v>0</v>
      </c>
      <c r="S476" s="8">
        <v>514.37</v>
      </c>
      <c r="T476">
        <v>36</v>
      </c>
      <c r="U476" t="str">
        <f t="shared" si="7"/>
        <v>Thursday</v>
      </c>
    </row>
    <row r="477" spans="1:21" x14ac:dyDescent="0.3">
      <c r="A477" s="5" t="s">
        <v>1669</v>
      </c>
      <c r="B477" s="3" t="s">
        <v>3693</v>
      </c>
      <c r="C477" s="5" t="s">
        <v>915</v>
      </c>
      <c r="D477" s="5" t="s">
        <v>21</v>
      </c>
      <c r="E477" s="5" t="s">
        <v>22</v>
      </c>
      <c r="F477" s="5" t="s">
        <v>23</v>
      </c>
      <c r="G477" t="s">
        <v>1670</v>
      </c>
      <c r="H477" s="5" t="s">
        <v>3674</v>
      </c>
      <c r="I477" s="5" t="s">
        <v>423</v>
      </c>
      <c r="J477" s="5" t="s">
        <v>424</v>
      </c>
      <c r="K477" s="5" t="s">
        <v>73</v>
      </c>
      <c r="L477">
        <v>2</v>
      </c>
      <c r="M477">
        <v>70.12</v>
      </c>
      <c r="N477" s="8">
        <v>0</v>
      </c>
      <c r="O477" s="8">
        <v>140.24</v>
      </c>
      <c r="P477" s="8">
        <v>7.01</v>
      </c>
      <c r="Q477" s="10">
        <v>0</v>
      </c>
      <c r="R477" s="10">
        <v>0</v>
      </c>
      <c r="S477" s="8">
        <v>147.25</v>
      </c>
      <c r="T477">
        <v>31</v>
      </c>
      <c r="U477" t="str">
        <f t="shared" si="7"/>
        <v>Thursday</v>
      </c>
    </row>
    <row r="478" spans="1:21" x14ac:dyDescent="0.3">
      <c r="A478" s="5" t="s">
        <v>1671</v>
      </c>
      <c r="B478" s="3" t="s">
        <v>3702</v>
      </c>
      <c r="C478" s="5" t="s">
        <v>920</v>
      </c>
      <c r="D478" s="5" t="s">
        <v>21</v>
      </c>
      <c r="E478" s="5" t="s">
        <v>112</v>
      </c>
      <c r="F478" s="5" t="s">
        <v>23</v>
      </c>
      <c r="G478" t="s">
        <v>1672</v>
      </c>
      <c r="H478" s="5" t="s">
        <v>25</v>
      </c>
      <c r="I478" s="5" t="s">
        <v>427</v>
      </c>
      <c r="J478" s="5" t="s">
        <v>428</v>
      </c>
      <c r="K478" s="5" t="s">
        <v>73</v>
      </c>
      <c r="L478">
        <v>6</v>
      </c>
      <c r="M478">
        <v>119.18</v>
      </c>
      <c r="N478" s="8">
        <v>5.96</v>
      </c>
      <c r="O478" s="8">
        <v>709.12</v>
      </c>
      <c r="P478" s="8">
        <v>35.46</v>
      </c>
      <c r="Q478" s="10">
        <v>30</v>
      </c>
      <c r="R478" s="10">
        <v>20</v>
      </c>
      <c r="S478" s="8">
        <v>794.58</v>
      </c>
      <c r="T478">
        <v>27</v>
      </c>
      <c r="U478" t="str">
        <f t="shared" si="7"/>
        <v>Monday</v>
      </c>
    </row>
    <row r="479" spans="1:21" x14ac:dyDescent="0.3">
      <c r="A479" s="5" t="s">
        <v>1673</v>
      </c>
      <c r="B479" s="3" t="s">
        <v>3704</v>
      </c>
      <c r="C479" s="5" t="s">
        <v>925</v>
      </c>
      <c r="D479" s="5" t="s">
        <v>21</v>
      </c>
      <c r="E479" s="5" t="s">
        <v>22</v>
      </c>
      <c r="F479" s="5" t="s">
        <v>42</v>
      </c>
      <c r="G479" t="s">
        <v>1674</v>
      </c>
      <c r="H479" s="5" t="s">
        <v>3677</v>
      </c>
      <c r="I479" s="5" t="s">
        <v>432</v>
      </c>
      <c r="J479" s="5" t="s">
        <v>433</v>
      </c>
      <c r="K479" s="5" t="s">
        <v>34</v>
      </c>
      <c r="L479">
        <v>2</v>
      </c>
      <c r="M479">
        <v>23.67</v>
      </c>
      <c r="N479" s="8">
        <v>2.37</v>
      </c>
      <c r="O479" s="8">
        <v>44.970000000000013</v>
      </c>
      <c r="P479" s="8">
        <v>2.25</v>
      </c>
      <c r="Q479" s="10">
        <v>10</v>
      </c>
      <c r="R479" s="10">
        <v>0</v>
      </c>
      <c r="S479" s="8">
        <v>57.220000000000013</v>
      </c>
      <c r="T479">
        <v>20</v>
      </c>
      <c r="U479" t="str">
        <f t="shared" si="7"/>
        <v>Tuesday</v>
      </c>
    </row>
    <row r="480" spans="1:21" x14ac:dyDescent="0.3">
      <c r="A480" s="5" t="s">
        <v>1675</v>
      </c>
      <c r="B480" s="3" t="s">
        <v>3693</v>
      </c>
      <c r="C480" s="5" t="s">
        <v>930</v>
      </c>
      <c r="D480" s="5" t="s">
        <v>21</v>
      </c>
      <c r="E480" s="5" t="s">
        <v>36</v>
      </c>
      <c r="F480" s="5" t="s">
        <v>42</v>
      </c>
      <c r="G480" t="s">
        <v>1676</v>
      </c>
      <c r="H480" s="5" t="s">
        <v>3674</v>
      </c>
      <c r="I480" s="5" t="s">
        <v>437</v>
      </c>
      <c r="J480" s="5" t="s">
        <v>438</v>
      </c>
      <c r="K480" s="5" t="s">
        <v>34</v>
      </c>
      <c r="L480">
        <v>6</v>
      </c>
      <c r="M480">
        <v>202.89</v>
      </c>
      <c r="N480" s="8">
        <v>30.43</v>
      </c>
      <c r="O480" s="8">
        <v>1186.9100000000001</v>
      </c>
      <c r="P480" s="8">
        <v>59.35</v>
      </c>
      <c r="Q480" s="10">
        <v>0</v>
      </c>
      <c r="R480" s="10">
        <v>5</v>
      </c>
      <c r="S480" s="8">
        <v>1251.26</v>
      </c>
      <c r="T480">
        <v>37</v>
      </c>
      <c r="U480" t="str">
        <f t="shared" si="7"/>
        <v>Thursday</v>
      </c>
    </row>
    <row r="481" spans="1:21" x14ac:dyDescent="0.3">
      <c r="A481" s="5" t="s">
        <v>1677</v>
      </c>
      <c r="B481" s="3" t="s">
        <v>3719</v>
      </c>
      <c r="C481" s="5" t="s">
        <v>935</v>
      </c>
      <c r="D481" s="5" t="s">
        <v>21</v>
      </c>
      <c r="E481" s="5" t="s">
        <v>76</v>
      </c>
      <c r="F481" s="5" t="s">
        <v>42</v>
      </c>
      <c r="H481" s="5" t="s">
        <v>3674</v>
      </c>
      <c r="I481" s="5" t="s">
        <v>442</v>
      </c>
      <c r="J481" s="5" t="s">
        <v>443</v>
      </c>
      <c r="K481" s="5" t="s">
        <v>196</v>
      </c>
      <c r="L481">
        <v>5</v>
      </c>
      <c r="M481">
        <v>141.55000000000001</v>
      </c>
      <c r="N481" s="8">
        <v>21.23</v>
      </c>
      <c r="O481" s="8">
        <v>686.52</v>
      </c>
      <c r="P481" s="8">
        <v>34.33</v>
      </c>
      <c r="Q481" s="10">
        <v>20</v>
      </c>
      <c r="R481" s="10">
        <v>10</v>
      </c>
      <c r="S481" s="8">
        <v>750.85</v>
      </c>
      <c r="T481">
        <v>24.67</v>
      </c>
      <c r="U481" t="str">
        <f t="shared" si="7"/>
        <v>Sunday</v>
      </c>
    </row>
    <row r="482" spans="1:21" x14ac:dyDescent="0.3">
      <c r="A482" s="5" t="s">
        <v>1678</v>
      </c>
      <c r="B482" s="3" t="s">
        <v>3722</v>
      </c>
      <c r="C482" s="5" t="s">
        <v>940</v>
      </c>
      <c r="D482" s="5" t="s">
        <v>21</v>
      </c>
      <c r="E482" s="5" t="s">
        <v>22</v>
      </c>
      <c r="F482" s="5" t="s">
        <v>23</v>
      </c>
      <c r="G482" t="s">
        <v>1679</v>
      </c>
      <c r="H482" s="5" t="s">
        <v>3674</v>
      </c>
      <c r="I482" s="5" t="s">
        <v>447</v>
      </c>
      <c r="J482" s="5" t="s">
        <v>448</v>
      </c>
      <c r="K482" s="5" t="s">
        <v>56</v>
      </c>
      <c r="L482">
        <v>4</v>
      </c>
      <c r="M482">
        <v>115.55</v>
      </c>
      <c r="N482" s="8">
        <v>11.55</v>
      </c>
      <c r="O482" s="8">
        <v>450.65</v>
      </c>
      <c r="P482" s="8">
        <v>22.53</v>
      </c>
      <c r="Q482" s="10">
        <v>0</v>
      </c>
      <c r="R482" s="10">
        <v>5</v>
      </c>
      <c r="S482" s="8">
        <v>478.17999999999989</v>
      </c>
      <c r="T482">
        <v>24.67</v>
      </c>
      <c r="U482" t="str">
        <f t="shared" si="7"/>
        <v>Friday</v>
      </c>
    </row>
    <row r="483" spans="1:21" x14ac:dyDescent="0.3">
      <c r="A483" s="5" t="s">
        <v>1680</v>
      </c>
      <c r="B483" s="3" t="s">
        <v>3690</v>
      </c>
      <c r="C483" s="5" t="s">
        <v>945</v>
      </c>
      <c r="D483" s="5" t="s">
        <v>82</v>
      </c>
      <c r="E483" s="5" t="s">
        <v>83</v>
      </c>
      <c r="F483" s="5" t="s">
        <v>37</v>
      </c>
      <c r="G483" t="s">
        <v>1681</v>
      </c>
      <c r="H483" s="5" t="s">
        <v>100</v>
      </c>
      <c r="I483" s="5" t="s">
        <v>452</v>
      </c>
      <c r="J483" s="5" t="s">
        <v>453</v>
      </c>
      <c r="K483" s="5" t="s">
        <v>196</v>
      </c>
      <c r="L483">
        <v>2</v>
      </c>
      <c r="M483">
        <v>61.61</v>
      </c>
      <c r="N483" s="8">
        <v>9.24</v>
      </c>
      <c r="O483" s="8">
        <v>113.98</v>
      </c>
      <c r="P483" s="8">
        <v>5.7</v>
      </c>
      <c r="Q483" s="10">
        <v>0</v>
      </c>
      <c r="R483" s="10">
        <v>0</v>
      </c>
      <c r="S483" s="8">
        <v>119.68</v>
      </c>
      <c r="T483">
        <v>6</v>
      </c>
      <c r="U483" t="str">
        <f t="shared" si="7"/>
        <v>Sunday</v>
      </c>
    </row>
    <row r="484" spans="1:21" x14ac:dyDescent="0.3">
      <c r="A484" s="5" t="s">
        <v>1682</v>
      </c>
      <c r="B484" s="3" t="s">
        <v>3698</v>
      </c>
      <c r="C484" s="5" t="s">
        <v>950</v>
      </c>
      <c r="D484" s="5" t="s">
        <v>21</v>
      </c>
      <c r="E484" s="5" t="s">
        <v>22</v>
      </c>
      <c r="F484" s="5" t="s">
        <v>37</v>
      </c>
      <c r="G484" t="s">
        <v>1683</v>
      </c>
      <c r="H484" s="5" t="s">
        <v>3674</v>
      </c>
      <c r="I484" s="5" t="s">
        <v>456</v>
      </c>
      <c r="J484" s="5" t="s">
        <v>457</v>
      </c>
      <c r="K484" s="5" t="s">
        <v>73</v>
      </c>
      <c r="L484">
        <v>6</v>
      </c>
      <c r="M484">
        <v>218.05</v>
      </c>
      <c r="N484" s="8">
        <v>32.71</v>
      </c>
      <c r="O484" s="8">
        <v>1275.5899999999999</v>
      </c>
      <c r="P484" s="8">
        <v>63.78</v>
      </c>
      <c r="Q484" s="10">
        <v>0</v>
      </c>
      <c r="R484" s="10">
        <v>0</v>
      </c>
      <c r="S484" s="8">
        <v>1339.37</v>
      </c>
      <c r="T484">
        <v>29</v>
      </c>
      <c r="U484" t="str">
        <f t="shared" si="7"/>
        <v>Sunday</v>
      </c>
    </row>
    <row r="485" spans="1:21" x14ac:dyDescent="0.3">
      <c r="A485" s="5" t="s">
        <v>1684</v>
      </c>
      <c r="B485" s="3" t="s">
        <v>3714</v>
      </c>
      <c r="C485" s="5" t="s">
        <v>955</v>
      </c>
      <c r="D485" s="5" t="s">
        <v>21</v>
      </c>
      <c r="E485" s="5" t="s">
        <v>69</v>
      </c>
      <c r="F485" s="5" t="s">
        <v>37</v>
      </c>
      <c r="G485" t="s">
        <v>1685</v>
      </c>
      <c r="H485" s="5" t="s">
        <v>3675</v>
      </c>
      <c r="I485" s="5" t="s">
        <v>460</v>
      </c>
      <c r="J485" s="5" t="s">
        <v>461</v>
      </c>
      <c r="K485" s="5" t="s">
        <v>145</v>
      </c>
      <c r="L485">
        <v>3</v>
      </c>
      <c r="M485">
        <v>175</v>
      </c>
      <c r="N485" s="8">
        <v>26.25</v>
      </c>
      <c r="O485" s="8">
        <v>498.75</v>
      </c>
      <c r="P485" s="8">
        <v>24.94</v>
      </c>
      <c r="Q485" s="10">
        <v>20</v>
      </c>
      <c r="R485" s="10">
        <v>20</v>
      </c>
      <c r="S485" s="8">
        <v>563.69000000000005</v>
      </c>
      <c r="T485">
        <v>18</v>
      </c>
      <c r="U485" t="str">
        <f t="shared" si="7"/>
        <v>Thursday</v>
      </c>
    </row>
    <row r="486" spans="1:21" x14ac:dyDescent="0.3">
      <c r="A486" s="5" t="s">
        <v>1686</v>
      </c>
      <c r="B486" s="3" t="s">
        <v>3680</v>
      </c>
      <c r="C486" s="5" t="s">
        <v>960</v>
      </c>
      <c r="D486" s="5" t="s">
        <v>21</v>
      </c>
      <c r="E486" s="5" t="s">
        <v>22</v>
      </c>
      <c r="F486" s="5" t="s">
        <v>42</v>
      </c>
      <c r="G486" t="s">
        <v>1687</v>
      </c>
      <c r="H486" s="5" t="s">
        <v>3673</v>
      </c>
      <c r="I486" s="5" t="s">
        <v>465</v>
      </c>
      <c r="J486" s="5" t="s">
        <v>466</v>
      </c>
      <c r="K486" s="5" t="s">
        <v>45</v>
      </c>
      <c r="L486">
        <v>1</v>
      </c>
      <c r="M486">
        <v>125.55</v>
      </c>
      <c r="N486" s="8">
        <v>12.55</v>
      </c>
      <c r="O486" s="8">
        <v>113</v>
      </c>
      <c r="P486" s="8">
        <v>5.65</v>
      </c>
      <c r="Q486" s="10">
        <v>30</v>
      </c>
      <c r="R486" s="10">
        <v>0</v>
      </c>
      <c r="S486" s="8">
        <v>148.65</v>
      </c>
      <c r="T486">
        <v>17</v>
      </c>
      <c r="U486" t="str">
        <f t="shared" si="7"/>
        <v>Wednesday</v>
      </c>
    </row>
    <row r="487" spans="1:21" x14ac:dyDescent="0.3">
      <c r="A487" s="5" t="s">
        <v>1688</v>
      </c>
      <c r="B487" s="3" t="s">
        <v>3724</v>
      </c>
      <c r="C487" s="5" t="s">
        <v>965</v>
      </c>
      <c r="D487" s="5" t="s">
        <v>21</v>
      </c>
      <c r="E487" s="5" t="s">
        <v>76</v>
      </c>
      <c r="F487" s="5" t="s">
        <v>37</v>
      </c>
      <c r="G487" t="s">
        <v>1689</v>
      </c>
      <c r="H487" s="5" t="s">
        <v>3673</v>
      </c>
      <c r="I487" s="5" t="s">
        <v>470</v>
      </c>
      <c r="J487" s="5" t="s">
        <v>471</v>
      </c>
      <c r="K487" s="5" t="s">
        <v>22</v>
      </c>
      <c r="L487">
        <v>3</v>
      </c>
      <c r="M487">
        <v>37.44</v>
      </c>
      <c r="N487" s="8">
        <v>1.87</v>
      </c>
      <c r="O487" s="8">
        <v>110.45</v>
      </c>
      <c r="P487" s="8">
        <v>5.52</v>
      </c>
      <c r="Q487" s="10">
        <v>30</v>
      </c>
      <c r="R487" s="10">
        <v>15</v>
      </c>
      <c r="S487" s="8">
        <v>160.97</v>
      </c>
      <c r="T487">
        <v>21</v>
      </c>
      <c r="U487" t="str">
        <f t="shared" si="7"/>
        <v>Sunday</v>
      </c>
    </row>
    <row r="488" spans="1:21" x14ac:dyDescent="0.3">
      <c r="A488" s="5" t="s">
        <v>1690</v>
      </c>
      <c r="B488" s="3" t="s">
        <v>3729</v>
      </c>
      <c r="C488" s="5" t="s">
        <v>970</v>
      </c>
      <c r="D488" s="5" t="s">
        <v>21</v>
      </c>
      <c r="E488" s="5" t="s">
        <v>112</v>
      </c>
      <c r="F488" s="5" t="s">
        <v>37</v>
      </c>
      <c r="G488" t="s">
        <v>1691</v>
      </c>
      <c r="H488" s="5" t="s">
        <v>25</v>
      </c>
      <c r="I488" s="5" t="s">
        <v>475</v>
      </c>
      <c r="J488" s="5" t="s">
        <v>476</v>
      </c>
      <c r="K488" s="5" t="s">
        <v>28</v>
      </c>
      <c r="L488">
        <v>4</v>
      </c>
      <c r="M488">
        <v>96.67</v>
      </c>
      <c r="N488" s="8">
        <v>9.67</v>
      </c>
      <c r="O488" s="8">
        <v>377.01</v>
      </c>
      <c r="P488" s="8">
        <v>18.850000000000001</v>
      </c>
      <c r="Q488" s="10">
        <v>0</v>
      </c>
      <c r="R488" s="10">
        <v>20</v>
      </c>
      <c r="S488" s="8">
        <v>415.86</v>
      </c>
      <c r="T488">
        <v>28</v>
      </c>
      <c r="U488" t="str">
        <f t="shared" si="7"/>
        <v>Monday</v>
      </c>
    </row>
    <row r="489" spans="1:21" x14ac:dyDescent="0.3">
      <c r="A489" s="5" t="s">
        <v>1692</v>
      </c>
      <c r="B489" s="3" t="s">
        <v>3678</v>
      </c>
      <c r="C489" s="5" t="s">
        <v>975</v>
      </c>
      <c r="D489" s="5" t="s">
        <v>21</v>
      </c>
      <c r="E489" s="5" t="s">
        <v>69</v>
      </c>
      <c r="F489" s="5" t="s">
        <v>23</v>
      </c>
      <c r="G489" t="s">
        <v>1693</v>
      </c>
      <c r="H489" s="5" t="s">
        <v>3677</v>
      </c>
      <c r="I489" s="5" t="s">
        <v>480</v>
      </c>
      <c r="J489" s="5" t="s">
        <v>481</v>
      </c>
      <c r="K489" s="5" t="s">
        <v>196</v>
      </c>
      <c r="L489">
        <v>4</v>
      </c>
      <c r="M489">
        <v>94.78</v>
      </c>
      <c r="N489" s="8">
        <v>4.74</v>
      </c>
      <c r="O489" s="8">
        <v>374.38</v>
      </c>
      <c r="P489" s="8">
        <v>18.72</v>
      </c>
      <c r="Q489" s="10">
        <v>30</v>
      </c>
      <c r="R489" s="10">
        <v>10</v>
      </c>
      <c r="S489" s="8">
        <v>433.1</v>
      </c>
      <c r="T489">
        <v>38</v>
      </c>
      <c r="U489" t="str">
        <f t="shared" si="7"/>
        <v>Saturday</v>
      </c>
    </row>
    <row r="490" spans="1:21" x14ac:dyDescent="0.3">
      <c r="A490" s="5" t="s">
        <v>1694</v>
      </c>
      <c r="B490" s="3" t="s">
        <v>3725</v>
      </c>
      <c r="C490" s="5" t="s">
        <v>980</v>
      </c>
      <c r="D490" s="5" t="s">
        <v>106</v>
      </c>
      <c r="E490" s="5" t="s">
        <v>83</v>
      </c>
      <c r="F490" s="5" t="s">
        <v>37</v>
      </c>
      <c r="G490" t="s">
        <v>1695</v>
      </c>
      <c r="H490" s="5" t="s">
        <v>25</v>
      </c>
      <c r="I490" s="5" t="s">
        <v>485</v>
      </c>
      <c r="J490" s="5" t="s">
        <v>486</v>
      </c>
      <c r="K490" s="5" t="s">
        <v>40</v>
      </c>
      <c r="L490">
        <v>5</v>
      </c>
      <c r="M490">
        <v>146.16</v>
      </c>
      <c r="N490" s="8">
        <v>0</v>
      </c>
      <c r="O490" s="8">
        <v>730.8</v>
      </c>
      <c r="P490" s="8">
        <v>36.54</v>
      </c>
      <c r="Q490" s="10">
        <v>0</v>
      </c>
      <c r="R490" s="10">
        <v>15</v>
      </c>
      <c r="S490" s="8">
        <v>782.33999999999992</v>
      </c>
      <c r="T490">
        <v>44</v>
      </c>
      <c r="U490" t="str">
        <f t="shared" si="7"/>
        <v>Wednesday</v>
      </c>
    </row>
    <row r="491" spans="1:21" x14ac:dyDescent="0.3">
      <c r="A491" s="5" t="s">
        <v>1696</v>
      </c>
      <c r="B491" s="3" t="s">
        <v>3704</v>
      </c>
      <c r="C491" s="5" t="s">
        <v>985</v>
      </c>
      <c r="D491" s="5" t="s">
        <v>21</v>
      </c>
      <c r="E491" s="5" t="s">
        <v>22</v>
      </c>
      <c r="F491" s="5" t="s">
        <v>37</v>
      </c>
      <c r="G491" t="s">
        <v>1697</v>
      </c>
      <c r="H491" s="5" t="s">
        <v>3674</v>
      </c>
      <c r="I491" s="5" t="s">
        <v>490</v>
      </c>
      <c r="J491" s="5" t="s">
        <v>491</v>
      </c>
      <c r="K491" s="5" t="s">
        <v>196</v>
      </c>
      <c r="L491">
        <v>1</v>
      </c>
      <c r="M491">
        <v>96.21</v>
      </c>
      <c r="N491" s="8">
        <v>9.6199999999999992</v>
      </c>
      <c r="O491" s="8">
        <v>86.589999999999989</v>
      </c>
      <c r="P491" s="8">
        <v>4.33</v>
      </c>
      <c r="Q491" s="10">
        <v>30</v>
      </c>
      <c r="R491" s="10">
        <v>15</v>
      </c>
      <c r="S491" s="8">
        <v>135.91999999999999</v>
      </c>
      <c r="T491">
        <v>38</v>
      </c>
      <c r="U491" t="str">
        <f t="shared" si="7"/>
        <v>Tuesday</v>
      </c>
    </row>
    <row r="492" spans="1:21" x14ac:dyDescent="0.3">
      <c r="A492" s="5" t="s">
        <v>1698</v>
      </c>
      <c r="B492" s="3" t="s">
        <v>3710</v>
      </c>
      <c r="C492" s="5" t="s">
        <v>990</v>
      </c>
      <c r="D492" s="5" t="s">
        <v>82</v>
      </c>
      <c r="E492" s="5" t="s">
        <v>83</v>
      </c>
      <c r="F492" s="5" t="s">
        <v>23</v>
      </c>
      <c r="G492" t="s">
        <v>1699</v>
      </c>
      <c r="H492" s="5" t="s">
        <v>3674</v>
      </c>
      <c r="I492" s="5" t="s">
        <v>495</v>
      </c>
      <c r="J492" s="5" t="s">
        <v>496</v>
      </c>
      <c r="K492" s="5" t="s">
        <v>34</v>
      </c>
      <c r="L492">
        <v>3</v>
      </c>
      <c r="M492">
        <v>200.57</v>
      </c>
      <c r="N492" s="8">
        <v>10.029999999999999</v>
      </c>
      <c r="O492" s="8">
        <v>591.68000000000006</v>
      </c>
      <c r="P492" s="8">
        <v>29.58</v>
      </c>
      <c r="Q492" s="10">
        <v>0</v>
      </c>
      <c r="R492" s="10">
        <v>15</v>
      </c>
      <c r="S492" s="8">
        <v>636.2600000000001</v>
      </c>
      <c r="T492">
        <v>24.67</v>
      </c>
      <c r="U492" t="str">
        <f t="shared" si="7"/>
        <v>Monday</v>
      </c>
    </row>
    <row r="493" spans="1:21" x14ac:dyDescent="0.3">
      <c r="A493" s="5" t="s">
        <v>1700</v>
      </c>
      <c r="B493" s="3" t="s">
        <v>3719</v>
      </c>
      <c r="C493" s="5" t="s">
        <v>995</v>
      </c>
      <c r="D493" s="5" t="s">
        <v>82</v>
      </c>
      <c r="E493" s="5" t="s">
        <v>83</v>
      </c>
      <c r="F493" s="5" t="s">
        <v>37</v>
      </c>
      <c r="G493" t="s">
        <v>1701</v>
      </c>
      <c r="H493" s="5" t="s">
        <v>3677</v>
      </c>
      <c r="I493" s="5" t="s">
        <v>500</v>
      </c>
      <c r="J493" s="5" t="s">
        <v>501</v>
      </c>
      <c r="K493" s="5" t="s">
        <v>145</v>
      </c>
      <c r="L493">
        <v>1</v>
      </c>
      <c r="M493">
        <v>217.57</v>
      </c>
      <c r="N493" s="8">
        <v>21.76</v>
      </c>
      <c r="O493" s="8">
        <v>195.81</v>
      </c>
      <c r="P493" s="8">
        <v>9.7899999999999991</v>
      </c>
      <c r="Q493" s="10">
        <v>20</v>
      </c>
      <c r="R493" s="10">
        <v>0</v>
      </c>
      <c r="S493" s="8">
        <v>225.6</v>
      </c>
      <c r="T493">
        <v>32</v>
      </c>
      <c r="U493" t="str">
        <f t="shared" si="7"/>
        <v>Sunday</v>
      </c>
    </row>
    <row r="494" spans="1:21" x14ac:dyDescent="0.3">
      <c r="A494" s="5" t="s">
        <v>1702</v>
      </c>
      <c r="B494" s="3" t="s">
        <v>3721</v>
      </c>
      <c r="C494" s="5" t="s">
        <v>1000</v>
      </c>
      <c r="D494" s="5" t="s">
        <v>21</v>
      </c>
      <c r="E494" s="5" t="s">
        <v>112</v>
      </c>
      <c r="F494" s="5" t="s">
        <v>42</v>
      </c>
      <c r="G494" t="s">
        <v>1703</v>
      </c>
      <c r="H494" s="5" t="s">
        <v>3677</v>
      </c>
      <c r="I494" s="5" t="s">
        <v>505</v>
      </c>
      <c r="J494" s="5" t="s">
        <v>506</v>
      </c>
      <c r="K494" s="5" t="s">
        <v>103</v>
      </c>
      <c r="L494">
        <v>2</v>
      </c>
      <c r="M494">
        <v>178.74</v>
      </c>
      <c r="N494" s="8">
        <v>26.81</v>
      </c>
      <c r="O494" s="8">
        <v>330.67</v>
      </c>
      <c r="P494" s="8">
        <v>16.53</v>
      </c>
      <c r="Q494" s="10">
        <v>30</v>
      </c>
      <c r="R494" s="10">
        <v>15</v>
      </c>
      <c r="S494" s="8">
        <v>392.2</v>
      </c>
      <c r="T494">
        <v>14</v>
      </c>
      <c r="U494" t="str">
        <f t="shared" si="7"/>
        <v>Tuesday</v>
      </c>
    </row>
    <row r="495" spans="1:21" x14ac:dyDescent="0.3">
      <c r="A495" s="5" t="s">
        <v>1704</v>
      </c>
      <c r="B495" s="3" t="s">
        <v>3718</v>
      </c>
      <c r="C495" s="5" t="s">
        <v>1005</v>
      </c>
      <c r="D495" s="5" t="s">
        <v>82</v>
      </c>
      <c r="E495" s="5" t="s">
        <v>83</v>
      </c>
      <c r="F495" s="5" t="s">
        <v>23</v>
      </c>
      <c r="G495" t="s">
        <v>1705</v>
      </c>
      <c r="H495" s="5" t="s">
        <v>3677</v>
      </c>
      <c r="I495" s="5" t="s">
        <v>510</v>
      </c>
      <c r="J495" s="5" t="s">
        <v>511</v>
      </c>
      <c r="K495" s="5" t="s">
        <v>28</v>
      </c>
      <c r="L495">
        <v>1</v>
      </c>
      <c r="M495">
        <v>90.46</v>
      </c>
      <c r="N495" s="8">
        <v>0</v>
      </c>
      <c r="O495" s="8">
        <v>90.46</v>
      </c>
      <c r="P495" s="8">
        <v>4.5199999999999996</v>
      </c>
      <c r="Q495" s="10">
        <v>20</v>
      </c>
      <c r="R495" s="10">
        <v>20</v>
      </c>
      <c r="S495" s="8">
        <v>134.97999999999999</v>
      </c>
      <c r="T495">
        <v>33</v>
      </c>
      <c r="U495" t="str">
        <f t="shared" si="7"/>
        <v>Wednesday</v>
      </c>
    </row>
    <row r="496" spans="1:21" x14ac:dyDescent="0.3">
      <c r="A496" s="5" t="s">
        <v>1706</v>
      </c>
      <c r="B496" s="3" t="s">
        <v>3700</v>
      </c>
      <c r="C496" s="5" t="s">
        <v>1010</v>
      </c>
      <c r="D496" s="5" t="s">
        <v>21</v>
      </c>
      <c r="E496" s="5" t="s">
        <v>69</v>
      </c>
      <c r="F496" s="5" t="s">
        <v>23</v>
      </c>
      <c r="G496" t="s">
        <v>1707</v>
      </c>
      <c r="H496" s="5" t="s">
        <v>3677</v>
      </c>
      <c r="I496" s="5" t="s">
        <v>515</v>
      </c>
      <c r="J496" s="5" t="s">
        <v>516</v>
      </c>
      <c r="K496" s="5" t="s">
        <v>145</v>
      </c>
      <c r="L496">
        <v>4</v>
      </c>
      <c r="M496">
        <v>78.34</v>
      </c>
      <c r="N496" s="8">
        <v>7.83</v>
      </c>
      <c r="O496" s="8">
        <v>305.52999999999997</v>
      </c>
      <c r="P496" s="8">
        <v>15.28</v>
      </c>
      <c r="Q496" s="10">
        <v>20</v>
      </c>
      <c r="R496" s="10">
        <v>20</v>
      </c>
      <c r="S496" s="8">
        <v>360.81</v>
      </c>
      <c r="T496">
        <v>28</v>
      </c>
      <c r="U496" t="str">
        <f t="shared" si="7"/>
        <v>Saturday</v>
      </c>
    </row>
    <row r="497" spans="1:21" x14ac:dyDescent="0.3">
      <c r="A497" s="5" t="s">
        <v>1708</v>
      </c>
      <c r="B497" s="3" t="s">
        <v>3687</v>
      </c>
      <c r="C497" s="5" t="s">
        <v>1015</v>
      </c>
      <c r="D497" s="5" t="s">
        <v>21</v>
      </c>
      <c r="E497" s="5" t="s">
        <v>76</v>
      </c>
      <c r="F497" s="5" t="s">
        <v>42</v>
      </c>
      <c r="G497" t="s">
        <v>1709</v>
      </c>
      <c r="H497" s="5" t="s">
        <v>3677</v>
      </c>
      <c r="I497" s="5" t="s">
        <v>520</v>
      </c>
      <c r="J497" s="5" t="s">
        <v>521</v>
      </c>
      <c r="K497" s="5" t="s">
        <v>145</v>
      </c>
      <c r="L497">
        <v>1</v>
      </c>
      <c r="M497">
        <v>70.48</v>
      </c>
      <c r="N497" s="8">
        <v>10.57</v>
      </c>
      <c r="O497" s="8">
        <v>59.91</v>
      </c>
      <c r="P497" s="8">
        <v>3</v>
      </c>
      <c r="Q497" s="10">
        <v>0</v>
      </c>
      <c r="R497" s="10">
        <v>15</v>
      </c>
      <c r="S497" s="8">
        <v>77.91</v>
      </c>
      <c r="T497">
        <v>24.67</v>
      </c>
      <c r="U497" t="str">
        <f t="shared" si="7"/>
        <v>Friday</v>
      </c>
    </row>
    <row r="498" spans="1:21" x14ac:dyDescent="0.3">
      <c r="A498" s="5" t="s">
        <v>1710</v>
      </c>
      <c r="B498" s="3" t="s">
        <v>3734</v>
      </c>
      <c r="C498" s="5" t="s">
        <v>1020</v>
      </c>
      <c r="D498" s="5" t="s">
        <v>82</v>
      </c>
      <c r="E498" s="5" t="s">
        <v>83</v>
      </c>
      <c r="F498" s="5" t="s">
        <v>23</v>
      </c>
      <c r="G498" t="s">
        <v>1711</v>
      </c>
      <c r="H498" s="5" t="s">
        <v>3675</v>
      </c>
      <c r="I498" s="5" t="s">
        <v>525</v>
      </c>
      <c r="J498" s="5" t="s">
        <v>526</v>
      </c>
      <c r="K498" s="5" t="s">
        <v>28</v>
      </c>
      <c r="L498">
        <v>1</v>
      </c>
      <c r="M498">
        <v>151.97</v>
      </c>
      <c r="N498" s="8">
        <v>0</v>
      </c>
      <c r="O498" s="8">
        <v>151.97</v>
      </c>
      <c r="P498" s="8">
        <v>7.6</v>
      </c>
      <c r="Q498" s="10">
        <v>0</v>
      </c>
      <c r="R498" s="10">
        <v>10</v>
      </c>
      <c r="S498" s="8">
        <v>169.57</v>
      </c>
      <c r="T498">
        <v>24.67</v>
      </c>
      <c r="U498" t="str">
        <f t="shared" si="7"/>
        <v>Monday</v>
      </c>
    </row>
    <row r="499" spans="1:21" x14ac:dyDescent="0.3">
      <c r="A499" s="5" t="s">
        <v>1712</v>
      </c>
      <c r="B499" s="3" t="s">
        <v>3697</v>
      </c>
      <c r="C499" s="5" t="s">
        <v>1025</v>
      </c>
      <c r="D499" s="5" t="s">
        <v>106</v>
      </c>
      <c r="E499" s="5" t="s">
        <v>83</v>
      </c>
      <c r="F499" s="5" t="s">
        <v>23</v>
      </c>
      <c r="G499" t="s">
        <v>1713</v>
      </c>
      <c r="H499" s="5" t="s">
        <v>3674</v>
      </c>
      <c r="I499" s="5" t="s">
        <v>530</v>
      </c>
      <c r="J499" s="5" t="s">
        <v>531</v>
      </c>
      <c r="K499" s="5" t="s">
        <v>22</v>
      </c>
      <c r="L499">
        <v>3</v>
      </c>
      <c r="M499">
        <v>127.54</v>
      </c>
      <c r="N499" s="8">
        <v>19.13</v>
      </c>
      <c r="O499" s="8">
        <v>363.49</v>
      </c>
      <c r="P499" s="8">
        <v>18.170000000000002</v>
      </c>
      <c r="Q499" s="10">
        <v>0</v>
      </c>
      <c r="R499" s="10">
        <v>15</v>
      </c>
      <c r="S499" s="8">
        <v>396.66</v>
      </c>
      <c r="T499">
        <v>24.67</v>
      </c>
      <c r="U499" t="str">
        <f t="shared" si="7"/>
        <v>Saturday</v>
      </c>
    </row>
    <row r="500" spans="1:21" x14ac:dyDescent="0.3">
      <c r="A500" s="5" t="s">
        <v>1714</v>
      </c>
      <c r="B500" s="3" t="s">
        <v>3683</v>
      </c>
      <c r="C500" s="5" t="s">
        <v>1030</v>
      </c>
      <c r="D500" s="5" t="s">
        <v>82</v>
      </c>
      <c r="E500" s="5" t="s">
        <v>83</v>
      </c>
      <c r="F500" s="5" t="s">
        <v>42</v>
      </c>
      <c r="G500" t="s">
        <v>1715</v>
      </c>
      <c r="H500" s="5" t="s">
        <v>100</v>
      </c>
      <c r="I500" s="5" t="s">
        <v>535</v>
      </c>
      <c r="J500" s="5" t="s">
        <v>536</v>
      </c>
      <c r="K500" s="5" t="s">
        <v>34</v>
      </c>
      <c r="L500">
        <v>4</v>
      </c>
      <c r="M500">
        <v>193.95</v>
      </c>
      <c r="N500" s="8">
        <v>19.39</v>
      </c>
      <c r="O500" s="8">
        <v>756.41</v>
      </c>
      <c r="P500" s="8">
        <v>37.82</v>
      </c>
      <c r="Q500" s="10">
        <v>10</v>
      </c>
      <c r="R500" s="10">
        <v>15</v>
      </c>
      <c r="S500" s="8">
        <v>819.23</v>
      </c>
      <c r="T500">
        <v>32</v>
      </c>
      <c r="U500" t="str">
        <f t="shared" si="7"/>
        <v>Thursday</v>
      </c>
    </row>
    <row r="501" spans="1:21" x14ac:dyDescent="0.3">
      <c r="A501" s="5" t="s">
        <v>1716</v>
      </c>
      <c r="B501" s="3" t="s">
        <v>3713</v>
      </c>
      <c r="C501" s="5" t="s">
        <v>1033</v>
      </c>
      <c r="D501" s="5" t="s">
        <v>82</v>
      </c>
      <c r="E501" s="5" t="s">
        <v>83</v>
      </c>
      <c r="F501" s="5" t="s">
        <v>42</v>
      </c>
      <c r="H501" s="5" t="s">
        <v>3673</v>
      </c>
      <c r="I501" s="5" t="s">
        <v>539</v>
      </c>
      <c r="J501" s="5" t="s">
        <v>540</v>
      </c>
      <c r="K501" s="5" t="s">
        <v>56</v>
      </c>
      <c r="L501">
        <v>3</v>
      </c>
      <c r="M501">
        <v>158.27000000000001</v>
      </c>
      <c r="N501" s="8">
        <v>15.83</v>
      </c>
      <c r="O501" s="8">
        <v>458.98000000000008</v>
      </c>
      <c r="P501" s="8">
        <v>22.95</v>
      </c>
      <c r="Q501" s="10">
        <v>10</v>
      </c>
      <c r="R501" s="10">
        <v>0</v>
      </c>
      <c r="S501" s="8">
        <v>491.93000000000012</v>
      </c>
      <c r="T501">
        <v>22</v>
      </c>
      <c r="U501" t="str">
        <f t="shared" si="7"/>
        <v>Tuesday</v>
      </c>
    </row>
    <row r="502" spans="1:21" x14ac:dyDescent="0.3">
      <c r="A502" s="5" t="s">
        <v>1717</v>
      </c>
      <c r="B502" s="3" t="s">
        <v>3711</v>
      </c>
      <c r="C502" s="5" t="s">
        <v>1036</v>
      </c>
      <c r="D502" s="5" t="s">
        <v>21</v>
      </c>
      <c r="E502" s="5" t="s">
        <v>22</v>
      </c>
      <c r="F502" s="5" t="s">
        <v>42</v>
      </c>
      <c r="G502" t="s">
        <v>1718</v>
      </c>
      <c r="H502" s="5" t="s">
        <v>100</v>
      </c>
      <c r="I502" s="5" t="s">
        <v>544</v>
      </c>
      <c r="J502" s="5" t="s">
        <v>545</v>
      </c>
      <c r="K502" s="5" t="s">
        <v>145</v>
      </c>
      <c r="L502">
        <v>3</v>
      </c>
      <c r="M502">
        <v>299.12</v>
      </c>
      <c r="N502" s="8">
        <v>44.87</v>
      </c>
      <c r="O502" s="8">
        <v>852.49</v>
      </c>
      <c r="P502" s="8">
        <v>42.62</v>
      </c>
      <c r="Q502" s="10">
        <v>0</v>
      </c>
      <c r="R502" s="10">
        <v>0</v>
      </c>
      <c r="S502" s="8">
        <v>895.11</v>
      </c>
      <c r="T502">
        <v>39</v>
      </c>
      <c r="U502" t="str">
        <f t="shared" si="7"/>
        <v>Wednesday</v>
      </c>
    </row>
    <row r="503" spans="1:21" x14ac:dyDescent="0.3">
      <c r="A503" s="5" t="s">
        <v>1719</v>
      </c>
      <c r="B503" s="3" t="s">
        <v>3689</v>
      </c>
      <c r="C503" s="5" t="s">
        <v>1039</v>
      </c>
      <c r="D503" s="5" t="s">
        <v>21</v>
      </c>
      <c r="E503" s="5" t="s">
        <v>36</v>
      </c>
      <c r="F503" s="5" t="s">
        <v>37</v>
      </c>
      <c r="G503" t="s">
        <v>1720</v>
      </c>
      <c r="H503" s="5" t="s">
        <v>3677</v>
      </c>
      <c r="I503" s="5" t="s">
        <v>549</v>
      </c>
      <c r="J503" s="5" t="s">
        <v>550</v>
      </c>
      <c r="K503" s="5" t="s">
        <v>40</v>
      </c>
      <c r="L503">
        <v>3</v>
      </c>
      <c r="M503">
        <v>130.49</v>
      </c>
      <c r="N503" s="8">
        <v>19.57</v>
      </c>
      <c r="O503" s="8">
        <v>371.9</v>
      </c>
      <c r="P503" s="8">
        <v>18.600000000000001</v>
      </c>
      <c r="Q503" s="10">
        <v>20</v>
      </c>
      <c r="R503" s="10">
        <v>15</v>
      </c>
      <c r="S503" s="8">
        <v>425.50000000000011</v>
      </c>
      <c r="T503">
        <v>26</v>
      </c>
      <c r="U503" t="str">
        <f t="shared" si="7"/>
        <v>Wednesday</v>
      </c>
    </row>
    <row r="504" spans="1:21" x14ac:dyDescent="0.3">
      <c r="A504" s="5" t="s">
        <v>1721</v>
      </c>
      <c r="B504" s="3" t="s">
        <v>3730</v>
      </c>
      <c r="C504" s="5" t="s">
        <v>1042</v>
      </c>
      <c r="D504" s="5" t="s">
        <v>21</v>
      </c>
      <c r="E504" s="5" t="s">
        <v>69</v>
      </c>
      <c r="F504" s="5" t="s">
        <v>37</v>
      </c>
      <c r="G504" t="s">
        <v>1722</v>
      </c>
      <c r="H504" s="5" t="s">
        <v>25</v>
      </c>
      <c r="I504" s="5" t="s">
        <v>554</v>
      </c>
      <c r="J504" s="5" t="s">
        <v>555</v>
      </c>
      <c r="K504" s="5" t="s">
        <v>73</v>
      </c>
      <c r="L504">
        <v>1</v>
      </c>
      <c r="M504">
        <v>56.06</v>
      </c>
      <c r="N504" s="8">
        <v>0</v>
      </c>
      <c r="O504" s="8">
        <v>56.06</v>
      </c>
      <c r="P504" s="8">
        <v>2.8</v>
      </c>
      <c r="Q504" s="10">
        <v>0</v>
      </c>
      <c r="R504" s="10">
        <v>15</v>
      </c>
      <c r="S504" s="8">
        <v>73.86</v>
      </c>
      <c r="T504">
        <v>14</v>
      </c>
      <c r="U504" t="str">
        <f t="shared" si="7"/>
        <v>Friday</v>
      </c>
    </row>
    <row r="505" spans="1:21" x14ac:dyDescent="0.3">
      <c r="A505" s="5" t="s">
        <v>1723</v>
      </c>
      <c r="B505" s="3" t="s">
        <v>3720</v>
      </c>
      <c r="C505" s="5" t="s">
        <v>1045</v>
      </c>
      <c r="D505" s="5" t="s">
        <v>21</v>
      </c>
      <c r="E505" s="5" t="s">
        <v>69</v>
      </c>
      <c r="F505" s="5" t="s">
        <v>42</v>
      </c>
      <c r="G505" t="s">
        <v>1724</v>
      </c>
      <c r="H505" s="5" t="s">
        <v>3675</v>
      </c>
      <c r="I505" s="5" t="s">
        <v>559</v>
      </c>
      <c r="J505" s="5" t="s">
        <v>560</v>
      </c>
      <c r="K505" s="5" t="s">
        <v>45</v>
      </c>
      <c r="L505">
        <v>4</v>
      </c>
      <c r="M505">
        <v>215.69</v>
      </c>
      <c r="N505" s="8">
        <v>0</v>
      </c>
      <c r="O505" s="8">
        <v>862.76</v>
      </c>
      <c r="P505" s="8">
        <v>43.14</v>
      </c>
      <c r="Q505" s="10">
        <v>30</v>
      </c>
      <c r="R505" s="10">
        <v>10</v>
      </c>
      <c r="S505" s="8">
        <v>945.9</v>
      </c>
      <c r="T505">
        <v>20</v>
      </c>
      <c r="U505" t="str">
        <f t="shared" si="7"/>
        <v>Monday</v>
      </c>
    </row>
    <row r="506" spans="1:21" x14ac:dyDescent="0.3">
      <c r="A506" s="5" t="s">
        <v>1725</v>
      </c>
      <c r="B506" s="3" t="s">
        <v>3732</v>
      </c>
      <c r="C506" s="5" t="s">
        <v>1048</v>
      </c>
      <c r="D506" s="5" t="s">
        <v>21</v>
      </c>
      <c r="E506" s="5" t="s">
        <v>36</v>
      </c>
      <c r="F506" s="5" t="s">
        <v>42</v>
      </c>
      <c r="G506" t="s">
        <v>1726</v>
      </c>
      <c r="H506" s="5" t="s">
        <v>3673</v>
      </c>
      <c r="I506" s="5" t="s">
        <v>564</v>
      </c>
      <c r="J506" s="5" t="s">
        <v>565</v>
      </c>
      <c r="K506" s="5" t="s">
        <v>28</v>
      </c>
      <c r="L506">
        <v>3</v>
      </c>
      <c r="M506">
        <v>224.68</v>
      </c>
      <c r="N506" s="8">
        <v>0</v>
      </c>
      <c r="O506" s="8">
        <v>674.04</v>
      </c>
      <c r="P506" s="8">
        <v>33.700000000000003</v>
      </c>
      <c r="Q506" s="10">
        <v>20</v>
      </c>
      <c r="R506" s="10">
        <v>5</v>
      </c>
      <c r="S506" s="8">
        <v>732.74</v>
      </c>
      <c r="T506">
        <v>4</v>
      </c>
      <c r="U506" t="str">
        <f t="shared" si="7"/>
        <v>Wednesday</v>
      </c>
    </row>
    <row r="507" spans="1:21" x14ac:dyDescent="0.3">
      <c r="A507" s="5" t="s">
        <v>1727</v>
      </c>
      <c r="B507" s="3" t="s">
        <v>3681</v>
      </c>
      <c r="C507" s="5" t="s">
        <v>1051</v>
      </c>
      <c r="D507" s="5" t="s">
        <v>21</v>
      </c>
      <c r="E507" s="5" t="s">
        <v>76</v>
      </c>
      <c r="F507" s="5" t="s">
        <v>23</v>
      </c>
      <c r="G507" t="s">
        <v>1728</v>
      </c>
      <c r="H507" s="5" t="s">
        <v>3673</v>
      </c>
      <c r="I507" s="5" t="s">
        <v>569</v>
      </c>
      <c r="J507" s="5" t="s">
        <v>570</v>
      </c>
      <c r="K507" s="5" t="s">
        <v>40</v>
      </c>
      <c r="L507">
        <v>4</v>
      </c>
      <c r="M507">
        <v>77.430000000000007</v>
      </c>
      <c r="N507" s="8">
        <v>7.74</v>
      </c>
      <c r="O507" s="8">
        <v>301.98</v>
      </c>
      <c r="P507" s="8">
        <v>15.1</v>
      </c>
      <c r="Q507" s="10">
        <v>30</v>
      </c>
      <c r="R507" s="10">
        <v>0</v>
      </c>
      <c r="S507" s="8">
        <v>347.08</v>
      </c>
      <c r="T507">
        <v>12</v>
      </c>
      <c r="U507" t="str">
        <f t="shared" si="7"/>
        <v>Wednesday</v>
      </c>
    </row>
    <row r="508" spans="1:21" x14ac:dyDescent="0.3">
      <c r="A508" s="5" t="s">
        <v>1729</v>
      </c>
      <c r="B508" s="3" t="s">
        <v>3737</v>
      </c>
      <c r="C508" s="5" t="s">
        <v>1054</v>
      </c>
      <c r="D508" s="5" t="s">
        <v>82</v>
      </c>
      <c r="E508" s="5" t="s">
        <v>83</v>
      </c>
      <c r="F508" s="5" t="s">
        <v>37</v>
      </c>
      <c r="G508" t="s">
        <v>1730</v>
      </c>
      <c r="H508" s="5" t="s">
        <v>3673</v>
      </c>
      <c r="I508" s="5" t="s">
        <v>574</v>
      </c>
      <c r="J508" s="5" t="s">
        <v>575</v>
      </c>
      <c r="K508" s="5" t="s">
        <v>45</v>
      </c>
      <c r="L508">
        <v>2</v>
      </c>
      <c r="M508">
        <v>99.75</v>
      </c>
      <c r="N508" s="8">
        <v>9.98</v>
      </c>
      <c r="O508" s="8">
        <v>189.52</v>
      </c>
      <c r="P508" s="8">
        <v>9.48</v>
      </c>
      <c r="Q508" s="10">
        <v>20</v>
      </c>
      <c r="R508" s="10">
        <v>20</v>
      </c>
      <c r="S508" s="8">
        <v>239</v>
      </c>
      <c r="T508">
        <v>11</v>
      </c>
      <c r="U508" t="str">
        <f t="shared" si="7"/>
        <v>Saturday</v>
      </c>
    </row>
    <row r="509" spans="1:21" x14ac:dyDescent="0.3">
      <c r="A509" s="5" t="s">
        <v>1731</v>
      </c>
      <c r="B509" s="3" t="s">
        <v>3706</v>
      </c>
      <c r="C509" s="5" t="s">
        <v>1057</v>
      </c>
      <c r="D509" s="5" t="s">
        <v>21</v>
      </c>
      <c r="E509" s="5" t="s">
        <v>22</v>
      </c>
      <c r="F509" s="5" t="s">
        <v>23</v>
      </c>
      <c r="G509" t="s">
        <v>1732</v>
      </c>
      <c r="H509" s="5" t="s">
        <v>3677</v>
      </c>
      <c r="I509" s="5" t="s">
        <v>579</v>
      </c>
      <c r="J509" s="5" t="s">
        <v>580</v>
      </c>
      <c r="K509" s="5" t="s">
        <v>145</v>
      </c>
      <c r="L509">
        <v>1</v>
      </c>
      <c r="M509">
        <v>146.91999999999999</v>
      </c>
      <c r="N509" s="8">
        <v>22.04</v>
      </c>
      <c r="O509" s="8">
        <v>124.88</v>
      </c>
      <c r="P509" s="8">
        <v>6.24</v>
      </c>
      <c r="Q509" s="10">
        <v>30</v>
      </c>
      <c r="R509" s="10">
        <v>0</v>
      </c>
      <c r="S509" s="8">
        <v>161.12</v>
      </c>
      <c r="T509">
        <v>40</v>
      </c>
      <c r="U509" t="str">
        <f t="shared" si="7"/>
        <v>Thursday</v>
      </c>
    </row>
    <row r="510" spans="1:21" x14ac:dyDescent="0.3">
      <c r="A510" s="5" t="s">
        <v>1733</v>
      </c>
      <c r="B510" s="3" t="s">
        <v>3717</v>
      </c>
      <c r="C510" s="5" t="s">
        <v>1060</v>
      </c>
      <c r="D510" s="5" t="s">
        <v>21</v>
      </c>
      <c r="E510" s="5" t="s">
        <v>76</v>
      </c>
      <c r="F510" s="5" t="s">
        <v>37</v>
      </c>
      <c r="G510" t="s">
        <v>1734</v>
      </c>
      <c r="H510" s="5" t="s">
        <v>3673</v>
      </c>
      <c r="I510" s="5" t="s">
        <v>584</v>
      </c>
      <c r="J510" s="5" t="s">
        <v>585</v>
      </c>
      <c r="K510" s="5" t="s">
        <v>196</v>
      </c>
      <c r="L510">
        <v>1</v>
      </c>
      <c r="M510">
        <v>7.2</v>
      </c>
      <c r="N510" s="8">
        <v>0.36</v>
      </c>
      <c r="O510" s="8">
        <v>6.84</v>
      </c>
      <c r="P510" s="8">
        <v>0.34</v>
      </c>
      <c r="Q510" s="10">
        <v>10</v>
      </c>
      <c r="R510" s="10">
        <v>15</v>
      </c>
      <c r="S510" s="8">
        <v>32.18</v>
      </c>
      <c r="T510">
        <v>16</v>
      </c>
      <c r="U510" t="str">
        <f t="shared" si="7"/>
        <v>Tuesday</v>
      </c>
    </row>
    <row r="511" spans="1:21" x14ac:dyDescent="0.3">
      <c r="A511" s="5" t="s">
        <v>1735</v>
      </c>
      <c r="B511" s="3" t="s">
        <v>3699</v>
      </c>
      <c r="C511" s="5" t="s">
        <v>1063</v>
      </c>
      <c r="D511" s="5" t="s">
        <v>21</v>
      </c>
      <c r="E511" s="5" t="s">
        <v>76</v>
      </c>
      <c r="F511" s="5" t="s">
        <v>42</v>
      </c>
      <c r="G511" t="s">
        <v>1736</v>
      </c>
      <c r="H511" s="5" t="s">
        <v>3675</v>
      </c>
      <c r="I511" s="5" t="s">
        <v>589</v>
      </c>
      <c r="J511" s="5" t="s">
        <v>590</v>
      </c>
      <c r="K511" s="5" t="s">
        <v>28</v>
      </c>
      <c r="L511">
        <v>6</v>
      </c>
      <c r="M511">
        <v>120.03</v>
      </c>
      <c r="N511" s="8">
        <v>12</v>
      </c>
      <c r="O511" s="8">
        <v>708.18000000000006</v>
      </c>
      <c r="P511" s="8">
        <v>35.409999999999997</v>
      </c>
      <c r="Q511" s="10">
        <v>0</v>
      </c>
      <c r="R511" s="10">
        <v>10</v>
      </c>
      <c r="S511" s="8">
        <v>753.59</v>
      </c>
      <c r="T511">
        <v>12</v>
      </c>
      <c r="U511" t="str">
        <f t="shared" si="7"/>
        <v>Sunday</v>
      </c>
    </row>
    <row r="512" spans="1:21" x14ac:dyDescent="0.3">
      <c r="A512" s="5" t="s">
        <v>1737</v>
      </c>
      <c r="B512" s="3" t="s">
        <v>3709</v>
      </c>
      <c r="C512" s="5" t="s">
        <v>1066</v>
      </c>
      <c r="D512" s="5" t="s">
        <v>21</v>
      </c>
      <c r="E512" s="5" t="s">
        <v>36</v>
      </c>
      <c r="F512" s="5" t="s">
        <v>23</v>
      </c>
      <c r="G512" t="s">
        <v>1738</v>
      </c>
      <c r="H512" s="5" t="s">
        <v>3673</v>
      </c>
      <c r="I512" s="5" t="s">
        <v>594</v>
      </c>
      <c r="J512" s="5" t="s">
        <v>595</v>
      </c>
      <c r="K512" s="5" t="s">
        <v>145</v>
      </c>
      <c r="L512">
        <v>3</v>
      </c>
      <c r="M512">
        <v>175.46</v>
      </c>
      <c r="N512" s="8">
        <v>26.32</v>
      </c>
      <c r="O512" s="8">
        <v>500.06</v>
      </c>
      <c r="P512" s="8">
        <v>25</v>
      </c>
      <c r="Q512" s="10">
        <v>0</v>
      </c>
      <c r="R512" s="10">
        <v>5</v>
      </c>
      <c r="S512" s="8">
        <v>530.05999999999995</v>
      </c>
      <c r="T512">
        <v>27</v>
      </c>
      <c r="U512" t="str">
        <f t="shared" si="7"/>
        <v>Thursday</v>
      </c>
    </row>
    <row r="513" spans="1:21" x14ac:dyDescent="0.3">
      <c r="A513" s="5" t="s">
        <v>1739</v>
      </c>
      <c r="B513" s="3" t="s">
        <v>3685</v>
      </c>
      <c r="C513" s="5" t="s">
        <v>1069</v>
      </c>
      <c r="D513" s="5" t="s">
        <v>21</v>
      </c>
      <c r="E513" s="5" t="s">
        <v>36</v>
      </c>
      <c r="F513" s="5" t="s">
        <v>37</v>
      </c>
      <c r="H513" s="5" t="s">
        <v>3676</v>
      </c>
      <c r="I513" s="5" t="s">
        <v>599</v>
      </c>
      <c r="J513" s="5" t="s">
        <v>600</v>
      </c>
      <c r="K513" s="5" t="s">
        <v>103</v>
      </c>
      <c r="L513">
        <v>1</v>
      </c>
      <c r="M513">
        <v>113.89</v>
      </c>
      <c r="N513" s="8">
        <v>11.39</v>
      </c>
      <c r="O513" s="8">
        <v>102.5</v>
      </c>
      <c r="P513" s="8">
        <v>5.12</v>
      </c>
      <c r="Q513" s="10">
        <v>10</v>
      </c>
      <c r="R513" s="10">
        <v>5</v>
      </c>
      <c r="S513" s="8">
        <v>122.62</v>
      </c>
      <c r="T513">
        <v>32</v>
      </c>
      <c r="U513" t="str">
        <f t="shared" si="7"/>
        <v>Thursday</v>
      </c>
    </row>
    <row r="514" spans="1:21" x14ac:dyDescent="0.3">
      <c r="A514" s="5" t="s">
        <v>1740</v>
      </c>
      <c r="B514" s="3" t="s">
        <v>3707</v>
      </c>
      <c r="C514" s="5" t="s">
        <v>1072</v>
      </c>
      <c r="D514" s="5" t="s">
        <v>21</v>
      </c>
      <c r="E514" s="5" t="s">
        <v>36</v>
      </c>
      <c r="F514" s="5" t="s">
        <v>42</v>
      </c>
      <c r="G514" t="s">
        <v>1741</v>
      </c>
      <c r="H514" s="5" t="s">
        <v>3677</v>
      </c>
      <c r="I514" s="5" t="s">
        <v>604</v>
      </c>
      <c r="J514" s="5" t="s">
        <v>605</v>
      </c>
      <c r="K514" s="5" t="s">
        <v>103</v>
      </c>
      <c r="L514">
        <v>1</v>
      </c>
      <c r="M514">
        <v>159.07</v>
      </c>
      <c r="N514" s="8">
        <v>23.86</v>
      </c>
      <c r="O514" s="8">
        <v>135.21</v>
      </c>
      <c r="P514" s="8">
        <v>6.76</v>
      </c>
      <c r="Q514" s="10">
        <v>10</v>
      </c>
      <c r="R514" s="10">
        <v>15</v>
      </c>
      <c r="S514" s="8">
        <v>166.97</v>
      </c>
      <c r="T514">
        <v>24.67</v>
      </c>
      <c r="U514" t="str">
        <f t="shared" si="7"/>
        <v>Wednesday</v>
      </c>
    </row>
    <row r="515" spans="1:21" x14ac:dyDescent="0.3">
      <c r="A515" s="5" t="s">
        <v>1742</v>
      </c>
      <c r="B515" s="3" t="s">
        <v>3705</v>
      </c>
      <c r="C515" s="5" t="s">
        <v>1075</v>
      </c>
      <c r="D515" s="5" t="s">
        <v>106</v>
      </c>
      <c r="E515" s="5" t="s">
        <v>83</v>
      </c>
      <c r="F515" s="5" t="s">
        <v>23</v>
      </c>
      <c r="G515" t="s">
        <v>1743</v>
      </c>
      <c r="H515" s="5" t="s">
        <v>3677</v>
      </c>
      <c r="I515" s="5" t="s">
        <v>609</v>
      </c>
      <c r="J515" s="5" t="s">
        <v>610</v>
      </c>
      <c r="K515" s="5" t="s">
        <v>145</v>
      </c>
      <c r="L515">
        <v>2</v>
      </c>
      <c r="M515">
        <v>130.61000000000001</v>
      </c>
      <c r="N515" s="8">
        <v>6.53</v>
      </c>
      <c r="O515" s="8">
        <v>254.69</v>
      </c>
      <c r="P515" s="8">
        <v>12.73</v>
      </c>
      <c r="Q515" s="10">
        <v>0</v>
      </c>
      <c r="R515" s="10">
        <v>0</v>
      </c>
      <c r="S515" s="8">
        <v>267.42</v>
      </c>
      <c r="T515">
        <v>35</v>
      </c>
      <c r="U515" t="str">
        <f t="shared" ref="U515:U578" si="8">TEXT(B515,"dddd")</f>
        <v>Tuesday</v>
      </c>
    </row>
    <row r="516" spans="1:21" x14ac:dyDescent="0.3">
      <c r="A516" s="5" t="s">
        <v>1744</v>
      </c>
      <c r="B516" s="3" t="s">
        <v>3726</v>
      </c>
      <c r="C516" s="5" t="s">
        <v>1078</v>
      </c>
      <c r="D516" s="5" t="s">
        <v>21</v>
      </c>
      <c r="E516" s="5" t="s">
        <v>69</v>
      </c>
      <c r="F516" s="5" t="s">
        <v>23</v>
      </c>
      <c r="G516" t="s">
        <v>1745</v>
      </c>
      <c r="H516" s="5" t="s">
        <v>3673</v>
      </c>
      <c r="I516" s="5" t="s">
        <v>614</v>
      </c>
      <c r="J516" s="5" t="s">
        <v>615</v>
      </c>
      <c r="K516" s="5" t="s">
        <v>196</v>
      </c>
      <c r="L516">
        <v>3</v>
      </c>
      <c r="M516">
        <v>277.25</v>
      </c>
      <c r="N516" s="8">
        <v>0</v>
      </c>
      <c r="O516" s="8">
        <v>831.75</v>
      </c>
      <c r="P516" s="8">
        <v>41.59</v>
      </c>
      <c r="Q516" s="10">
        <v>30</v>
      </c>
      <c r="R516" s="10">
        <v>10</v>
      </c>
      <c r="S516" s="8">
        <v>913.34</v>
      </c>
      <c r="T516">
        <v>24.67</v>
      </c>
      <c r="U516" t="str">
        <f t="shared" si="8"/>
        <v>Monday</v>
      </c>
    </row>
    <row r="517" spans="1:21" x14ac:dyDescent="0.3">
      <c r="A517" s="5" t="s">
        <v>1746</v>
      </c>
      <c r="B517" s="3" t="s">
        <v>3693</v>
      </c>
      <c r="C517" s="5" t="s">
        <v>1081</v>
      </c>
      <c r="D517" s="5" t="s">
        <v>21</v>
      </c>
      <c r="E517" s="5" t="s">
        <v>36</v>
      </c>
      <c r="F517" s="5" t="s">
        <v>37</v>
      </c>
      <c r="G517" t="s">
        <v>1747</v>
      </c>
      <c r="H517" s="5" t="s">
        <v>3676</v>
      </c>
      <c r="I517" s="5" t="s">
        <v>619</v>
      </c>
      <c r="J517" s="5" t="s">
        <v>620</v>
      </c>
      <c r="K517" s="5" t="s">
        <v>40</v>
      </c>
      <c r="L517">
        <v>1</v>
      </c>
      <c r="M517">
        <v>158.12</v>
      </c>
      <c r="N517" s="8">
        <v>15.81</v>
      </c>
      <c r="O517" s="8">
        <v>142.31</v>
      </c>
      <c r="P517" s="8">
        <v>7.12</v>
      </c>
      <c r="Q517" s="10">
        <v>0</v>
      </c>
      <c r="R517" s="10">
        <v>5</v>
      </c>
      <c r="S517" s="8">
        <v>154.43</v>
      </c>
      <c r="T517">
        <v>28</v>
      </c>
      <c r="U517" t="str">
        <f t="shared" si="8"/>
        <v>Thursday</v>
      </c>
    </row>
    <row r="518" spans="1:21" x14ac:dyDescent="0.3">
      <c r="A518" s="5" t="s">
        <v>1748</v>
      </c>
      <c r="B518" s="3" t="s">
        <v>3735</v>
      </c>
      <c r="C518" s="5" t="s">
        <v>1084</v>
      </c>
      <c r="D518" s="5" t="s">
        <v>21</v>
      </c>
      <c r="E518" s="5" t="s">
        <v>112</v>
      </c>
      <c r="F518" s="5" t="s">
        <v>42</v>
      </c>
      <c r="G518" t="s">
        <v>1749</v>
      </c>
      <c r="H518" s="5" t="s">
        <v>3675</v>
      </c>
      <c r="I518" s="5" t="s">
        <v>624</v>
      </c>
      <c r="J518" s="5" t="s">
        <v>625</v>
      </c>
      <c r="K518" s="5" t="s">
        <v>22</v>
      </c>
      <c r="L518">
        <v>5</v>
      </c>
      <c r="M518">
        <v>169.25</v>
      </c>
      <c r="N518" s="8">
        <v>16.93</v>
      </c>
      <c r="O518" s="8">
        <v>829.32</v>
      </c>
      <c r="P518" s="8">
        <v>41.47</v>
      </c>
      <c r="Q518" s="10">
        <v>0</v>
      </c>
      <c r="R518" s="10">
        <v>15</v>
      </c>
      <c r="S518" s="8">
        <v>885.79000000000008</v>
      </c>
      <c r="T518">
        <v>28</v>
      </c>
      <c r="U518" t="str">
        <f t="shared" si="8"/>
        <v>Saturday</v>
      </c>
    </row>
    <row r="519" spans="1:21" x14ac:dyDescent="0.3">
      <c r="A519" s="5" t="s">
        <v>1750</v>
      </c>
      <c r="B519" s="3" t="s">
        <v>3685</v>
      </c>
      <c r="C519" s="5" t="s">
        <v>1087</v>
      </c>
      <c r="D519" s="5" t="s">
        <v>21</v>
      </c>
      <c r="E519" s="5" t="s">
        <v>36</v>
      </c>
      <c r="F519" s="5" t="s">
        <v>3671</v>
      </c>
      <c r="G519" t="s">
        <v>1751</v>
      </c>
      <c r="H519" s="5" t="s">
        <v>3673</v>
      </c>
      <c r="I519" s="5" t="s">
        <v>629</v>
      </c>
      <c r="J519" s="5" t="s">
        <v>630</v>
      </c>
      <c r="K519" s="5" t="s">
        <v>145</v>
      </c>
      <c r="L519">
        <v>3</v>
      </c>
      <c r="M519">
        <v>185.79</v>
      </c>
      <c r="N519" s="8">
        <v>0</v>
      </c>
      <c r="O519" s="8">
        <v>557.37</v>
      </c>
      <c r="P519" s="8">
        <v>27.87</v>
      </c>
      <c r="Q519" s="10">
        <v>30</v>
      </c>
      <c r="R519" s="10">
        <v>20</v>
      </c>
      <c r="S519" s="8">
        <v>635.24</v>
      </c>
      <c r="T519">
        <v>18</v>
      </c>
      <c r="U519" t="str">
        <f t="shared" si="8"/>
        <v>Thursday</v>
      </c>
    </row>
    <row r="520" spans="1:21" x14ac:dyDescent="0.3">
      <c r="A520" s="5" t="s">
        <v>1752</v>
      </c>
      <c r="B520" s="3" t="s">
        <v>3692</v>
      </c>
      <c r="C520" s="5" t="s">
        <v>1089</v>
      </c>
      <c r="D520" s="5" t="s">
        <v>106</v>
      </c>
      <c r="E520" s="5" t="s">
        <v>83</v>
      </c>
      <c r="F520" s="5" t="s">
        <v>23</v>
      </c>
      <c r="G520" t="s">
        <v>1753</v>
      </c>
      <c r="H520" s="5" t="s">
        <v>3676</v>
      </c>
      <c r="I520" s="5" t="s">
        <v>634</v>
      </c>
      <c r="J520" s="5" t="s">
        <v>635</v>
      </c>
      <c r="K520" s="5" t="s">
        <v>145</v>
      </c>
      <c r="L520">
        <v>3</v>
      </c>
      <c r="M520">
        <v>102.14</v>
      </c>
      <c r="N520" s="8">
        <v>5.1100000000000003</v>
      </c>
      <c r="O520" s="8">
        <v>301.31</v>
      </c>
      <c r="P520" s="8">
        <v>15.07</v>
      </c>
      <c r="Q520" s="10">
        <v>20</v>
      </c>
      <c r="R520" s="10">
        <v>5</v>
      </c>
      <c r="S520" s="8">
        <v>341.38</v>
      </c>
      <c r="T520">
        <v>21</v>
      </c>
      <c r="U520" t="str">
        <f t="shared" si="8"/>
        <v>Wednesday</v>
      </c>
    </row>
    <row r="521" spans="1:21" x14ac:dyDescent="0.3">
      <c r="A521" s="5" t="s">
        <v>1754</v>
      </c>
      <c r="B521" s="3" t="s">
        <v>3709</v>
      </c>
      <c r="C521" s="5" t="s">
        <v>1092</v>
      </c>
      <c r="D521" s="5" t="s">
        <v>21</v>
      </c>
      <c r="E521" s="5" t="s">
        <v>76</v>
      </c>
      <c r="F521" s="5" t="s">
        <v>42</v>
      </c>
      <c r="G521" t="s">
        <v>1755</v>
      </c>
      <c r="H521" s="5" t="s">
        <v>3673</v>
      </c>
      <c r="I521" s="5" t="s">
        <v>639</v>
      </c>
      <c r="J521" s="5" t="s">
        <v>640</v>
      </c>
      <c r="K521" s="5" t="s">
        <v>34</v>
      </c>
      <c r="L521">
        <v>2</v>
      </c>
      <c r="M521">
        <v>194.25</v>
      </c>
      <c r="N521" s="8">
        <v>0</v>
      </c>
      <c r="O521" s="8">
        <v>388.5</v>
      </c>
      <c r="P521" s="8">
        <v>19.43</v>
      </c>
      <c r="Q521" s="10">
        <v>30</v>
      </c>
      <c r="R521" s="10">
        <v>15</v>
      </c>
      <c r="S521" s="8">
        <v>452.93</v>
      </c>
      <c r="T521">
        <v>20</v>
      </c>
      <c r="U521" t="str">
        <f t="shared" si="8"/>
        <v>Thursday</v>
      </c>
    </row>
    <row r="522" spans="1:21" x14ac:dyDescent="0.3">
      <c r="A522" s="5" t="s">
        <v>1756</v>
      </c>
      <c r="B522" s="3" t="s">
        <v>3700</v>
      </c>
      <c r="C522" s="5" t="s">
        <v>1095</v>
      </c>
      <c r="D522" s="5" t="s">
        <v>21</v>
      </c>
      <c r="E522" s="5" t="s">
        <v>36</v>
      </c>
      <c r="F522" s="5" t="s">
        <v>37</v>
      </c>
      <c r="G522" t="s">
        <v>1757</v>
      </c>
      <c r="H522" s="5" t="s">
        <v>3676</v>
      </c>
      <c r="I522" s="5" t="s">
        <v>644</v>
      </c>
      <c r="J522" s="5" t="s">
        <v>645</v>
      </c>
      <c r="K522" s="5" t="s">
        <v>73</v>
      </c>
      <c r="L522">
        <v>2</v>
      </c>
      <c r="M522">
        <v>176.44</v>
      </c>
      <c r="N522" s="8">
        <v>8.82</v>
      </c>
      <c r="O522" s="8">
        <v>344.06</v>
      </c>
      <c r="P522" s="8">
        <v>17.2</v>
      </c>
      <c r="Q522" s="10">
        <v>10</v>
      </c>
      <c r="R522" s="10">
        <v>0</v>
      </c>
      <c r="S522" s="8">
        <v>371.26</v>
      </c>
      <c r="T522">
        <v>31</v>
      </c>
      <c r="U522" t="str">
        <f t="shared" si="8"/>
        <v>Saturday</v>
      </c>
    </row>
    <row r="523" spans="1:21" x14ac:dyDescent="0.3">
      <c r="A523" s="5" t="s">
        <v>1758</v>
      </c>
      <c r="B523" s="3" t="s">
        <v>3683</v>
      </c>
      <c r="C523" s="5" t="s">
        <v>1098</v>
      </c>
      <c r="D523" s="5" t="s">
        <v>21</v>
      </c>
      <c r="E523" s="5" t="s">
        <v>22</v>
      </c>
      <c r="F523" s="5" t="s">
        <v>42</v>
      </c>
      <c r="G523" t="s">
        <v>1759</v>
      </c>
      <c r="H523" s="5" t="s">
        <v>3675</v>
      </c>
      <c r="I523" s="5" t="s">
        <v>649</v>
      </c>
      <c r="J523" s="5" t="s">
        <v>650</v>
      </c>
      <c r="K523" s="5" t="s">
        <v>22</v>
      </c>
      <c r="L523">
        <v>3</v>
      </c>
      <c r="M523">
        <v>83.6</v>
      </c>
      <c r="N523" s="8">
        <v>4.18</v>
      </c>
      <c r="O523" s="8">
        <v>246.62</v>
      </c>
      <c r="P523" s="8">
        <v>12.33</v>
      </c>
      <c r="Q523" s="10">
        <v>10</v>
      </c>
      <c r="R523" s="10">
        <v>0</v>
      </c>
      <c r="S523" s="8">
        <v>268.95</v>
      </c>
      <c r="T523">
        <v>27</v>
      </c>
      <c r="U523" t="str">
        <f t="shared" si="8"/>
        <v>Thursday</v>
      </c>
    </row>
    <row r="524" spans="1:21" x14ac:dyDescent="0.3">
      <c r="A524" s="5" t="s">
        <v>1760</v>
      </c>
      <c r="B524" s="3" t="s">
        <v>3692</v>
      </c>
      <c r="C524" s="5" t="s">
        <v>1101</v>
      </c>
      <c r="D524" s="5" t="s">
        <v>82</v>
      </c>
      <c r="E524" s="5" t="s">
        <v>83</v>
      </c>
      <c r="F524" s="5" t="s">
        <v>37</v>
      </c>
      <c r="G524" t="s">
        <v>1761</v>
      </c>
      <c r="H524" s="5" t="s">
        <v>3677</v>
      </c>
      <c r="I524" s="5" t="s">
        <v>654</v>
      </c>
      <c r="J524" s="5" t="s">
        <v>655</v>
      </c>
      <c r="K524" s="5" t="s">
        <v>45</v>
      </c>
      <c r="L524">
        <v>2</v>
      </c>
      <c r="M524">
        <v>200.77</v>
      </c>
      <c r="N524" s="8">
        <v>10.039999999999999</v>
      </c>
      <c r="O524" s="8">
        <v>391.5</v>
      </c>
      <c r="P524" s="8">
        <v>19.579999999999998</v>
      </c>
      <c r="Q524" s="10">
        <v>10</v>
      </c>
      <c r="R524" s="10">
        <v>10</v>
      </c>
      <c r="S524" s="8">
        <v>431.08</v>
      </c>
      <c r="T524">
        <v>6</v>
      </c>
      <c r="U524" t="str">
        <f t="shared" si="8"/>
        <v>Wednesday</v>
      </c>
    </row>
    <row r="525" spans="1:21" x14ac:dyDescent="0.3">
      <c r="A525" s="5" t="s">
        <v>1762</v>
      </c>
      <c r="B525" s="3" t="s">
        <v>3683</v>
      </c>
      <c r="C525" s="5" t="s">
        <v>1104</v>
      </c>
      <c r="D525" s="5" t="s">
        <v>21</v>
      </c>
      <c r="E525" s="5" t="s">
        <v>76</v>
      </c>
      <c r="F525" s="5" t="s">
        <v>42</v>
      </c>
      <c r="G525" t="s">
        <v>1763</v>
      </c>
      <c r="H525" s="5" t="s">
        <v>25</v>
      </c>
      <c r="I525" s="5" t="s">
        <v>659</v>
      </c>
      <c r="J525" s="5" t="s">
        <v>660</v>
      </c>
      <c r="K525" s="5" t="s">
        <v>34</v>
      </c>
      <c r="L525">
        <v>4</v>
      </c>
      <c r="M525">
        <v>129.06</v>
      </c>
      <c r="N525" s="8">
        <v>19.36</v>
      </c>
      <c r="O525" s="8">
        <v>496.88</v>
      </c>
      <c r="P525" s="8">
        <v>24.84</v>
      </c>
      <c r="Q525" s="10">
        <v>20</v>
      </c>
      <c r="R525" s="10">
        <v>20</v>
      </c>
      <c r="S525" s="8">
        <v>561.72</v>
      </c>
      <c r="T525">
        <v>24.67</v>
      </c>
      <c r="U525" t="str">
        <f t="shared" si="8"/>
        <v>Thursday</v>
      </c>
    </row>
    <row r="526" spans="1:21" x14ac:dyDescent="0.3">
      <c r="A526" s="5" t="s">
        <v>1764</v>
      </c>
      <c r="B526" s="3" t="s">
        <v>3683</v>
      </c>
      <c r="C526" s="5" t="s">
        <v>1107</v>
      </c>
      <c r="D526" s="5" t="s">
        <v>21</v>
      </c>
      <c r="E526" s="5" t="s">
        <v>69</v>
      </c>
      <c r="F526" s="5" t="s">
        <v>37</v>
      </c>
      <c r="G526" t="s">
        <v>1765</v>
      </c>
      <c r="H526" s="5" t="s">
        <v>3673</v>
      </c>
      <c r="I526" s="5" t="s">
        <v>664</v>
      </c>
      <c r="J526" s="5" t="s">
        <v>665</v>
      </c>
      <c r="K526" s="5" t="s">
        <v>40</v>
      </c>
      <c r="L526">
        <v>2</v>
      </c>
      <c r="M526">
        <v>66.89</v>
      </c>
      <c r="N526" s="8">
        <v>0</v>
      </c>
      <c r="O526" s="8">
        <v>133.78</v>
      </c>
      <c r="P526" s="8">
        <v>6.69</v>
      </c>
      <c r="Q526" s="10">
        <v>20</v>
      </c>
      <c r="R526" s="10">
        <v>5</v>
      </c>
      <c r="S526" s="8">
        <v>165.47</v>
      </c>
      <c r="T526">
        <v>39</v>
      </c>
      <c r="U526" t="str">
        <f t="shared" si="8"/>
        <v>Thursday</v>
      </c>
    </row>
    <row r="527" spans="1:21" x14ac:dyDescent="0.3">
      <c r="A527" s="5" t="s">
        <v>1766</v>
      </c>
      <c r="B527" s="3" t="s">
        <v>3692</v>
      </c>
      <c r="C527" s="5" t="s">
        <v>1110</v>
      </c>
      <c r="D527" s="5" t="s">
        <v>21</v>
      </c>
      <c r="E527" s="5" t="s">
        <v>36</v>
      </c>
      <c r="F527" s="5" t="s">
        <v>37</v>
      </c>
      <c r="G527" t="s">
        <v>1767</v>
      </c>
      <c r="H527" s="5" t="s">
        <v>3677</v>
      </c>
      <c r="I527" s="5" t="s">
        <v>669</v>
      </c>
      <c r="J527" s="5" t="s">
        <v>670</v>
      </c>
      <c r="K527" s="5" t="s">
        <v>45</v>
      </c>
      <c r="L527">
        <v>2</v>
      </c>
      <c r="M527">
        <v>96.28</v>
      </c>
      <c r="N527" s="8">
        <v>4.8099999999999996</v>
      </c>
      <c r="O527" s="8">
        <v>187.75</v>
      </c>
      <c r="P527" s="8">
        <v>9.39</v>
      </c>
      <c r="Q527" s="10">
        <v>10</v>
      </c>
      <c r="R527" s="10">
        <v>15</v>
      </c>
      <c r="S527" s="8">
        <v>222.14</v>
      </c>
      <c r="T527">
        <v>22</v>
      </c>
      <c r="U527" t="str">
        <f t="shared" si="8"/>
        <v>Wednesday</v>
      </c>
    </row>
    <row r="528" spans="1:21" x14ac:dyDescent="0.3">
      <c r="A528" s="5" t="s">
        <v>1768</v>
      </c>
      <c r="B528" s="3" t="s">
        <v>3701</v>
      </c>
      <c r="C528" s="5" t="s">
        <v>1113</v>
      </c>
      <c r="D528" s="5" t="s">
        <v>21</v>
      </c>
      <c r="E528" s="5" t="s">
        <v>112</v>
      </c>
      <c r="F528" s="5" t="s">
        <v>23</v>
      </c>
      <c r="G528" t="s">
        <v>1769</v>
      </c>
      <c r="H528" s="5" t="s">
        <v>3675</v>
      </c>
      <c r="I528" s="5" t="s">
        <v>674</v>
      </c>
      <c r="J528" s="5" t="s">
        <v>675</v>
      </c>
      <c r="K528" s="5" t="s">
        <v>196</v>
      </c>
      <c r="L528">
        <v>7</v>
      </c>
      <c r="M528">
        <v>74.209999999999994</v>
      </c>
      <c r="N528" s="8">
        <v>7.42</v>
      </c>
      <c r="O528" s="8">
        <v>512.04999999999995</v>
      </c>
      <c r="P528" s="8">
        <v>25.6</v>
      </c>
      <c r="Q528" s="10">
        <v>10</v>
      </c>
      <c r="R528" s="10">
        <v>0</v>
      </c>
      <c r="S528" s="8">
        <v>547.65</v>
      </c>
      <c r="T528">
        <v>27</v>
      </c>
      <c r="U528" t="str">
        <f t="shared" si="8"/>
        <v>Tuesday</v>
      </c>
    </row>
    <row r="529" spans="1:21" x14ac:dyDescent="0.3">
      <c r="A529" s="5" t="s">
        <v>1770</v>
      </c>
      <c r="B529" s="3" t="s">
        <v>3679</v>
      </c>
      <c r="C529" s="5" t="s">
        <v>1116</v>
      </c>
      <c r="D529" s="5" t="s">
        <v>21</v>
      </c>
      <c r="E529" s="5" t="s">
        <v>69</v>
      </c>
      <c r="F529" s="5" t="s">
        <v>23</v>
      </c>
      <c r="G529" t="s">
        <v>1771</v>
      </c>
      <c r="H529" s="5" t="s">
        <v>3673</v>
      </c>
      <c r="I529" s="5" t="s">
        <v>679</v>
      </c>
      <c r="J529" s="5" t="s">
        <v>680</v>
      </c>
      <c r="K529" s="5" t="s">
        <v>34</v>
      </c>
      <c r="L529">
        <v>3</v>
      </c>
      <c r="M529">
        <v>85.26</v>
      </c>
      <c r="N529" s="8">
        <v>8.5299999999999994</v>
      </c>
      <c r="O529" s="8">
        <v>247.25</v>
      </c>
      <c r="P529" s="8">
        <v>12.36</v>
      </c>
      <c r="Q529" s="10">
        <v>10</v>
      </c>
      <c r="R529" s="10">
        <v>20</v>
      </c>
      <c r="S529" s="8">
        <v>289.61</v>
      </c>
      <c r="T529">
        <v>38</v>
      </c>
      <c r="U529" t="str">
        <f t="shared" si="8"/>
        <v>Friday</v>
      </c>
    </row>
    <row r="530" spans="1:21" x14ac:dyDescent="0.3">
      <c r="A530" s="5" t="s">
        <v>1772</v>
      </c>
      <c r="B530" s="3" t="s">
        <v>3704</v>
      </c>
      <c r="C530" s="5" t="s">
        <v>1119</v>
      </c>
      <c r="D530" s="5" t="s">
        <v>21</v>
      </c>
      <c r="E530" s="5" t="s">
        <v>69</v>
      </c>
      <c r="F530" s="5" t="s">
        <v>37</v>
      </c>
      <c r="G530" t="s">
        <v>1773</v>
      </c>
      <c r="H530" s="5" t="s">
        <v>3673</v>
      </c>
      <c r="I530" s="5" t="s">
        <v>684</v>
      </c>
      <c r="J530" s="5" t="s">
        <v>685</v>
      </c>
      <c r="K530" s="5" t="s">
        <v>196</v>
      </c>
      <c r="L530">
        <v>3</v>
      </c>
      <c r="M530">
        <v>200.3</v>
      </c>
      <c r="N530" s="8">
        <v>30.05</v>
      </c>
      <c r="O530" s="8">
        <v>570.85000000000014</v>
      </c>
      <c r="P530" s="8">
        <v>28.54</v>
      </c>
      <c r="Q530" s="10">
        <v>30</v>
      </c>
      <c r="R530" s="10">
        <v>15</v>
      </c>
      <c r="S530" s="8">
        <v>644.3900000000001</v>
      </c>
      <c r="T530">
        <v>24.67</v>
      </c>
      <c r="U530" t="str">
        <f t="shared" si="8"/>
        <v>Tuesday</v>
      </c>
    </row>
    <row r="531" spans="1:21" x14ac:dyDescent="0.3">
      <c r="A531" s="5" t="s">
        <v>1774</v>
      </c>
      <c r="B531" s="3" t="s">
        <v>3723</v>
      </c>
      <c r="C531" s="5" t="s">
        <v>1122</v>
      </c>
      <c r="D531" s="5" t="s">
        <v>21</v>
      </c>
      <c r="E531" s="5" t="s">
        <v>22</v>
      </c>
      <c r="F531" s="5" t="s">
        <v>37</v>
      </c>
      <c r="G531" t="s">
        <v>1775</v>
      </c>
      <c r="H531" s="5" t="s">
        <v>3677</v>
      </c>
      <c r="I531" s="5" t="s">
        <v>689</v>
      </c>
      <c r="J531" s="5" t="s">
        <v>690</v>
      </c>
      <c r="K531" s="5" t="s">
        <v>34</v>
      </c>
      <c r="L531">
        <v>1</v>
      </c>
      <c r="M531">
        <v>71.94</v>
      </c>
      <c r="N531" s="8">
        <v>3.6</v>
      </c>
      <c r="O531" s="8">
        <v>68.34</v>
      </c>
      <c r="P531" s="8">
        <v>3.42</v>
      </c>
      <c r="Q531" s="10">
        <v>10</v>
      </c>
      <c r="R531" s="10">
        <v>10</v>
      </c>
      <c r="S531" s="8">
        <v>91.76</v>
      </c>
      <c r="T531">
        <v>40</v>
      </c>
      <c r="U531" t="str">
        <f t="shared" si="8"/>
        <v>Monday</v>
      </c>
    </row>
    <row r="532" spans="1:21" x14ac:dyDescent="0.3">
      <c r="A532" s="5" t="s">
        <v>1776</v>
      </c>
      <c r="B532" s="3" t="s">
        <v>3707</v>
      </c>
      <c r="C532" s="5" t="s">
        <v>1125</v>
      </c>
      <c r="D532" s="5" t="s">
        <v>21</v>
      </c>
      <c r="E532" s="5" t="s">
        <v>36</v>
      </c>
      <c r="F532" s="5" t="s">
        <v>37</v>
      </c>
      <c r="G532" t="s">
        <v>1777</v>
      </c>
      <c r="H532" s="5" t="s">
        <v>3673</v>
      </c>
      <c r="I532" s="5" t="s">
        <v>694</v>
      </c>
      <c r="J532" s="5" t="s">
        <v>695</v>
      </c>
      <c r="K532" s="5" t="s">
        <v>28</v>
      </c>
      <c r="L532">
        <v>1</v>
      </c>
      <c r="M532">
        <v>23.41</v>
      </c>
      <c r="N532" s="8">
        <v>3.51</v>
      </c>
      <c r="O532" s="8">
        <v>19.899999999999999</v>
      </c>
      <c r="P532" s="8">
        <v>0.99</v>
      </c>
      <c r="Q532" s="10">
        <v>20</v>
      </c>
      <c r="R532" s="10">
        <v>5</v>
      </c>
      <c r="S532" s="8">
        <v>45.89</v>
      </c>
      <c r="T532">
        <v>26</v>
      </c>
      <c r="U532" t="str">
        <f t="shared" si="8"/>
        <v>Wednesday</v>
      </c>
    </row>
    <row r="533" spans="1:21" x14ac:dyDescent="0.3">
      <c r="A533" s="5" t="s">
        <v>1778</v>
      </c>
      <c r="B533" s="3" t="s">
        <v>3724</v>
      </c>
      <c r="C533" s="5" t="s">
        <v>1128</v>
      </c>
      <c r="D533" s="5" t="s">
        <v>21</v>
      </c>
      <c r="E533" s="5" t="s">
        <v>112</v>
      </c>
      <c r="F533" s="5" t="s">
        <v>42</v>
      </c>
      <c r="G533" t="s">
        <v>1779</v>
      </c>
      <c r="H533" s="5" t="s">
        <v>3673</v>
      </c>
      <c r="I533" s="5" t="s">
        <v>699</v>
      </c>
      <c r="J533" s="5" t="s">
        <v>700</v>
      </c>
      <c r="K533" s="5" t="s">
        <v>28</v>
      </c>
      <c r="L533">
        <v>3</v>
      </c>
      <c r="M533">
        <v>167.05</v>
      </c>
      <c r="N533" s="8">
        <v>0</v>
      </c>
      <c r="O533" s="8">
        <v>501.15</v>
      </c>
      <c r="P533" s="8">
        <v>25.06</v>
      </c>
      <c r="Q533" s="10">
        <v>20</v>
      </c>
      <c r="R533" s="10">
        <v>5</v>
      </c>
      <c r="S533" s="8">
        <v>551.21</v>
      </c>
      <c r="T533">
        <v>28</v>
      </c>
      <c r="U533" t="str">
        <f t="shared" si="8"/>
        <v>Sunday</v>
      </c>
    </row>
    <row r="534" spans="1:21" x14ac:dyDescent="0.3">
      <c r="A534" s="5" t="s">
        <v>1780</v>
      </c>
      <c r="B534" s="3" t="s">
        <v>3680</v>
      </c>
      <c r="C534" s="5" t="s">
        <v>1130</v>
      </c>
      <c r="D534" s="5" t="s">
        <v>21</v>
      </c>
      <c r="E534" s="5" t="s">
        <v>76</v>
      </c>
      <c r="F534" s="5" t="s">
        <v>23</v>
      </c>
      <c r="G534" t="s">
        <v>1781</v>
      </c>
      <c r="H534" s="5" t="s">
        <v>3674</v>
      </c>
      <c r="I534" s="5" t="s">
        <v>704</v>
      </c>
      <c r="J534" s="5" t="s">
        <v>705</v>
      </c>
      <c r="K534" s="5" t="s">
        <v>196</v>
      </c>
      <c r="L534">
        <v>1</v>
      </c>
      <c r="M534">
        <v>143.88</v>
      </c>
      <c r="N534" s="8">
        <v>7.19</v>
      </c>
      <c r="O534" s="8">
        <v>136.69</v>
      </c>
      <c r="P534" s="8">
        <v>6.83</v>
      </c>
      <c r="Q534" s="10">
        <v>20</v>
      </c>
      <c r="R534" s="10">
        <v>5</v>
      </c>
      <c r="S534" s="8">
        <v>168.52</v>
      </c>
      <c r="T534">
        <v>41</v>
      </c>
      <c r="U534" t="str">
        <f t="shared" si="8"/>
        <v>Wednesday</v>
      </c>
    </row>
    <row r="535" spans="1:21" x14ac:dyDescent="0.3">
      <c r="A535" s="5" t="s">
        <v>1782</v>
      </c>
      <c r="B535" s="3" t="s">
        <v>3697</v>
      </c>
      <c r="C535" s="5" t="s">
        <v>1133</v>
      </c>
      <c r="D535" s="5" t="s">
        <v>21</v>
      </c>
      <c r="E535" s="5" t="s">
        <v>69</v>
      </c>
      <c r="F535" s="5" t="s">
        <v>42</v>
      </c>
      <c r="G535" t="s">
        <v>1783</v>
      </c>
      <c r="H535" s="5" t="s">
        <v>3673</v>
      </c>
      <c r="I535" s="5" t="s">
        <v>709</v>
      </c>
      <c r="J535" s="5" t="s">
        <v>710</v>
      </c>
      <c r="K535" s="5" t="s">
        <v>28</v>
      </c>
      <c r="L535">
        <v>1</v>
      </c>
      <c r="M535">
        <v>44.68</v>
      </c>
      <c r="N535" s="8">
        <v>4.47</v>
      </c>
      <c r="O535" s="8">
        <v>40.21</v>
      </c>
      <c r="P535" s="8">
        <v>2.0099999999999998</v>
      </c>
      <c r="Q535" s="10">
        <v>0</v>
      </c>
      <c r="R535" s="10">
        <v>5</v>
      </c>
      <c r="S535" s="8">
        <v>47.22</v>
      </c>
      <c r="T535">
        <v>24.67</v>
      </c>
      <c r="U535" t="str">
        <f t="shared" si="8"/>
        <v>Saturday</v>
      </c>
    </row>
    <row r="536" spans="1:21" x14ac:dyDescent="0.3">
      <c r="A536" s="5" t="s">
        <v>1784</v>
      </c>
      <c r="B536" s="3" t="s">
        <v>3712</v>
      </c>
      <c r="C536" s="5" t="s">
        <v>1136</v>
      </c>
      <c r="D536" s="5" t="s">
        <v>21</v>
      </c>
      <c r="E536" s="5" t="s">
        <v>69</v>
      </c>
      <c r="F536" s="5" t="s">
        <v>37</v>
      </c>
      <c r="G536" t="s">
        <v>1785</v>
      </c>
      <c r="H536" s="5" t="s">
        <v>3674</v>
      </c>
      <c r="I536" s="5" t="s">
        <v>714</v>
      </c>
      <c r="J536" s="5" t="s">
        <v>715</v>
      </c>
      <c r="K536" s="5" t="s">
        <v>56</v>
      </c>
      <c r="L536">
        <v>3</v>
      </c>
      <c r="M536">
        <v>176.55</v>
      </c>
      <c r="N536" s="8">
        <v>26.48</v>
      </c>
      <c r="O536" s="8">
        <v>503.17000000000007</v>
      </c>
      <c r="P536" s="8">
        <v>25.16</v>
      </c>
      <c r="Q536" s="10">
        <v>10</v>
      </c>
      <c r="R536" s="10">
        <v>0</v>
      </c>
      <c r="S536" s="8">
        <v>538.33000000000004</v>
      </c>
      <c r="T536">
        <v>33</v>
      </c>
      <c r="U536" t="str">
        <f t="shared" si="8"/>
        <v>Thursday</v>
      </c>
    </row>
    <row r="537" spans="1:21" x14ac:dyDescent="0.3">
      <c r="A537" s="5" t="s">
        <v>1786</v>
      </c>
      <c r="B537" s="3" t="s">
        <v>3698</v>
      </c>
      <c r="C537" s="5" t="s">
        <v>1139</v>
      </c>
      <c r="D537" s="5" t="s">
        <v>21</v>
      </c>
      <c r="E537" s="5" t="s">
        <v>36</v>
      </c>
      <c r="F537" s="5" t="s">
        <v>37</v>
      </c>
      <c r="G537" t="s">
        <v>1787</v>
      </c>
      <c r="H537" s="5" t="s">
        <v>3675</v>
      </c>
      <c r="I537" s="5" t="s">
        <v>719</v>
      </c>
      <c r="J537" s="5" t="s">
        <v>720</v>
      </c>
      <c r="K537" s="5" t="s">
        <v>45</v>
      </c>
      <c r="L537">
        <v>1</v>
      </c>
      <c r="M537">
        <v>134.43</v>
      </c>
      <c r="N537" s="8">
        <v>0</v>
      </c>
      <c r="O537" s="8">
        <v>134.43</v>
      </c>
      <c r="P537" s="8">
        <v>6.72</v>
      </c>
      <c r="Q537" s="10">
        <v>0</v>
      </c>
      <c r="R537" s="10">
        <v>0</v>
      </c>
      <c r="S537" s="8">
        <v>141.15</v>
      </c>
      <c r="T537">
        <v>30</v>
      </c>
      <c r="U537" t="str">
        <f t="shared" si="8"/>
        <v>Sunday</v>
      </c>
    </row>
    <row r="538" spans="1:21" x14ac:dyDescent="0.3">
      <c r="A538" s="5" t="s">
        <v>1788</v>
      </c>
      <c r="B538" s="3" t="s">
        <v>3681</v>
      </c>
      <c r="C538" s="5" t="s">
        <v>1142</v>
      </c>
      <c r="D538" s="5" t="s">
        <v>21</v>
      </c>
      <c r="E538" s="5" t="s">
        <v>76</v>
      </c>
      <c r="F538" s="5" t="s">
        <v>42</v>
      </c>
      <c r="G538" t="s">
        <v>1789</v>
      </c>
      <c r="H538" s="5" t="s">
        <v>3674</v>
      </c>
      <c r="I538" s="5" t="s">
        <v>724</v>
      </c>
      <c r="J538" s="5" t="s">
        <v>725</v>
      </c>
      <c r="K538" s="5" t="s">
        <v>56</v>
      </c>
      <c r="L538">
        <v>5</v>
      </c>
      <c r="M538">
        <v>213.07</v>
      </c>
      <c r="N538" s="8">
        <v>21.31</v>
      </c>
      <c r="O538" s="8">
        <v>1044.04</v>
      </c>
      <c r="P538" s="8">
        <v>52.2</v>
      </c>
      <c r="Q538" s="10">
        <v>0</v>
      </c>
      <c r="R538" s="10">
        <v>15</v>
      </c>
      <c r="S538" s="8">
        <v>1111.24</v>
      </c>
      <c r="T538">
        <v>3</v>
      </c>
      <c r="U538" t="str">
        <f t="shared" si="8"/>
        <v>Wednesday</v>
      </c>
    </row>
    <row r="539" spans="1:21" x14ac:dyDescent="0.3">
      <c r="A539" s="5" t="s">
        <v>1790</v>
      </c>
      <c r="B539" s="3" t="s">
        <v>3688</v>
      </c>
      <c r="C539" s="5" t="s">
        <v>1145</v>
      </c>
      <c r="D539" s="5" t="s">
        <v>21</v>
      </c>
      <c r="E539" s="5" t="s">
        <v>36</v>
      </c>
      <c r="F539" s="5" t="s">
        <v>23</v>
      </c>
      <c r="G539" t="s">
        <v>1791</v>
      </c>
      <c r="H539" s="5" t="s">
        <v>3677</v>
      </c>
      <c r="I539" s="5" t="s">
        <v>729</v>
      </c>
      <c r="J539" s="5" t="s">
        <v>730</v>
      </c>
      <c r="K539" s="5" t="s">
        <v>196</v>
      </c>
      <c r="L539">
        <v>5</v>
      </c>
      <c r="M539">
        <v>163.63</v>
      </c>
      <c r="N539" s="8">
        <v>8.18</v>
      </c>
      <c r="O539" s="8">
        <v>809.97</v>
      </c>
      <c r="P539" s="8">
        <v>40.5</v>
      </c>
      <c r="Q539" s="10">
        <v>20</v>
      </c>
      <c r="R539" s="10">
        <v>0</v>
      </c>
      <c r="S539" s="8">
        <v>870.47</v>
      </c>
      <c r="T539">
        <v>13</v>
      </c>
      <c r="U539" t="str">
        <f t="shared" si="8"/>
        <v>Saturday</v>
      </c>
    </row>
    <row r="540" spans="1:21" x14ac:dyDescent="0.3">
      <c r="A540" s="5" t="s">
        <v>1792</v>
      </c>
      <c r="B540" s="3" t="s">
        <v>3697</v>
      </c>
      <c r="C540" s="5" t="s">
        <v>1148</v>
      </c>
      <c r="D540" s="5" t="s">
        <v>21</v>
      </c>
      <c r="E540" s="5" t="s">
        <v>69</v>
      </c>
      <c r="F540" s="5" t="s">
        <v>23</v>
      </c>
      <c r="G540" t="s">
        <v>1793</v>
      </c>
      <c r="H540" s="5" t="s">
        <v>3677</v>
      </c>
      <c r="I540" s="5" t="s">
        <v>734</v>
      </c>
      <c r="J540" s="5" t="s">
        <v>735</v>
      </c>
      <c r="K540" s="5" t="s">
        <v>103</v>
      </c>
      <c r="L540">
        <v>1</v>
      </c>
      <c r="M540">
        <v>14.1</v>
      </c>
      <c r="N540" s="8">
        <v>0.71</v>
      </c>
      <c r="O540" s="8">
        <v>13.39</v>
      </c>
      <c r="P540" s="8">
        <v>0.67</v>
      </c>
      <c r="Q540" s="10">
        <v>0</v>
      </c>
      <c r="R540" s="10">
        <v>5</v>
      </c>
      <c r="S540" s="8">
        <v>19.059999999999999</v>
      </c>
      <c r="T540">
        <v>24.67</v>
      </c>
      <c r="U540" t="str">
        <f t="shared" si="8"/>
        <v>Saturday</v>
      </c>
    </row>
    <row r="541" spans="1:21" x14ac:dyDescent="0.3">
      <c r="A541" s="5" t="s">
        <v>1794</v>
      </c>
      <c r="B541" s="3" t="s">
        <v>3694</v>
      </c>
      <c r="C541" s="5" t="s">
        <v>1151</v>
      </c>
      <c r="D541" s="5" t="s">
        <v>21</v>
      </c>
      <c r="E541" s="5" t="s">
        <v>76</v>
      </c>
      <c r="F541" s="5" t="s">
        <v>23</v>
      </c>
      <c r="G541" t="s">
        <v>1795</v>
      </c>
      <c r="H541" s="5" t="s">
        <v>3673</v>
      </c>
      <c r="I541" s="5" t="s">
        <v>739</v>
      </c>
      <c r="J541" s="5" t="s">
        <v>740</v>
      </c>
      <c r="K541" s="5" t="s">
        <v>196</v>
      </c>
      <c r="L541">
        <v>2</v>
      </c>
      <c r="M541">
        <v>170.89</v>
      </c>
      <c r="N541" s="8">
        <v>17.09</v>
      </c>
      <c r="O541" s="8">
        <v>324.69</v>
      </c>
      <c r="P541" s="8">
        <v>16.23</v>
      </c>
      <c r="Q541" s="10">
        <v>0</v>
      </c>
      <c r="R541" s="10">
        <v>0</v>
      </c>
      <c r="S541" s="8">
        <v>340.92</v>
      </c>
      <c r="T541">
        <v>12</v>
      </c>
      <c r="U541" t="str">
        <f t="shared" si="8"/>
        <v>Thursday</v>
      </c>
    </row>
    <row r="542" spans="1:21" x14ac:dyDescent="0.3">
      <c r="A542" s="5" t="s">
        <v>1796</v>
      </c>
      <c r="B542" s="3" t="s">
        <v>3694</v>
      </c>
      <c r="C542" s="5" t="s">
        <v>1154</v>
      </c>
      <c r="D542" s="5" t="s">
        <v>21</v>
      </c>
      <c r="E542" s="5" t="s">
        <v>112</v>
      </c>
      <c r="F542" s="5" t="s">
        <v>37</v>
      </c>
      <c r="G542" t="s">
        <v>1797</v>
      </c>
      <c r="H542" s="5" t="s">
        <v>3675</v>
      </c>
      <c r="I542" s="5" t="s">
        <v>744</v>
      </c>
      <c r="J542" s="5" t="s">
        <v>745</v>
      </c>
      <c r="K542" s="5" t="s">
        <v>34</v>
      </c>
      <c r="L542">
        <v>3</v>
      </c>
      <c r="M542">
        <v>118.33</v>
      </c>
      <c r="N542" s="8">
        <v>11.83</v>
      </c>
      <c r="O542" s="8">
        <v>343.16</v>
      </c>
      <c r="P542" s="8">
        <v>17.16</v>
      </c>
      <c r="Q542" s="10">
        <v>20</v>
      </c>
      <c r="R542" s="10">
        <v>10</v>
      </c>
      <c r="S542" s="8">
        <v>390.32000000000011</v>
      </c>
      <c r="T542">
        <v>32</v>
      </c>
      <c r="U542" t="str">
        <f t="shared" si="8"/>
        <v>Thursday</v>
      </c>
    </row>
    <row r="543" spans="1:21" x14ac:dyDescent="0.3">
      <c r="A543" s="5" t="s">
        <v>1798</v>
      </c>
      <c r="B543" s="3" t="s">
        <v>3733</v>
      </c>
      <c r="C543" s="5" t="s">
        <v>1157</v>
      </c>
      <c r="D543" s="5" t="s">
        <v>21</v>
      </c>
      <c r="E543" s="5" t="s">
        <v>22</v>
      </c>
      <c r="F543" s="5" t="s">
        <v>23</v>
      </c>
      <c r="G543" t="s">
        <v>1799</v>
      </c>
      <c r="H543" s="5" t="s">
        <v>3676</v>
      </c>
      <c r="I543" s="5" t="s">
        <v>749</v>
      </c>
      <c r="J543" s="5" t="s">
        <v>750</v>
      </c>
      <c r="K543" s="5" t="s">
        <v>45</v>
      </c>
      <c r="L543">
        <v>4</v>
      </c>
      <c r="M543">
        <v>140.97999999999999</v>
      </c>
      <c r="N543" s="8">
        <v>0</v>
      </c>
      <c r="O543" s="8">
        <v>563.91999999999996</v>
      </c>
      <c r="P543" s="8">
        <v>28.2</v>
      </c>
      <c r="Q543" s="10">
        <v>10</v>
      </c>
      <c r="R543" s="10">
        <v>10</v>
      </c>
      <c r="S543" s="8">
        <v>612.12</v>
      </c>
      <c r="T543">
        <v>9</v>
      </c>
      <c r="U543" t="str">
        <f t="shared" si="8"/>
        <v>Sunday</v>
      </c>
    </row>
    <row r="544" spans="1:21" x14ac:dyDescent="0.3">
      <c r="A544" s="5" t="s">
        <v>1800</v>
      </c>
      <c r="B544" s="3" t="s">
        <v>3678</v>
      </c>
      <c r="C544" s="5" t="s">
        <v>1160</v>
      </c>
      <c r="D544" s="5" t="s">
        <v>21</v>
      </c>
      <c r="E544" s="5" t="s">
        <v>112</v>
      </c>
      <c r="F544" s="5" t="s">
        <v>37</v>
      </c>
      <c r="G544" t="s">
        <v>1801</v>
      </c>
      <c r="H544" s="5" t="s">
        <v>3676</v>
      </c>
      <c r="I544" s="5" t="s">
        <v>754</v>
      </c>
      <c r="J544" s="5" t="s">
        <v>755</v>
      </c>
      <c r="K544" s="5" t="s">
        <v>28</v>
      </c>
      <c r="L544">
        <v>2</v>
      </c>
      <c r="M544">
        <v>205.23</v>
      </c>
      <c r="N544" s="8">
        <v>30.78</v>
      </c>
      <c r="O544" s="8">
        <v>379.67999999999989</v>
      </c>
      <c r="P544" s="8">
        <v>18.98</v>
      </c>
      <c r="Q544" s="10">
        <v>10</v>
      </c>
      <c r="R544" s="10">
        <v>5</v>
      </c>
      <c r="S544" s="8">
        <v>413.66</v>
      </c>
      <c r="T544">
        <v>21</v>
      </c>
      <c r="U544" t="str">
        <f t="shared" si="8"/>
        <v>Saturday</v>
      </c>
    </row>
    <row r="545" spans="1:21" x14ac:dyDescent="0.3">
      <c r="A545" s="5" t="s">
        <v>1802</v>
      </c>
      <c r="B545" s="3" t="s">
        <v>3716</v>
      </c>
      <c r="C545" s="5" t="s">
        <v>1163</v>
      </c>
      <c r="D545" s="5" t="s">
        <v>21</v>
      </c>
      <c r="E545" s="5" t="s">
        <v>69</v>
      </c>
      <c r="F545" s="5" t="s">
        <v>37</v>
      </c>
      <c r="G545" t="s">
        <v>1803</v>
      </c>
      <c r="H545" s="5" t="s">
        <v>3673</v>
      </c>
      <c r="I545" s="5" t="s">
        <v>759</v>
      </c>
      <c r="J545" s="5" t="s">
        <v>760</v>
      </c>
      <c r="K545" s="5" t="s">
        <v>145</v>
      </c>
      <c r="L545">
        <v>4</v>
      </c>
      <c r="M545">
        <v>233.8</v>
      </c>
      <c r="N545" s="8">
        <v>23.38</v>
      </c>
      <c r="O545" s="8">
        <v>911.82</v>
      </c>
      <c r="P545" s="8">
        <v>45.59</v>
      </c>
      <c r="Q545" s="10">
        <v>10</v>
      </c>
      <c r="R545" s="10">
        <v>20</v>
      </c>
      <c r="S545" s="8">
        <v>987.41000000000008</v>
      </c>
      <c r="T545">
        <v>17</v>
      </c>
      <c r="U545" t="str">
        <f t="shared" si="8"/>
        <v>Saturday</v>
      </c>
    </row>
    <row r="546" spans="1:21" x14ac:dyDescent="0.3">
      <c r="A546" s="5" t="s">
        <v>1804</v>
      </c>
      <c r="B546" s="3" t="s">
        <v>3723</v>
      </c>
      <c r="C546" s="5" t="s">
        <v>1165</v>
      </c>
      <c r="D546" s="5" t="s">
        <v>21</v>
      </c>
      <c r="E546" s="5" t="s">
        <v>112</v>
      </c>
      <c r="F546" s="5" t="s">
        <v>23</v>
      </c>
      <c r="G546" t="s">
        <v>1805</v>
      </c>
      <c r="H546" s="5" t="s">
        <v>3673</v>
      </c>
      <c r="I546" s="5" t="s">
        <v>764</v>
      </c>
      <c r="J546" s="5" t="s">
        <v>765</v>
      </c>
      <c r="K546" s="5" t="s">
        <v>40</v>
      </c>
      <c r="L546">
        <v>3</v>
      </c>
      <c r="M546">
        <v>27.87</v>
      </c>
      <c r="N546" s="8">
        <v>1.39</v>
      </c>
      <c r="O546" s="8">
        <v>82.22</v>
      </c>
      <c r="P546" s="8">
        <v>4.1100000000000003</v>
      </c>
      <c r="Q546" s="10">
        <v>30</v>
      </c>
      <c r="R546" s="10">
        <v>5</v>
      </c>
      <c r="S546" s="8">
        <v>121.33</v>
      </c>
      <c r="T546">
        <v>31</v>
      </c>
      <c r="U546" t="str">
        <f t="shared" si="8"/>
        <v>Monday</v>
      </c>
    </row>
    <row r="547" spans="1:21" x14ac:dyDescent="0.3">
      <c r="A547" s="5" t="s">
        <v>1806</v>
      </c>
      <c r="B547" s="3" t="s">
        <v>3730</v>
      </c>
      <c r="C547" s="5" t="s">
        <v>1168</v>
      </c>
      <c r="D547" s="5" t="s">
        <v>21</v>
      </c>
      <c r="E547" s="5" t="s">
        <v>76</v>
      </c>
      <c r="F547" s="5" t="s">
        <v>42</v>
      </c>
      <c r="G547" t="s">
        <v>1807</v>
      </c>
      <c r="H547" s="5" t="s">
        <v>3674</v>
      </c>
      <c r="I547" s="5" t="s">
        <v>769</v>
      </c>
      <c r="J547" s="5" t="s">
        <v>770</v>
      </c>
      <c r="K547" s="5" t="s">
        <v>73</v>
      </c>
      <c r="L547">
        <v>5</v>
      </c>
      <c r="M547">
        <v>114.16</v>
      </c>
      <c r="N547" s="8">
        <v>0</v>
      </c>
      <c r="O547" s="8">
        <v>570.79999999999995</v>
      </c>
      <c r="P547" s="8">
        <v>28.54</v>
      </c>
      <c r="Q547" s="10">
        <v>30</v>
      </c>
      <c r="R547" s="10">
        <v>20</v>
      </c>
      <c r="S547" s="8">
        <v>649.33999999999992</v>
      </c>
      <c r="T547">
        <v>24.67</v>
      </c>
      <c r="U547" t="str">
        <f t="shared" si="8"/>
        <v>Friday</v>
      </c>
    </row>
    <row r="548" spans="1:21" x14ac:dyDescent="0.3">
      <c r="A548" s="5" t="s">
        <v>1808</v>
      </c>
      <c r="B548" s="3" t="s">
        <v>3735</v>
      </c>
      <c r="C548" s="5" t="s">
        <v>1171</v>
      </c>
      <c r="D548" s="5" t="s">
        <v>21</v>
      </c>
      <c r="E548" s="5" t="s">
        <v>36</v>
      </c>
      <c r="F548" s="5" t="s">
        <v>3671</v>
      </c>
      <c r="G548" t="s">
        <v>1809</v>
      </c>
      <c r="H548" s="5" t="s">
        <v>3673</v>
      </c>
      <c r="I548" s="5" t="s">
        <v>774</v>
      </c>
      <c r="J548" s="5" t="s">
        <v>775</v>
      </c>
      <c r="K548" s="5" t="s">
        <v>103</v>
      </c>
      <c r="L548">
        <v>1</v>
      </c>
      <c r="M548">
        <v>108.55</v>
      </c>
      <c r="N548" s="8">
        <v>16.28</v>
      </c>
      <c r="O548" s="8">
        <v>92.27</v>
      </c>
      <c r="P548" s="8">
        <v>4.6100000000000003</v>
      </c>
      <c r="Q548" s="10">
        <v>30</v>
      </c>
      <c r="R548" s="10">
        <v>20</v>
      </c>
      <c r="S548" s="8">
        <v>146.88</v>
      </c>
      <c r="T548">
        <v>24</v>
      </c>
      <c r="U548" t="str">
        <f t="shared" si="8"/>
        <v>Saturday</v>
      </c>
    </row>
    <row r="549" spans="1:21" x14ac:dyDescent="0.3">
      <c r="A549" s="5" t="s">
        <v>1810</v>
      </c>
      <c r="B549" s="3" t="s">
        <v>3679</v>
      </c>
      <c r="C549" s="5" t="s">
        <v>1174</v>
      </c>
      <c r="D549" s="5" t="s">
        <v>82</v>
      </c>
      <c r="E549" s="5" t="s">
        <v>83</v>
      </c>
      <c r="F549" s="5" t="s">
        <v>42</v>
      </c>
      <c r="G549" t="s">
        <v>1811</v>
      </c>
      <c r="H549" s="5" t="s">
        <v>3674</v>
      </c>
      <c r="I549" s="5" t="s">
        <v>779</v>
      </c>
      <c r="J549" s="5" t="s">
        <v>780</v>
      </c>
      <c r="K549" s="5" t="s">
        <v>56</v>
      </c>
      <c r="L549">
        <v>1</v>
      </c>
      <c r="M549">
        <v>186.8</v>
      </c>
      <c r="N549" s="8">
        <v>18.68</v>
      </c>
      <c r="O549" s="8">
        <v>168.12</v>
      </c>
      <c r="P549" s="8">
        <v>8.41</v>
      </c>
      <c r="Q549" s="10">
        <v>30</v>
      </c>
      <c r="R549" s="10">
        <v>15</v>
      </c>
      <c r="S549" s="8">
        <v>221.53</v>
      </c>
      <c r="T549">
        <v>28</v>
      </c>
      <c r="U549" t="str">
        <f t="shared" si="8"/>
        <v>Friday</v>
      </c>
    </row>
    <row r="550" spans="1:21" x14ac:dyDescent="0.3">
      <c r="A550" s="5" t="s">
        <v>1812</v>
      </c>
      <c r="B550" s="3" t="s">
        <v>3695</v>
      </c>
      <c r="C550" s="5" t="s">
        <v>1177</v>
      </c>
      <c r="D550" s="5" t="s">
        <v>21</v>
      </c>
      <c r="E550" s="5" t="s">
        <v>69</v>
      </c>
      <c r="F550" s="5" t="s">
        <v>23</v>
      </c>
      <c r="G550" t="s">
        <v>1813</v>
      </c>
      <c r="H550" s="5" t="s">
        <v>3674</v>
      </c>
      <c r="I550" s="5" t="s">
        <v>784</v>
      </c>
      <c r="J550" s="5" t="s">
        <v>785</v>
      </c>
      <c r="K550" s="5" t="s">
        <v>40</v>
      </c>
      <c r="L550">
        <v>5</v>
      </c>
      <c r="M550">
        <v>112.31</v>
      </c>
      <c r="N550" s="8">
        <v>16.850000000000001</v>
      </c>
      <c r="O550" s="8">
        <v>544.69999999999993</v>
      </c>
      <c r="P550" s="8">
        <v>27.23</v>
      </c>
      <c r="Q550" s="10">
        <v>20</v>
      </c>
      <c r="R550" s="10">
        <v>10</v>
      </c>
      <c r="S550" s="8">
        <v>601.92999999999995</v>
      </c>
      <c r="T550">
        <v>31</v>
      </c>
      <c r="U550" t="str">
        <f t="shared" si="8"/>
        <v>Thursday</v>
      </c>
    </row>
    <row r="551" spans="1:21" x14ac:dyDescent="0.3">
      <c r="A551" s="5" t="s">
        <v>1814</v>
      </c>
      <c r="B551" s="3" t="s">
        <v>3708</v>
      </c>
      <c r="C551" s="5" t="s">
        <v>1180</v>
      </c>
      <c r="D551" s="5" t="s">
        <v>21</v>
      </c>
      <c r="E551" s="5" t="s">
        <v>76</v>
      </c>
      <c r="F551" s="5" t="s">
        <v>37</v>
      </c>
      <c r="G551" t="s">
        <v>1815</v>
      </c>
      <c r="H551" s="5" t="s">
        <v>3673</v>
      </c>
      <c r="I551" s="5" t="s">
        <v>789</v>
      </c>
      <c r="J551" s="5" t="s">
        <v>790</v>
      </c>
      <c r="K551" s="5" t="s">
        <v>145</v>
      </c>
      <c r="L551">
        <v>1</v>
      </c>
      <c r="M551">
        <v>109.85</v>
      </c>
      <c r="N551" s="8">
        <v>10.98</v>
      </c>
      <c r="O551" s="8">
        <v>98.86999999999999</v>
      </c>
      <c r="P551" s="8">
        <v>4.9400000000000004</v>
      </c>
      <c r="Q551" s="10">
        <v>0</v>
      </c>
      <c r="R551" s="10">
        <v>15</v>
      </c>
      <c r="S551" s="8">
        <v>118.81</v>
      </c>
      <c r="T551">
        <v>21</v>
      </c>
      <c r="U551" t="str">
        <f t="shared" si="8"/>
        <v>Sunday</v>
      </c>
    </row>
    <row r="552" spans="1:21" x14ac:dyDescent="0.3">
      <c r="A552" s="5" t="s">
        <v>1816</v>
      </c>
      <c r="B552" s="3" t="s">
        <v>3721</v>
      </c>
      <c r="C552" s="5" t="s">
        <v>1183</v>
      </c>
      <c r="D552" s="5" t="s">
        <v>21</v>
      </c>
      <c r="E552" s="5" t="s">
        <v>112</v>
      </c>
      <c r="F552" s="5" t="s">
        <v>42</v>
      </c>
      <c r="G552" t="s">
        <v>1817</v>
      </c>
      <c r="H552" s="5" t="s">
        <v>3673</v>
      </c>
      <c r="I552" s="5" t="s">
        <v>794</v>
      </c>
      <c r="J552" s="5" t="s">
        <v>795</v>
      </c>
      <c r="K552" s="5" t="s">
        <v>28</v>
      </c>
      <c r="L552">
        <v>6</v>
      </c>
      <c r="M552">
        <v>134.02000000000001</v>
      </c>
      <c r="N552" s="8">
        <v>13.4</v>
      </c>
      <c r="O552" s="8">
        <v>790.72000000000014</v>
      </c>
      <c r="P552" s="8">
        <v>39.54</v>
      </c>
      <c r="Q552" s="10">
        <v>0</v>
      </c>
      <c r="R552" s="10">
        <v>20</v>
      </c>
      <c r="S552" s="8">
        <v>850.2600000000001</v>
      </c>
      <c r="T552">
        <v>14</v>
      </c>
      <c r="U552" t="str">
        <f t="shared" si="8"/>
        <v>Tuesday</v>
      </c>
    </row>
    <row r="553" spans="1:21" x14ac:dyDescent="0.3">
      <c r="A553" s="5" t="s">
        <v>1818</v>
      </c>
      <c r="B553" s="3" t="s">
        <v>3710</v>
      </c>
      <c r="C553" s="5" t="s">
        <v>1186</v>
      </c>
      <c r="D553" s="5" t="s">
        <v>82</v>
      </c>
      <c r="E553" s="5" t="s">
        <v>83</v>
      </c>
      <c r="F553" s="5" t="s">
        <v>23</v>
      </c>
      <c r="G553" t="s">
        <v>1819</v>
      </c>
      <c r="H553" s="5" t="s">
        <v>3673</v>
      </c>
      <c r="I553" s="5" t="s">
        <v>799</v>
      </c>
      <c r="J553" s="5" t="s">
        <v>800</v>
      </c>
      <c r="K553" s="5" t="s">
        <v>40</v>
      </c>
      <c r="L553">
        <v>2</v>
      </c>
      <c r="M553">
        <v>177.5</v>
      </c>
      <c r="N553" s="8">
        <v>0</v>
      </c>
      <c r="O553" s="8">
        <v>355</v>
      </c>
      <c r="P553" s="8">
        <v>17.75</v>
      </c>
      <c r="Q553" s="10">
        <v>30</v>
      </c>
      <c r="R553" s="10">
        <v>20</v>
      </c>
      <c r="S553" s="8">
        <v>422.75</v>
      </c>
      <c r="T553">
        <v>40</v>
      </c>
      <c r="U553" t="str">
        <f t="shared" si="8"/>
        <v>Monday</v>
      </c>
    </row>
    <row r="554" spans="1:21" x14ac:dyDescent="0.3">
      <c r="A554" s="5" t="s">
        <v>1820</v>
      </c>
      <c r="B554" s="3" t="s">
        <v>3690</v>
      </c>
      <c r="C554" s="5" t="s">
        <v>1189</v>
      </c>
      <c r="D554" s="5" t="s">
        <v>21</v>
      </c>
      <c r="E554" s="5" t="s">
        <v>112</v>
      </c>
      <c r="F554" s="5" t="s">
        <v>37</v>
      </c>
      <c r="G554" t="s">
        <v>1821</v>
      </c>
      <c r="H554" s="5" t="s">
        <v>3674</v>
      </c>
      <c r="I554" s="5" t="s">
        <v>804</v>
      </c>
      <c r="J554" s="5" t="s">
        <v>805</v>
      </c>
      <c r="K554" s="5" t="s">
        <v>56</v>
      </c>
      <c r="L554">
        <v>5</v>
      </c>
      <c r="M554">
        <v>187.11</v>
      </c>
      <c r="N554" s="8">
        <v>18.71</v>
      </c>
      <c r="O554" s="8">
        <v>916.84</v>
      </c>
      <c r="P554" s="8">
        <v>45.84</v>
      </c>
      <c r="Q554" s="10">
        <v>20</v>
      </c>
      <c r="R554" s="10">
        <v>10</v>
      </c>
      <c r="S554" s="8">
        <v>992.68000000000006</v>
      </c>
      <c r="T554">
        <v>30</v>
      </c>
      <c r="U554" t="str">
        <f t="shared" si="8"/>
        <v>Sunday</v>
      </c>
    </row>
    <row r="555" spans="1:21" x14ac:dyDescent="0.3">
      <c r="A555" s="5" t="s">
        <v>1822</v>
      </c>
      <c r="B555" s="3" t="s">
        <v>3679</v>
      </c>
      <c r="C555" s="5" t="s">
        <v>1192</v>
      </c>
      <c r="D555" s="5" t="s">
        <v>21</v>
      </c>
      <c r="E555" s="5" t="s">
        <v>76</v>
      </c>
      <c r="F555" s="5" t="s">
        <v>42</v>
      </c>
      <c r="G555" t="s">
        <v>1823</v>
      </c>
      <c r="H555" s="5" t="s">
        <v>3673</v>
      </c>
      <c r="I555" s="5" t="s">
        <v>809</v>
      </c>
      <c r="J555" s="5" t="s">
        <v>810</v>
      </c>
      <c r="K555" s="5" t="s">
        <v>145</v>
      </c>
      <c r="L555">
        <v>4</v>
      </c>
      <c r="M555">
        <v>120.35</v>
      </c>
      <c r="N555" s="8">
        <v>6.02</v>
      </c>
      <c r="O555" s="8">
        <v>475.38</v>
      </c>
      <c r="P555" s="8">
        <v>23.77</v>
      </c>
      <c r="Q555" s="10">
        <v>10</v>
      </c>
      <c r="R555" s="10">
        <v>10</v>
      </c>
      <c r="S555" s="8">
        <v>519.15</v>
      </c>
      <c r="T555">
        <v>36</v>
      </c>
      <c r="U555" t="str">
        <f t="shared" si="8"/>
        <v>Friday</v>
      </c>
    </row>
    <row r="556" spans="1:21" x14ac:dyDescent="0.3">
      <c r="A556" s="5" t="s">
        <v>1824</v>
      </c>
      <c r="B556" s="3" t="s">
        <v>3706</v>
      </c>
      <c r="C556" s="5" t="s">
        <v>1195</v>
      </c>
      <c r="D556" s="5" t="s">
        <v>21</v>
      </c>
      <c r="E556" s="5" t="s">
        <v>112</v>
      </c>
      <c r="F556" s="5" t="s">
        <v>42</v>
      </c>
      <c r="G556" t="s">
        <v>1825</v>
      </c>
      <c r="H556" s="5" t="s">
        <v>3676</v>
      </c>
      <c r="I556" s="5" t="s">
        <v>814</v>
      </c>
      <c r="J556" s="5" t="s">
        <v>815</v>
      </c>
      <c r="K556" s="5" t="s">
        <v>145</v>
      </c>
      <c r="L556">
        <v>5</v>
      </c>
      <c r="M556">
        <v>88.84</v>
      </c>
      <c r="N556" s="8">
        <v>13.33</v>
      </c>
      <c r="O556" s="8">
        <v>430.87000000000012</v>
      </c>
      <c r="P556" s="8">
        <v>21.54</v>
      </c>
      <c r="Q556" s="10">
        <v>0</v>
      </c>
      <c r="R556" s="10">
        <v>0</v>
      </c>
      <c r="S556" s="8">
        <v>452.41000000000008</v>
      </c>
      <c r="T556">
        <v>26</v>
      </c>
      <c r="U556" t="str">
        <f t="shared" si="8"/>
        <v>Thursday</v>
      </c>
    </row>
    <row r="557" spans="1:21" x14ac:dyDescent="0.3">
      <c r="A557" s="5" t="s">
        <v>1826</v>
      </c>
      <c r="B557" s="3" t="s">
        <v>3734</v>
      </c>
      <c r="C557" s="5" t="s">
        <v>1198</v>
      </c>
      <c r="D557" s="5" t="s">
        <v>82</v>
      </c>
      <c r="E557" s="5" t="s">
        <v>83</v>
      </c>
      <c r="F557" s="5" t="s">
        <v>37</v>
      </c>
      <c r="G557" t="s">
        <v>1827</v>
      </c>
      <c r="H557" s="5" t="s">
        <v>3673</v>
      </c>
      <c r="I557" s="5" t="s">
        <v>819</v>
      </c>
      <c r="J557" s="5" t="s">
        <v>820</v>
      </c>
      <c r="K557" s="5" t="s">
        <v>103</v>
      </c>
      <c r="L557">
        <v>6</v>
      </c>
      <c r="M557">
        <v>141.30000000000001</v>
      </c>
      <c r="N557" s="8">
        <v>7.07</v>
      </c>
      <c r="O557" s="8">
        <v>840.73</v>
      </c>
      <c r="P557" s="8">
        <v>42.04</v>
      </c>
      <c r="Q557" s="10">
        <v>10</v>
      </c>
      <c r="R557" s="10">
        <v>15</v>
      </c>
      <c r="S557" s="8">
        <v>907.77</v>
      </c>
      <c r="T557">
        <v>12</v>
      </c>
      <c r="U557" t="str">
        <f t="shared" si="8"/>
        <v>Monday</v>
      </c>
    </row>
    <row r="558" spans="1:21" x14ac:dyDescent="0.3">
      <c r="A558" s="5" t="s">
        <v>1828</v>
      </c>
      <c r="B558" s="3" t="s">
        <v>3718</v>
      </c>
      <c r="C558" s="5" t="s">
        <v>1201</v>
      </c>
      <c r="D558" s="5" t="s">
        <v>21</v>
      </c>
      <c r="E558" s="5" t="s">
        <v>69</v>
      </c>
      <c r="F558" s="5" t="s">
        <v>42</v>
      </c>
      <c r="G558" t="s">
        <v>1829</v>
      </c>
      <c r="H558" s="5" t="s">
        <v>3673</v>
      </c>
      <c r="I558" s="5" t="s">
        <v>824</v>
      </c>
      <c r="J558" s="5" t="s">
        <v>825</v>
      </c>
      <c r="K558" s="5" t="s">
        <v>196</v>
      </c>
      <c r="L558">
        <v>3</v>
      </c>
      <c r="M558">
        <v>125.58</v>
      </c>
      <c r="N558" s="8">
        <v>12.56</v>
      </c>
      <c r="O558" s="8">
        <v>364.18</v>
      </c>
      <c r="P558" s="8">
        <v>18.21</v>
      </c>
      <c r="Q558" s="10">
        <v>20</v>
      </c>
      <c r="R558" s="10">
        <v>20</v>
      </c>
      <c r="S558" s="8">
        <v>422.39</v>
      </c>
      <c r="T558">
        <v>19</v>
      </c>
      <c r="U558" t="str">
        <f t="shared" si="8"/>
        <v>Wednesday</v>
      </c>
    </row>
    <row r="559" spans="1:21" x14ac:dyDescent="0.3">
      <c r="A559" s="5" t="s">
        <v>1830</v>
      </c>
      <c r="B559" s="3" t="s">
        <v>3697</v>
      </c>
      <c r="C559" s="5" t="s">
        <v>1204</v>
      </c>
      <c r="D559" s="5" t="s">
        <v>21</v>
      </c>
      <c r="E559" s="5" t="s">
        <v>76</v>
      </c>
      <c r="F559" s="5" t="s">
        <v>23</v>
      </c>
      <c r="G559" t="s">
        <v>1831</v>
      </c>
      <c r="H559" s="5" t="s">
        <v>3677</v>
      </c>
      <c r="I559" s="5" t="s">
        <v>828</v>
      </c>
      <c r="J559" s="5" t="s">
        <v>829</v>
      </c>
      <c r="K559" s="5" t="s">
        <v>73</v>
      </c>
      <c r="L559">
        <v>2</v>
      </c>
      <c r="M559">
        <v>43.92</v>
      </c>
      <c r="N559" s="8">
        <v>6.59</v>
      </c>
      <c r="O559" s="8">
        <v>81.25</v>
      </c>
      <c r="P559" s="8">
        <v>4.0599999999999996</v>
      </c>
      <c r="Q559" s="10">
        <v>30</v>
      </c>
      <c r="R559" s="10">
        <v>0</v>
      </c>
      <c r="S559" s="8">
        <v>115.31</v>
      </c>
      <c r="T559">
        <v>15</v>
      </c>
      <c r="U559" t="str">
        <f t="shared" si="8"/>
        <v>Saturday</v>
      </c>
    </row>
    <row r="560" spans="1:21" x14ac:dyDescent="0.3">
      <c r="A560" s="5" t="s">
        <v>1832</v>
      </c>
      <c r="B560" s="3" t="s">
        <v>3704</v>
      </c>
      <c r="C560" s="5" t="s">
        <v>1207</v>
      </c>
      <c r="D560" s="5" t="s">
        <v>21</v>
      </c>
      <c r="E560" s="5" t="s">
        <v>69</v>
      </c>
      <c r="F560" s="5" t="s">
        <v>42</v>
      </c>
      <c r="G560" t="s">
        <v>1833</v>
      </c>
      <c r="H560" s="5" t="s">
        <v>25</v>
      </c>
      <c r="I560" s="5" t="s">
        <v>832</v>
      </c>
      <c r="J560" s="5" t="s">
        <v>833</v>
      </c>
      <c r="K560" s="5" t="s">
        <v>73</v>
      </c>
      <c r="L560">
        <v>9</v>
      </c>
      <c r="M560">
        <v>132.87</v>
      </c>
      <c r="N560" s="8">
        <v>13.29</v>
      </c>
      <c r="O560" s="8">
        <v>1182.54</v>
      </c>
      <c r="P560" s="8">
        <v>59.13</v>
      </c>
      <c r="Q560" s="10">
        <v>0</v>
      </c>
      <c r="R560" s="10">
        <v>0</v>
      </c>
      <c r="S560" s="8">
        <v>1241.67</v>
      </c>
      <c r="T560">
        <v>34</v>
      </c>
      <c r="U560" t="str">
        <f t="shared" si="8"/>
        <v>Tuesday</v>
      </c>
    </row>
    <row r="561" spans="1:21" x14ac:dyDescent="0.3">
      <c r="A561" s="5" t="s">
        <v>1834</v>
      </c>
      <c r="B561" s="3" t="s">
        <v>3695</v>
      </c>
      <c r="C561" s="5" t="s">
        <v>1210</v>
      </c>
      <c r="D561" s="5" t="s">
        <v>21</v>
      </c>
      <c r="E561" s="5" t="s">
        <v>76</v>
      </c>
      <c r="F561" s="5" t="s">
        <v>23</v>
      </c>
      <c r="G561" t="s">
        <v>1835</v>
      </c>
      <c r="H561" s="5" t="s">
        <v>3673</v>
      </c>
      <c r="I561" s="5" t="s">
        <v>837</v>
      </c>
      <c r="J561" s="5" t="s">
        <v>838</v>
      </c>
      <c r="K561" s="5" t="s">
        <v>73</v>
      </c>
      <c r="L561">
        <v>3</v>
      </c>
      <c r="M561">
        <v>101.98</v>
      </c>
      <c r="N561" s="8">
        <v>15.3</v>
      </c>
      <c r="O561" s="8">
        <v>290.64</v>
      </c>
      <c r="P561" s="8">
        <v>14.53</v>
      </c>
      <c r="Q561" s="10">
        <v>10</v>
      </c>
      <c r="R561" s="10">
        <v>10</v>
      </c>
      <c r="S561" s="8">
        <v>325.17</v>
      </c>
      <c r="T561">
        <v>24.67</v>
      </c>
      <c r="U561" t="str">
        <f t="shared" si="8"/>
        <v>Thursday</v>
      </c>
    </row>
    <row r="562" spans="1:21" x14ac:dyDescent="0.3">
      <c r="A562" s="5" t="s">
        <v>1836</v>
      </c>
      <c r="B562" s="3" t="s">
        <v>3684</v>
      </c>
      <c r="C562" s="5" t="s">
        <v>1213</v>
      </c>
      <c r="D562" s="5" t="s">
        <v>21</v>
      </c>
      <c r="E562" s="5" t="s">
        <v>76</v>
      </c>
      <c r="F562" s="5" t="s">
        <v>42</v>
      </c>
      <c r="G562" t="s">
        <v>1837</v>
      </c>
      <c r="H562" s="5" t="s">
        <v>3673</v>
      </c>
      <c r="I562" s="5" t="s">
        <v>842</v>
      </c>
      <c r="J562" s="5" t="s">
        <v>843</v>
      </c>
      <c r="K562" s="5" t="s">
        <v>73</v>
      </c>
      <c r="L562">
        <v>6</v>
      </c>
      <c r="M562">
        <v>165.36</v>
      </c>
      <c r="N562" s="8">
        <v>8.27</v>
      </c>
      <c r="O562" s="8">
        <v>983.8900000000001</v>
      </c>
      <c r="P562" s="8">
        <v>49.19</v>
      </c>
      <c r="Q562" s="10">
        <v>0</v>
      </c>
      <c r="R562" s="10">
        <v>15</v>
      </c>
      <c r="S562" s="8">
        <v>1048.08</v>
      </c>
      <c r="T562">
        <v>16</v>
      </c>
      <c r="U562" t="str">
        <f t="shared" si="8"/>
        <v>Sunday</v>
      </c>
    </row>
    <row r="563" spans="1:21" x14ac:dyDescent="0.3">
      <c r="A563" s="5" t="s">
        <v>1838</v>
      </c>
      <c r="B563" s="3" t="s">
        <v>3722</v>
      </c>
      <c r="C563" s="5" t="s">
        <v>1216</v>
      </c>
      <c r="D563" s="5" t="s">
        <v>21</v>
      </c>
      <c r="E563" s="5" t="s">
        <v>112</v>
      </c>
      <c r="F563" s="5" t="s">
        <v>23</v>
      </c>
      <c r="G563" t="s">
        <v>1839</v>
      </c>
      <c r="H563" s="5" t="s">
        <v>3675</v>
      </c>
      <c r="I563" s="5" t="s">
        <v>847</v>
      </c>
      <c r="J563" s="5" t="s">
        <v>848</v>
      </c>
      <c r="K563" s="5" t="s">
        <v>28</v>
      </c>
      <c r="L563">
        <v>2</v>
      </c>
      <c r="M563">
        <v>36.71</v>
      </c>
      <c r="N563" s="8">
        <v>1.84</v>
      </c>
      <c r="O563" s="8">
        <v>71.58</v>
      </c>
      <c r="P563" s="8">
        <v>3.58</v>
      </c>
      <c r="Q563" s="10">
        <v>20</v>
      </c>
      <c r="R563" s="10">
        <v>20</v>
      </c>
      <c r="S563" s="8">
        <v>115.16</v>
      </c>
      <c r="T563">
        <v>31</v>
      </c>
      <c r="U563" t="str">
        <f t="shared" si="8"/>
        <v>Friday</v>
      </c>
    </row>
    <row r="564" spans="1:21" x14ac:dyDescent="0.3">
      <c r="A564" s="5" t="s">
        <v>1840</v>
      </c>
      <c r="B564" s="3" t="s">
        <v>3736</v>
      </c>
      <c r="C564" s="5" t="s">
        <v>1219</v>
      </c>
      <c r="D564" s="5" t="s">
        <v>21</v>
      </c>
      <c r="E564" s="5" t="s">
        <v>22</v>
      </c>
      <c r="F564" s="5" t="s">
        <v>42</v>
      </c>
      <c r="G564" t="s">
        <v>1841</v>
      </c>
      <c r="H564" s="5" t="s">
        <v>3673</v>
      </c>
      <c r="I564" s="5" t="s">
        <v>852</v>
      </c>
      <c r="J564" s="5" t="s">
        <v>853</v>
      </c>
      <c r="K564" s="5" t="s">
        <v>56</v>
      </c>
      <c r="L564">
        <v>3</v>
      </c>
      <c r="M564">
        <v>99.53</v>
      </c>
      <c r="N564" s="8">
        <v>0</v>
      </c>
      <c r="O564" s="8">
        <v>298.58999999999997</v>
      </c>
      <c r="P564" s="8">
        <v>14.93</v>
      </c>
      <c r="Q564" s="10">
        <v>0</v>
      </c>
      <c r="R564" s="10">
        <v>20</v>
      </c>
      <c r="S564" s="8">
        <v>333.52</v>
      </c>
      <c r="T564">
        <v>14</v>
      </c>
      <c r="U564" t="str">
        <f t="shared" si="8"/>
        <v>Tuesday</v>
      </c>
    </row>
    <row r="565" spans="1:21" x14ac:dyDescent="0.3">
      <c r="A565" s="5" t="s">
        <v>1842</v>
      </c>
      <c r="B565" s="3" t="s">
        <v>3684</v>
      </c>
      <c r="C565" s="5" t="s">
        <v>1222</v>
      </c>
      <c r="D565" s="5" t="s">
        <v>21</v>
      </c>
      <c r="E565" s="5" t="s">
        <v>69</v>
      </c>
      <c r="F565" s="5" t="s">
        <v>42</v>
      </c>
      <c r="G565" t="s">
        <v>1843</v>
      </c>
      <c r="H565" s="5" t="s">
        <v>25</v>
      </c>
      <c r="I565" s="5" t="s">
        <v>857</v>
      </c>
      <c r="J565" s="5" t="s">
        <v>858</v>
      </c>
      <c r="K565" s="5" t="s">
        <v>45</v>
      </c>
      <c r="L565">
        <v>5</v>
      </c>
      <c r="M565">
        <v>173.72</v>
      </c>
      <c r="N565" s="8">
        <v>26.06</v>
      </c>
      <c r="O565" s="8">
        <v>842.54000000000008</v>
      </c>
      <c r="P565" s="8">
        <v>42.13</v>
      </c>
      <c r="Q565" s="10">
        <v>0</v>
      </c>
      <c r="R565" s="10">
        <v>5</v>
      </c>
      <c r="S565" s="8">
        <v>889.67000000000007</v>
      </c>
      <c r="T565">
        <v>18</v>
      </c>
      <c r="U565" t="str">
        <f t="shared" si="8"/>
        <v>Sunday</v>
      </c>
    </row>
    <row r="566" spans="1:21" x14ac:dyDescent="0.3">
      <c r="A566" s="5" t="s">
        <v>1844</v>
      </c>
      <c r="B566" s="3" t="s">
        <v>3705</v>
      </c>
      <c r="C566" s="5" t="s">
        <v>1225</v>
      </c>
      <c r="D566" s="5" t="s">
        <v>21</v>
      </c>
      <c r="E566" s="5" t="s">
        <v>76</v>
      </c>
      <c r="F566" s="5" t="s">
        <v>37</v>
      </c>
      <c r="G566" t="s">
        <v>1845</v>
      </c>
      <c r="H566" s="5" t="s">
        <v>3673</v>
      </c>
      <c r="I566" s="5" t="s">
        <v>862</v>
      </c>
      <c r="J566" s="5" t="s">
        <v>863</v>
      </c>
      <c r="K566" s="5" t="s">
        <v>73</v>
      </c>
      <c r="L566">
        <v>3</v>
      </c>
      <c r="M566">
        <v>169.22</v>
      </c>
      <c r="N566" s="8">
        <v>8.4600000000000009</v>
      </c>
      <c r="O566" s="8">
        <v>499.2</v>
      </c>
      <c r="P566" s="8">
        <v>24.96</v>
      </c>
      <c r="Q566" s="10">
        <v>30</v>
      </c>
      <c r="R566" s="10">
        <v>5</v>
      </c>
      <c r="S566" s="8">
        <v>559.16</v>
      </c>
      <c r="T566">
        <v>30</v>
      </c>
      <c r="U566" t="str">
        <f t="shared" si="8"/>
        <v>Tuesday</v>
      </c>
    </row>
    <row r="567" spans="1:21" x14ac:dyDescent="0.3">
      <c r="A567" s="5" t="s">
        <v>1846</v>
      </c>
      <c r="B567" s="3" t="s">
        <v>3683</v>
      </c>
      <c r="C567" s="5" t="s">
        <v>1228</v>
      </c>
      <c r="D567" s="5" t="s">
        <v>21</v>
      </c>
      <c r="E567" s="5" t="s">
        <v>69</v>
      </c>
      <c r="F567" s="5" t="s">
        <v>37</v>
      </c>
      <c r="G567" t="s">
        <v>1847</v>
      </c>
      <c r="H567" s="5" t="s">
        <v>3674</v>
      </c>
      <c r="I567" s="5" t="s">
        <v>867</v>
      </c>
      <c r="J567" s="5" t="s">
        <v>868</v>
      </c>
      <c r="K567" s="5" t="s">
        <v>145</v>
      </c>
      <c r="L567">
        <v>3</v>
      </c>
      <c r="M567">
        <v>109.05</v>
      </c>
      <c r="N567" s="8">
        <v>10.91</v>
      </c>
      <c r="O567" s="8">
        <v>316.24</v>
      </c>
      <c r="P567" s="8">
        <v>15.81</v>
      </c>
      <c r="Q567" s="10">
        <v>20</v>
      </c>
      <c r="R567" s="10">
        <v>15</v>
      </c>
      <c r="S567" s="8">
        <v>367.05</v>
      </c>
      <c r="T567">
        <v>20</v>
      </c>
      <c r="U567" t="str">
        <f t="shared" si="8"/>
        <v>Thursday</v>
      </c>
    </row>
    <row r="568" spans="1:21" x14ac:dyDescent="0.3">
      <c r="A568" s="5" t="s">
        <v>1848</v>
      </c>
      <c r="B568" s="3" t="s">
        <v>3710</v>
      </c>
      <c r="C568" s="5" t="s">
        <v>1231</v>
      </c>
      <c r="D568" s="5" t="s">
        <v>21</v>
      </c>
      <c r="E568" s="5" t="s">
        <v>112</v>
      </c>
      <c r="F568" s="5" t="s">
        <v>42</v>
      </c>
      <c r="G568" t="s">
        <v>1849</v>
      </c>
      <c r="H568" s="5" t="s">
        <v>3673</v>
      </c>
      <c r="I568" s="5" t="s">
        <v>872</v>
      </c>
      <c r="J568" s="5" t="s">
        <v>873</v>
      </c>
      <c r="K568" s="5" t="s">
        <v>145</v>
      </c>
      <c r="L568">
        <v>2</v>
      </c>
      <c r="M568">
        <v>75.209999999999994</v>
      </c>
      <c r="N568" s="8">
        <v>11.28</v>
      </c>
      <c r="O568" s="8">
        <v>139.13999999999999</v>
      </c>
      <c r="P568" s="8">
        <v>6.96</v>
      </c>
      <c r="Q568" s="10">
        <v>20</v>
      </c>
      <c r="R568" s="10">
        <v>0</v>
      </c>
      <c r="S568" s="8">
        <v>166.1</v>
      </c>
      <c r="T568">
        <v>18</v>
      </c>
      <c r="U568" t="str">
        <f t="shared" si="8"/>
        <v>Monday</v>
      </c>
    </row>
    <row r="569" spans="1:21" x14ac:dyDescent="0.3">
      <c r="A569" s="5" t="s">
        <v>1850</v>
      </c>
      <c r="B569" s="3" t="s">
        <v>3719</v>
      </c>
      <c r="C569" s="5" t="s">
        <v>1234</v>
      </c>
      <c r="D569" s="5" t="s">
        <v>21</v>
      </c>
      <c r="E569" s="5" t="s">
        <v>69</v>
      </c>
      <c r="F569" s="5" t="s">
        <v>23</v>
      </c>
      <c r="G569" t="s">
        <v>1851</v>
      </c>
      <c r="H569" s="5" t="s">
        <v>3673</v>
      </c>
      <c r="I569" s="5" t="s">
        <v>877</v>
      </c>
      <c r="J569" s="5" t="s">
        <v>878</v>
      </c>
      <c r="K569" s="5" t="s">
        <v>196</v>
      </c>
      <c r="L569">
        <v>1</v>
      </c>
      <c r="M569">
        <v>113.3</v>
      </c>
      <c r="N569" s="8">
        <v>16.989999999999998</v>
      </c>
      <c r="O569" s="8">
        <v>96.31</v>
      </c>
      <c r="P569" s="8">
        <v>4.82</v>
      </c>
      <c r="Q569" s="10">
        <v>0</v>
      </c>
      <c r="R569" s="10">
        <v>15</v>
      </c>
      <c r="S569" s="8">
        <v>116.13</v>
      </c>
      <c r="T569">
        <v>17</v>
      </c>
      <c r="U569" t="str">
        <f t="shared" si="8"/>
        <v>Sunday</v>
      </c>
    </row>
    <row r="570" spans="1:21" x14ac:dyDescent="0.3">
      <c r="A570" s="5" t="s">
        <v>1852</v>
      </c>
      <c r="B570" s="3" t="s">
        <v>3712</v>
      </c>
      <c r="C570" s="5" t="s">
        <v>1237</v>
      </c>
      <c r="D570" s="5" t="s">
        <v>21</v>
      </c>
      <c r="E570" s="5" t="s">
        <v>76</v>
      </c>
      <c r="F570" s="5" t="s">
        <v>42</v>
      </c>
      <c r="G570" t="s">
        <v>1853</v>
      </c>
      <c r="H570" s="5" t="s">
        <v>25</v>
      </c>
      <c r="I570" s="5" t="s">
        <v>882</v>
      </c>
      <c r="J570" s="5" t="s">
        <v>883</v>
      </c>
      <c r="K570" s="5" t="s">
        <v>22</v>
      </c>
      <c r="L570">
        <v>2</v>
      </c>
      <c r="M570">
        <v>90.96</v>
      </c>
      <c r="N570" s="8">
        <v>4.55</v>
      </c>
      <c r="O570" s="8">
        <v>177.37</v>
      </c>
      <c r="P570" s="8">
        <v>8.8699999999999992</v>
      </c>
      <c r="Q570" s="10">
        <v>10</v>
      </c>
      <c r="R570" s="10">
        <v>15</v>
      </c>
      <c r="S570" s="8">
        <v>211.24</v>
      </c>
      <c r="T570">
        <v>14</v>
      </c>
      <c r="U570" t="str">
        <f t="shared" si="8"/>
        <v>Thursday</v>
      </c>
    </row>
    <row r="571" spans="1:21" x14ac:dyDescent="0.3">
      <c r="A571" s="5" t="s">
        <v>1854</v>
      </c>
      <c r="B571" s="3" t="s">
        <v>3719</v>
      </c>
      <c r="C571" s="5" t="s">
        <v>1240</v>
      </c>
      <c r="D571" s="5" t="s">
        <v>21</v>
      </c>
      <c r="E571" s="5" t="s">
        <v>76</v>
      </c>
      <c r="F571" s="5" t="s">
        <v>37</v>
      </c>
      <c r="G571" t="s">
        <v>1855</v>
      </c>
      <c r="H571" s="5" t="s">
        <v>3674</v>
      </c>
      <c r="I571" s="5" t="s">
        <v>887</v>
      </c>
      <c r="J571" s="5" t="s">
        <v>888</v>
      </c>
      <c r="K571" s="5" t="s">
        <v>22</v>
      </c>
      <c r="L571">
        <v>1</v>
      </c>
      <c r="M571">
        <v>93.08</v>
      </c>
      <c r="N571" s="8">
        <v>9.31</v>
      </c>
      <c r="O571" s="8">
        <v>83.77</v>
      </c>
      <c r="P571" s="8">
        <v>4.1900000000000004</v>
      </c>
      <c r="Q571" s="10">
        <v>0</v>
      </c>
      <c r="R571" s="10">
        <v>5</v>
      </c>
      <c r="S571" s="8">
        <v>92.96</v>
      </c>
      <c r="T571">
        <v>24.67</v>
      </c>
      <c r="U571" t="str">
        <f t="shared" si="8"/>
        <v>Sunday</v>
      </c>
    </row>
    <row r="572" spans="1:21" x14ac:dyDescent="0.3">
      <c r="A572" s="5" t="s">
        <v>1856</v>
      </c>
      <c r="B572" s="3" t="s">
        <v>3688</v>
      </c>
      <c r="C572" s="5" t="s">
        <v>1243</v>
      </c>
      <c r="D572" s="5" t="s">
        <v>21</v>
      </c>
      <c r="E572" s="5" t="s">
        <v>76</v>
      </c>
      <c r="F572" s="5" t="s">
        <v>42</v>
      </c>
      <c r="G572" t="s">
        <v>1857</v>
      </c>
      <c r="H572" s="5" t="s">
        <v>3674</v>
      </c>
      <c r="I572" s="5" t="s">
        <v>892</v>
      </c>
      <c r="J572" s="5" t="s">
        <v>893</v>
      </c>
      <c r="K572" s="5" t="s">
        <v>56</v>
      </c>
      <c r="L572">
        <v>5</v>
      </c>
      <c r="M572">
        <v>171.06</v>
      </c>
      <c r="N572" s="8">
        <v>8.5500000000000007</v>
      </c>
      <c r="O572" s="8">
        <v>846.75</v>
      </c>
      <c r="P572" s="8">
        <v>42.34</v>
      </c>
      <c r="Q572" s="10">
        <v>30</v>
      </c>
      <c r="R572" s="10">
        <v>0</v>
      </c>
      <c r="S572" s="8">
        <v>919.09</v>
      </c>
      <c r="T572">
        <v>40</v>
      </c>
      <c r="U572" t="str">
        <f t="shared" si="8"/>
        <v>Saturday</v>
      </c>
    </row>
    <row r="573" spans="1:21" x14ac:dyDescent="0.3">
      <c r="A573" s="5" t="s">
        <v>1858</v>
      </c>
      <c r="B573" s="3" t="s">
        <v>3685</v>
      </c>
      <c r="C573" s="5" t="s">
        <v>1246</v>
      </c>
      <c r="D573" s="5" t="s">
        <v>21</v>
      </c>
      <c r="E573" s="5" t="s">
        <v>69</v>
      </c>
      <c r="F573" s="5" t="s">
        <v>42</v>
      </c>
      <c r="G573" t="s">
        <v>1859</v>
      </c>
      <c r="H573" s="5" t="s">
        <v>3676</v>
      </c>
      <c r="I573" s="5" t="s">
        <v>897</v>
      </c>
      <c r="J573" s="5" t="s">
        <v>898</v>
      </c>
      <c r="K573" s="5" t="s">
        <v>34</v>
      </c>
      <c r="L573">
        <v>6</v>
      </c>
      <c r="M573">
        <v>113.05</v>
      </c>
      <c r="N573" s="8">
        <v>11.3</v>
      </c>
      <c r="O573" s="8">
        <v>667</v>
      </c>
      <c r="P573" s="8">
        <v>33.35</v>
      </c>
      <c r="Q573" s="10">
        <v>30</v>
      </c>
      <c r="R573" s="10">
        <v>20</v>
      </c>
      <c r="S573" s="8">
        <v>750.35</v>
      </c>
      <c r="T573">
        <v>28</v>
      </c>
      <c r="U573" t="str">
        <f t="shared" si="8"/>
        <v>Thursday</v>
      </c>
    </row>
    <row r="574" spans="1:21" x14ac:dyDescent="0.3">
      <c r="A574" s="5" t="s">
        <v>1860</v>
      </c>
      <c r="B574" s="3" t="s">
        <v>3714</v>
      </c>
      <c r="C574" s="5" t="s">
        <v>1249</v>
      </c>
      <c r="D574" s="5" t="s">
        <v>21</v>
      </c>
      <c r="E574" s="5" t="s">
        <v>69</v>
      </c>
      <c r="F574" s="5" t="s">
        <v>42</v>
      </c>
      <c r="G574" t="s">
        <v>1861</v>
      </c>
      <c r="H574" s="5" t="s">
        <v>3674</v>
      </c>
      <c r="I574" s="5" t="s">
        <v>902</v>
      </c>
      <c r="J574" s="5" t="s">
        <v>903</v>
      </c>
      <c r="K574" s="5" t="s">
        <v>196</v>
      </c>
      <c r="L574">
        <v>1</v>
      </c>
      <c r="M574">
        <v>126.99</v>
      </c>
      <c r="N574" s="8">
        <v>0</v>
      </c>
      <c r="O574" s="8">
        <v>126.99</v>
      </c>
      <c r="P574" s="8">
        <v>6.35</v>
      </c>
      <c r="Q574" s="10">
        <v>10</v>
      </c>
      <c r="R574" s="10">
        <v>15</v>
      </c>
      <c r="S574" s="8">
        <v>158.34</v>
      </c>
      <c r="T574">
        <v>23</v>
      </c>
      <c r="U574" t="str">
        <f t="shared" si="8"/>
        <v>Thursday</v>
      </c>
    </row>
    <row r="575" spans="1:21" x14ac:dyDescent="0.3">
      <c r="A575" s="5" t="s">
        <v>1862</v>
      </c>
      <c r="B575" s="3" t="s">
        <v>3699</v>
      </c>
      <c r="C575" s="5" t="s">
        <v>1252</v>
      </c>
      <c r="D575" s="5" t="s">
        <v>21</v>
      </c>
      <c r="E575" s="5" t="s">
        <v>22</v>
      </c>
      <c r="F575" s="5" t="s">
        <v>37</v>
      </c>
      <c r="G575" t="s">
        <v>1863</v>
      </c>
      <c r="H575" s="5" t="s">
        <v>3673</v>
      </c>
      <c r="I575" s="5" t="s">
        <v>907</v>
      </c>
      <c r="J575" s="5" t="s">
        <v>908</v>
      </c>
      <c r="K575" s="5" t="s">
        <v>103</v>
      </c>
      <c r="L575">
        <v>2</v>
      </c>
      <c r="M575">
        <v>131.35</v>
      </c>
      <c r="N575" s="8">
        <v>0</v>
      </c>
      <c r="O575" s="8">
        <v>262.7</v>
      </c>
      <c r="P575" s="8">
        <v>13.13</v>
      </c>
      <c r="Q575" s="10">
        <v>0</v>
      </c>
      <c r="R575" s="10">
        <v>5</v>
      </c>
      <c r="S575" s="8">
        <v>280.83</v>
      </c>
      <c r="T575">
        <v>23</v>
      </c>
      <c r="U575" t="str">
        <f t="shared" si="8"/>
        <v>Sunday</v>
      </c>
    </row>
    <row r="576" spans="1:21" x14ac:dyDescent="0.3">
      <c r="A576" s="5" t="s">
        <v>1864</v>
      </c>
      <c r="B576" s="3" t="s">
        <v>3688</v>
      </c>
      <c r="C576" s="5" t="s">
        <v>1255</v>
      </c>
      <c r="D576" s="5" t="s">
        <v>106</v>
      </c>
      <c r="E576" s="5" t="s">
        <v>83</v>
      </c>
      <c r="F576" s="5" t="s">
        <v>37</v>
      </c>
      <c r="G576" t="s">
        <v>1865</v>
      </c>
      <c r="H576" s="5" t="s">
        <v>25</v>
      </c>
      <c r="I576" s="5" t="s">
        <v>912</v>
      </c>
      <c r="J576" s="5" t="s">
        <v>913</v>
      </c>
      <c r="K576" s="5" t="s">
        <v>73</v>
      </c>
      <c r="L576">
        <v>1</v>
      </c>
      <c r="M576">
        <v>87.6</v>
      </c>
      <c r="N576" s="8">
        <v>13.14</v>
      </c>
      <c r="O576" s="8">
        <v>74.459999999999994</v>
      </c>
      <c r="P576" s="8">
        <v>3.72</v>
      </c>
      <c r="Q576" s="10">
        <v>30</v>
      </c>
      <c r="R576" s="10">
        <v>0</v>
      </c>
      <c r="S576" s="8">
        <v>108.18</v>
      </c>
      <c r="T576">
        <v>14</v>
      </c>
      <c r="U576" t="str">
        <f t="shared" si="8"/>
        <v>Saturday</v>
      </c>
    </row>
    <row r="577" spans="1:21" x14ac:dyDescent="0.3">
      <c r="A577" s="5" t="s">
        <v>1866</v>
      </c>
      <c r="B577" s="3" t="s">
        <v>3732</v>
      </c>
      <c r="C577" s="5" t="s">
        <v>1258</v>
      </c>
      <c r="D577" s="5" t="s">
        <v>21</v>
      </c>
      <c r="E577" s="5" t="s">
        <v>76</v>
      </c>
      <c r="F577" s="5" t="s">
        <v>42</v>
      </c>
      <c r="G577" t="s">
        <v>1867</v>
      </c>
      <c r="H577" s="5" t="s">
        <v>3673</v>
      </c>
      <c r="I577" s="5" t="s">
        <v>917</v>
      </c>
      <c r="J577" s="5" t="s">
        <v>918</v>
      </c>
      <c r="K577" s="5" t="s">
        <v>73</v>
      </c>
      <c r="L577">
        <v>3</v>
      </c>
      <c r="M577">
        <v>142.12</v>
      </c>
      <c r="N577" s="8">
        <v>0</v>
      </c>
      <c r="O577" s="8">
        <v>426.36</v>
      </c>
      <c r="P577" s="8">
        <v>21.32</v>
      </c>
      <c r="Q577" s="10">
        <v>10</v>
      </c>
      <c r="R577" s="10">
        <v>15</v>
      </c>
      <c r="S577" s="8">
        <v>472.68</v>
      </c>
      <c r="T577">
        <v>24.67</v>
      </c>
      <c r="U577" t="str">
        <f t="shared" si="8"/>
        <v>Wednesday</v>
      </c>
    </row>
    <row r="578" spans="1:21" x14ac:dyDescent="0.3">
      <c r="A578" s="5" t="s">
        <v>1868</v>
      </c>
      <c r="B578" s="3" t="s">
        <v>3683</v>
      </c>
      <c r="C578" s="5" t="s">
        <v>1261</v>
      </c>
      <c r="D578" s="5" t="s">
        <v>21</v>
      </c>
      <c r="E578" s="5" t="s">
        <v>69</v>
      </c>
      <c r="F578" s="5" t="s">
        <v>42</v>
      </c>
      <c r="G578" t="s">
        <v>1869</v>
      </c>
      <c r="H578" s="5" t="s">
        <v>25</v>
      </c>
      <c r="I578" s="5" t="s">
        <v>922</v>
      </c>
      <c r="J578" s="5" t="s">
        <v>923</v>
      </c>
      <c r="K578" s="5" t="s">
        <v>28</v>
      </c>
      <c r="L578">
        <v>5</v>
      </c>
      <c r="M578">
        <v>128.21</v>
      </c>
      <c r="N578" s="8">
        <v>0</v>
      </c>
      <c r="O578" s="8">
        <v>641.05000000000007</v>
      </c>
      <c r="P578" s="8">
        <v>32.049999999999997</v>
      </c>
      <c r="Q578" s="10">
        <v>10</v>
      </c>
      <c r="R578" s="10">
        <v>0</v>
      </c>
      <c r="S578" s="8">
        <v>683.1</v>
      </c>
      <c r="T578">
        <v>24.67</v>
      </c>
      <c r="U578" t="str">
        <f t="shared" si="8"/>
        <v>Thursday</v>
      </c>
    </row>
    <row r="579" spans="1:21" x14ac:dyDescent="0.3">
      <c r="A579" s="5" t="s">
        <v>1870</v>
      </c>
      <c r="B579" s="3" t="s">
        <v>3683</v>
      </c>
      <c r="C579" s="5" t="s">
        <v>1264</v>
      </c>
      <c r="D579" s="5" t="s">
        <v>21</v>
      </c>
      <c r="E579" s="5" t="s">
        <v>69</v>
      </c>
      <c r="F579" s="5" t="s">
        <v>3671</v>
      </c>
      <c r="G579" t="s">
        <v>1871</v>
      </c>
      <c r="H579" s="5" t="s">
        <v>3673</v>
      </c>
      <c r="I579" s="5" t="s">
        <v>927</v>
      </c>
      <c r="J579" s="5" t="s">
        <v>928</v>
      </c>
      <c r="K579" s="5" t="s">
        <v>28</v>
      </c>
      <c r="L579">
        <v>2</v>
      </c>
      <c r="M579">
        <v>170.71</v>
      </c>
      <c r="N579" s="8">
        <v>8.5399999999999991</v>
      </c>
      <c r="O579" s="8">
        <v>332.88</v>
      </c>
      <c r="P579" s="8">
        <v>16.64</v>
      </c>
      <c r="Q579" s="10">
        <v>30</v>
      </c>
      <c r="R579" s="10">
        <v>20</v>
      </c>
      <c r="S579" s="8">
        <v>399.52</v>
      </c>
      <c r="T579">
        <v>0</v>
      </c>
      <c r="U579" t="str">
        <f t="shared" ref="U579:U642" si="9">TEXT(B579,"dddd")</f>
        <v>Thursday</v>
      </c>
    </row>
    <row r="580" spans="1:21" x14ac:dyDescent="0.3">
      <c r="A580" s="5" t="s">
        <v>1872</v>
      </c>
      <c r="B580" s="3" t="s">
        <v>3732</v>
      </c>
      <c r="C580" s="5" t="s">
        <v>1267</v>
      </c>
      <c r="D580" s="5" t="s">
        <v>21</v>
      </c>
      <c r="E580" s="5" t="s">
        <v>112</v>
      </c>
      <c r="F580" s="5" t="s">
        <v>23</v>
      </c>
      <c r="G580" t="s">
        <v>1873</v>
      </c>
      <c r="H580" s="5" t="s">
        <v>25</v>
      </c>
      <c r="I580" s="5" t="s">
        <v>932</v>
      </c>
      <c r="J580" s="5" t="s">
        <v>933</v>
      </c>
      <c r="K580" s="5" t="s">
        <v>103</v>
      </c>
      <c r="L580">
        <v>6</v>
      </c>
      <c r="M580">
        <v>79.489999999999995</v>
      </c>
      <c r="N580" s="8">
        <v>3.97</v>
      </c>
      <c r="O580" s="8">
        <v>472.96999999999991</v>
      </c>
      <c r="P580" s="8">
        <v>23.65</v>
      </c>
      <c r="Q580" s="10">
        <v>20</v>
      </c>
      <c r="R580" s="10">
        <v>10</v>
      </c>
      <c r="S580" s="8">
        <v>526.61999999999989</v>
      </c>
      <c r="T580">
        <v>10</v>
      </c>
      <c r="U580" t="str">
        <f t="shared" si="9"/>
        <v>Wednesday</v>
      </c>
    </row>
    <row r="581" spans="1:21" x14ac:dyDescent="0.3">
      <c r="A581" s="5" t="s">
        <v>1874</v>
      </c>
      <c r="B581" s="3" t="s">
        <v>3708</v>
      </c>
      <c r="C581" s="5" t="s">
        <v>1270</v>
      </c>
      <c r="D581" s="5" t="s">
        <v>21</v>
      </c>
      <c r="E581" s="5" t="s">
        <v>112</v>
      </c>
      <c r="F581" s="5" t="s">
        <v>23</v>
      </c>
      <c r="G581" t="s">
        <v>1875</v>
      </c>
      <c r="H581" s="5" t="s">
        <v>3677</v>
      </c>
      <c r="I581" s="5" t="s">
        <v>937</v>
      </c>
      <c r="J581" s="5" t="s">
        <v>938</v>
      </c>
      <c r="K581" s="5" t="s">
        <v>145</v>
      </c>
      <c r="L581">
        <v>4</v>
      </c>
      <c r="M581">
        <v>98.01</v>
      </c>
      <c r="N581" s="8">
        <v>14.7</v>
      </c>
      <c r="O581" s="8">
        <v>377.34</v>
      </c>
      <c r="P581" s="8">
        <v>18.87</v>
      </c>
      <c r="Q581" s="10">
        <v>0</v>
      </c>
      <c r="R581" s="10">
        <v>20</v>
      </c>
      <c r="S581" s="8">
        <v>416.21</v>
      </c>
      <c r="T581">
        <v>28</v>
      </c>
      <c r="U581" t="str">
        <f t="shared" si="9"/>
        <v>Sunday</v>
      </c>
    </row>
    <row r="582" spans="1:21" x14ac:dyDescent="0.3">
      <c r="A582" s="5" t="s">
        <v>1876</v>
      </c>
      <c r="B582" s="3" t="s">
        <v>3726</v>
      </c>
      <c r="C582" s="5" t="s">
        <v>1273</v>
      </c>
      <c r="D582" s="5" t="s">
        <v>21</v>
      </c>
      <c r="E582" s="5" t="s">
        <v>76</v>
      </c>
      <c r="F582" s="5" t="s">
        <v>37</v>
      </c>
      <c r="G582" t="s">
        <v>1877</v>
      </c>
      <c r="H582" s="5" t="s">
        <v>3677</v>
      </c>
      <c r="I582" s="5" t="s">
        <v>942</v>
      </c>
      <c r="J582" s="5" t="s">
        <v>943</v>
      </c>
      <c r="K582" s="5" t="s">
        <v>196</v>
      </c>
      <c r="L582">
        <v>1</v>
      </c>
      <c r="M582">
        <v>90.51</v>
      </c>
      <c r="N582" s="8">
        <v>13.58</v>
      </c>
      <c r="O582" s="8">
        <v>76.930000000000007</v>
      </c>
      <c r="P582" s="8">
        <v>3.85</v>
      </c>
      <c r="Q582" s="10">
        <v>30</v>
      </c>
      <c r="R582" s="10">
        <v>10</v>
      </c>
      <c r="S582" s="8">
        <v>120.78</v>
      </c>
      <c r="T582">
        <v>28</v>
      </c>
      <c r="U582" t="str">
        <f t="shared" si="9"/>
        <v>Monday</v>
      </c>
    </row>
    <row r="583" spans="1:21" x14ac:dyDescent="0.3">
      <c r="A583" s="5" t="s">
        <v>1878</v>
      </c>
      <c r="B583" s="3" t="s">
        <v>3735</v>
      </c>
      <c r="C583" s="5" t="s">
        <v>1276</v>
      </c>
      <c r="D583" s="5" t="s">
        <v>21</v>
      </c>
      <c r="E583" s="5" t="s">
        <v>112</v>
      </c>
      <c r="F583" s="5" t="s">
        <v>37</v>
      </c>
      <c r="G583" t="s">
        <v>1879</v>
      </c>
      <c r="H583" s="5" t="s">
        <v>3673</v>
      </c>
      <c r="I583" s="5" t="s">
        <v>947</v>
      </c>
      <c r="J583" s="5" t="s">
        <v>948</v>
      </c>
      <c r="K583" s="5" t="s">
        <v>28</v>
      </c>
      <c r="L583">
        <v>3</v>
      </c>
      <c r="M583">
        <v>200.68</v>
      </c>
      <c r="N583" s="8">
        <v>10.029999999999999</v>
      </c>
      <c r="O583" s="8">
        <v>592.01</v>
      </c>
      <c r="P583" s="8">
        <v>29.6</v>
      </c>
      <c r="Q583" s="10">
        <v>20</v>
      </c>
      <c r="R583" s="10">
        <v>10</v>
      </c>
      <c r="S583" s="8">
        <v>651.61</v>
      </c>
      <c r="T583">
        <v>21</v>
      </c>
      <c r="U583" t="str">
        <f t="shared" si="9"/>
        <v>Saturday</v>
      </c>
    </row>
    <row r="584" spans="1:21" x14ac:dyDescent="0.3">
      <c r="A584" s="5" t="s">
        <v>1880</v>
      </c>
      <c r="B584" s="3" t="s">
        <v>3724</v>
      </c>
      <c r="C584" s="5" t="s">
        <v>1279</v>
      </c>
      <c r="D584" s="5" t="s">
        <v>21</v>
      </c>
      <c r="E584" s="5" t="s">
        <v>112</v>
      </c>
      <c r="F584" s="5" t="s">
        <v>42</v>
      </c>
      <c r="G584" t="s">
        <v>1881</v>
      </c>
      <c r="H584" s="5" t="s">
        <v>100</v>
      </c>
      <c r="I584" s="5" t="s">
        <v>952</v>
      </c>
      <c r="J584" s="5" t="s">
        <v>953</v>
      </c>
      <c r="K584" s="5" t="s">
        <v>196</v>
      </c>
      <c r="L584">
        <v>8</v>
      </c>
      <c r="M584">
        <v>137.74</v>
      </c>
      <c r="N584" s="8">
        <v>0</v>
      </c>
      <c r="O584" s="8">
        <v>1101.92</v>
      </c>
      <c r="P584" s="8">
        <v>55.1</v>
      </c>
      <c r="Q584" s="10">
        <v>20</v>
      </c>
      <c r="R584" s="10">
        <v>15</v>
      </c>
      <c r="S584" s="8">
        <v>1192.02</v>
      </c>
      <c r="T584">
        <v>9</v>
      </c>
      <c r="U584" t="str">
        <f t="shared" si="9"/>
        <v>Sunday</v>
      </c>
    </row>
    <row r="585" spans="1:21" x14ac:dyDescent="0.3">
      <c r="A585" s="5" t="s">
        <v>1882</v>
      </c>
      <c r="B585" s="3" t="s">
        <v>3729</v>
      </c>
      <c r="C585" s="5" t="s">
        <v>1282</v>
      </c>
      <c r="D585" s="5" t="s">
        <v>21</v>
      </c>
      <c r="E585" s="5" t="s">
        <v>22</v>
      </c>
      <c r="F585" s="5" t="s">
        <v>37</v>
      </c>
      <c r="G585" t="s">
        <v>1883</v>
      </c>
      <c r="H585" s="5" t="s">
        <v>3677</v>
      </c>
      <c r="I585" s="5" t="s">
        <v>957</v>
      </c>
      <c r="J585" s="5" t="s">
        <v>958</v>
      </c>
      <c r="K585" s="5" t="s">
        <v>28</v>
      </c>
      <c r="L585">
        <v>1</v>
      </c>
      <c r="M585">
        <v>144.13</v>
      </c>
      <c r="N585" s="8">
        <v>21.62</v>
      </c>
      <c r="O585" s="8">
        <v>122.51</v>
      </c>
      <c r="P585" s="8">
        <v>6.13</v>
      </c>
      <c r="Q585" s="10">
        <v>0</v>
      </c>
      <c r="R585" s="10">
        <v>5</v>
      </c>
      <c r="S585" s="8">
        <v>133.63999999999999</v>
      </c>
      <c r="T585">
        <v>22</v>
      </c>
      <c r="U585" t="str">
        <f t="shared" si="9"/>
        <v>Monday</v>
      </c>
    </row>
    <row r="586" spans="1:21" x14ac:dyDescent="0.3">
      <c r="A586" s="5" t="s">
        <v>1884</v>
      </c>
      <c r="B586" s="3" t="s">
        <v>3700</v>
      </c>
      <c r="C586" s="5" t="s">
        <v>1285</v>
      </c>
      <c r="D586" s="5" t="s">
        <v>21</v>
      </c>
      <c r="E586" s="5" t="s">
        <v>69</v>
      </c>
      <c r="F586" s="5" t="s">
        <v>37</v>
      </c>
      <c r="H586" s="5" t="s">
        <v>3675</v>
      </c>
      <c r="I586" s="5" t="s">
        <v>962</v>
      </c>
      <c r="J586" s="5" t="s">
        <v>963</v>
      </c>
      <c r="K586" s="5" t="s">
        <v>196</v>
      </c>
      <c r="L586">
        <v>3</v>
      </c>
      <c r="M586">
        <v>83.53</v>
      </c>
      <c r="N586" s="8">
        <v>0</v>
      </c>
      <c r="O586" s="8">
        <v>250.59</v>
      </c>
      <c r="P586" s="8">
        <v>12.53</v>
      </c>
      <c r="Q586" s="10">
        <v>30</v>
      </c>
      <c r="R586" s="10">
        <v>15</v>
      </c>
      <c r="S586" s="8">
        <v>308.12</v>
      </c>
      <c r="T586">
        <v>24.67</v>
      </c>
      <c r="U586" t="str">
        <f t="shared" si="9"/>
        <v>Saturday</v>
      </c>
    </row>
    <row r="587" spans="1:21" x14ac:dyDescent="0.3">
      <c r="A587" s="5" t="s">
        <v>1885</v>
      </c>
      <c r="B587" s="3" t="s">
        <v>3690</v>
      </c>
      <c r="C587" s="5" t="s">
        <v>1288</v>
      </c>
      <c r="D587" s="5" t="s">
        <v>21</v>
      </c>
      <c r="E587" s="5" t="s">
        <v>36</v>
      </c>
      <c r="F587" s="5" t="s">
        <v>37</v>
      </c>
      <c r="G587" t="s">
        <v>1886</v>
      </c>
      <c r="H587" s="5" t="s">
        <v>3675</v>
      </c>
      <c r="I587" s="5" t="s">
        <v>967</v>
      </c>
      <c r="J587" s="5" t="s">
        <v>968</v>
      </c>
      <c r="K587" s="5" t="s">
        <v>34</v>
      </c>
      <c r="L587">
        <v>1</v>
      </c>
      <c r="M587">
        <v>132.81</v>
      </c>
      <c r="N587" s="8">
        <v>6.64</v>
      </c>
      <c r="O587" s="8">
        <v>126.17</v>
      </c>
      <c r="P587" s="8">
        <v>6.31</v>
      </c>
      <c r="Q587" s="10">
        <v>10</v>
      </c>
      <c r="R587" s="10">
        <v>5</v>
      </c>
      <c r="S587" s="8">
        <v>147.47999999999999</v>
      </c>
      <c r="T587">
        <v>33</v>
      </c>
      <c r="U587" t="str">
        <f t="shared" si="9"/>
        <v>Sunday</v>
      </c>
    </row>
    <row r="588" spans="1:21" x14ac:dyDescent="0.3">
      <c r="A588" s="5" t="s">
        <v>1887</v>
      </c>
      <c r="B588" s="3" t="s">
        <v>3730</v>
      </c>
      <c r="C588" s="5" t="s">
        <v>1291</v>
      </c>
      <c r="D588" s="5" t="s">
        <v>21</v>
      </c>
      <c r="E588" s="5" t="s">
        <v>22</v>
      </c>
      <c r="F588" s="5" t="s">
        <v>42</v>
      </c>
      <c r="G588" t="s">
        <v>1888</v>
      </c>
      <c r="H588" s="5" t="s">
        <v>3673</v>
      </c>
      <c r="I588" s="5" t="s">
        <v>972</v>
      </c>
      <c r="J588" s="5" t="s">
        <v>973</v>
      </c>
      <c r="K588" s="5" t="s">
        <v>145</v>
      </c>
      <c r="L588">
        <v>1</v>
      </c>
      <c r="M588">
        <v>175.94</v>
      </c>
      <c r="N588" s="8">
        <v>17.59</v>
      </c>
      <c r="O588" s="8">
        <v>158.35</v>
      </c>
      <c r="P588" s="8">
        <v>7.92</v>
      </c>
      <c r="Q588" s="10">
        <v>0</v>
      </c>
      <c r="R588" s="10">
        <v>5</v>
      </c>
      <c r="S588" s="8">
        <v>171.27</v>
      </c>
      <c r="T588">
        <v>37</v>
      </c>
      <c r="U588" t="str">
        <f t="shared" si="9"/>
        <v>Friday</v>
      </c>
    </row>
    <row r="589" spans="1:21" x14ac:dyDescent="0.3">
      <c r="A589" s="5" t="s">
        <v>1889</v>
      </c>
      <c r="B589" s="3" t="s">
        <v>3688</v>
      </c>
      <c r="C589" s="5" t="s">
        <v>1294</v>
      </c>
      <c r="D589" s="5" t="s">
        <v>21</v>
      </c>
      <c r="E589" s="5" t="s">
        <v>69</v>
      </c>
      <c r="F589" s="5" t="s">
        <v>37</v>
      </c>
      <c r="G589" t="s">
        <v>1890</v>
      </c>
      <c r="H589" s="5" t="s">
        <v>3673</v>
      </c>
      <c r="I589" s="5" t="s">
        <v>977</v>
      </c>
      <c r="J589" s="5" t="s">
        <v>978</v>
      </c>
      <c r="K589" s="5" t="s">
        <v>56</v>
      </c>
      <c r="L589">
        <v>1</v>
      </c>
      <c r="M589">
        <v>101.71</v>
      </c>
      <c r="N589" s="8">
        <v>5.09</v>
      </c>
      <c r="O589" s="8">
        <v>96.61999999999999</v>
      </c>
      <c r="P589" s="8">
        <v>4.83</v>
      </c>
      <c r="Q589" s="10">
        <v>10</v>
      </c>
      <c r="R589" s="10">
        <v>20</v>
      </c>
      <c r="S589" s="8">
        <v>131.44999999999999</v>
      </c>
      <c r="T589">
        <v>32</v>
      </c>
      <c r="U589" t="str">
        <f t="shared" si="9"/>
        <v>Saturday</v>
      </c>
    </row>
    <row r="590" spans="1:21" x14ac:dyDescent="0.3">
      <c r="A590" s="5" t="s">
        <v>1891</v>
      </c>
      <c r="B590" s="3" t="s">
        <v>3732</v>
      </c>
      <c r="C590" s="5" t="s">
        <v>1297</v>
      </c>
      <c r="D590" s="5" t="s">
        <v>21</v>
      </c>
      <c r="E590" s="5" t="s">
        <v>22</v>
      </c>
      <c r="F590" s="5" t="s">
        <v>37</v>
      </c>
      <c r="G590" t="s">
        <v>1892</v>
      </c>
      <c r="H590" s="5" t="s">
        <v>3675</v>
      </c>
      <c r="I590" s="5" t="s">
        <v>982</v>
      </c>
      <c r="J590" s="5" t="s">
        <v>983</v>
      </c>
      <c r="K590" s="5" t="s">
        <v>40</v>
      </c>
      <c r="L590">
        <v>1</v>
      </c>
      <c r="M590">
        <v>170.13</v>
      </c>
      <c r="N590" s="8">
        <v>17.010000000000002</v>
      </c>
      <c r="O590" s="8">
        <v>153.12</v>
      </c>
      <c r="P590" s="8">
        <v>7.66</v>
      </c>
      <c r="Q590" s="10">
        <v>30</v>
      </c>
      <c r="R590" s="10">
        <v>20</v>
      </c>
      <c r="S590" s="8">
        <v>210.78</v>
      </c>
      <c r="T590">
        <v>13</v>
      </c>
      <c r="U590" t="str">
        <f t="shared" si="9"/>
        <v>Wednesday</v>
      </c>
    </row>
    <row r="591" spans="1:21" x14ac:dyDescent="0.3">
      <c r="A591" s="5" t="s">
        <v>1893</v>
      </c>
      <c r="B591" s="3" t="s">
        <v>3706</v>
      </c>
      <c r="C591" s="5" t="s">
        <v>1300</v>
      </c>
      <c r="D591" s="5" t="s">
        <v>21</v>
      </c>
      <c r="E591" s="5" t="s">
        <v>76</v>
      </c>
      <c r="F591" s="5" t="s">
        <v>23</v>
      </c>
      <c r="G591" t="s">
        <v>1894</v>
      </c>
      <c r="H591" s="5" t="s">
        <v>3674</v>
      </c>
      <c r="I591" s="5" t="s">
        <v>987</v>
      </c>
      <c r="J591" s="5" t="s">
        <v>988</v>
      </c>
      <c r="K591" s="5" t="s">
        <v>145</v>
      </c>
      <c r="L591">
        <v>4</v>
      </c>
      <c r="M591">
        <v>268.76</v>
      </c>
      <c r="N591" s="8">
        <v>26.88</v>
      </c>
      <c r="O591" s="8">
        <v>1048.1600000000001</v>
      </c>
      <c r="P591" s="8">
        <v>52.41</v>
      </c>
      <c r="Q591" s="10">
        <v>20</v>
      </c>
      <c r="R591" s="10">
        <v>15</v>
      </c>
      <c r="S591" s="8">
        <v>1135.57</v>
      </c>
      <c r="T591">
        <v>47</v>
      </c>
      <c r="U591" t="str">
        <f t="shared" si="9"/>
        <v>Thursday</v>
      </c>
    </row>
    <row r="592" spans="1:21" x14ac:dyDescent="0.3">
      <c r="A592" s="5" t="s">
        <v>1895</v>
      </c>
      <c r="B592" s="3" t="s">
        <v>3678</v>
      </c>
      <c r="C592" s="5" t="s">
        <v>1303</v>
      </c>
      <c r="D592" s="5" t="s">
        <v>21</v>
      </c>
      <c r="E592" s="5" t="s">
        <v>22</v>
      </c>
      <c r="F592" s="5" t="s">
        <v>42</v>
      </c>
      <c r="G592" t="s">
        <v>1896</v>
      </c>
      <c r="H592" s="5" t="s">
        <v>3673</v>
      </c>
      <c r="I592" s="5" t="s">
        <v>992</v>
      </c>
      <c r="J592" s="5" t="s">
        <v>993</v>
      </c>
      <c r="K592" s="5" t="s">
        <v>22</v>
      </c>
      <c r="L592">
        <v>4</v>
      </c>
      <c r="M592">
        <v>201.95</v>
      </c>
      <c r="N592" s="8">
        <v>20.2</v>
      </c>
      <c r="O592" s="8">
        <v>787.59999999999991</v>
      </c>
      <c r="P592" s="8">
        <v>39.380000000000003</v>
      </c>
      <c r="Q592" s="10">
        <v>0</v>
      </c>
      <c r="R592" s="10">
        <v>20</v>
      </c>
      <c r="S592" s="8">
        <v>846.9799999999999</v>
      </c>
      <c r="T592">
        <v>23</v>
      </c>
      <c r="U592" t="str">
        <f t="shared" si="9"/>
        <v>Saturday</v>
      </c>
    </row>
    <row r="593" spans="1:21" x14ac:dyDescent="0.3">
      <c r="A593" s="5" t="s">
        <v>1897</v>
      </c>
      <c r="B593" s="3" t="s">
        <v>3733</v>
      </c>
      <c r="C593" s="5" t="s">
        <v>1306</v>
      </c>
      <c r="D593" s="5" t="s">
        <v>21</v>
      </c>
      <c r="E593" s="5" t="s">
        <v>76</v>
      </c>
      <c r="F593" s="5" t="s">
        <v>37</v>
      </c>
      <c r="G593" t="s">
        <v>1898</v>
      </c>
      <c r="H593" s="5" t="s">
        <v>3675</v>
      </c>
      <c r="I593" s="5" t="s">
        <v>997</v>
      </c>
      <c r="J593" s="5" t="s">
        <v>998</v>
      </c>
      <c r="K593" s="5" t="s">
        <v>40</v>
      </c>
      <c r="L593">
        <v>1</v>
      </c>
      <c r="M593">
        <v>111.49</v>
      </c>
      <c r="N593" s="8">
        <v>0</v>
      </c>
      <c r="O593" s="8">
        <v>111.49</v>
      </c>
      <c r="P593" s="8">
        <v>5.57</v>
      </c>
      <c r="Q593" s="10">
        <v>10</v>
      </c>
      <c r="R593" s="10">
        <v>20</v>
      </c>
      <c r="S593" s="8">
        <v>147.06</v>
      </c>
      <c r="T593">
        <v>13</v>
      </c>
      <c r="U593" t="str">
        <f t="shared" si="9"/>
        <v>Sunday</v>
      </c>
    </row>
    <row r="594" spans="1:21" x14ac:dyDescent="0.3">
      <c r="A594" s="5" t="s">
        <v>1899</v>
      </c>
      <c r="B594" s="3" t="s">
        <v>3692</v>
      </c>
      <c r="C594" s="5" t="s">
        <v>1309</v>
      </c>
      <c r="D594" s="5" t="s">
        <v>106</v>
      </c>
      <c r="E594" s="5" t="s">
        <v>83</v>
      </c>
      <c r="F594" s="5" t="s">
        <v>42</v>
      </c>
      <c r="G594" t="s">
        <v>1900</v>
      </c>
      <c r="H594" s="5" t="s">
        <v>3675</v>
      </c>
      <c r="I594" s="5" t="s">
        <v>1002</v>
      </c>
      <c r="J594" s="5" t="s">
        <v>1003</v>
      </c>
      <c r="K594" s="5" t="s">
        <v>56</v>
      </c>
      <c r="L594">
        <v>4</v>
      </c>
      <c r="M594">
        <v>118.36</v>
      </c>
      <c r="N594" s="8">
        <v>0</v>
      </c>
      <c r="O594" s="8">
        <v>473.44</v>
      </c>
      <c r="P594" s="8">
        <v>23.67</v>
      </c>
      <c r="Q594" s="10">
        <v>0</v>
      </c>
      <c r="R594" s="10">
        <v>20</v>
      </c>
      <c r="S594" s="8">
        <v>517.11</v>
      </c>
      <c r="T594">
        <v>26</v>
      </c>
      <c r="U594" t="str">
        <f t="shared" si="9"/>
        <v>Wednesday</v>
      </c>
    </row>
    <row r="595" spans="1:21" x14ac:dyDescent="0.3">
      <c r="A595" s="5" t="s">
        <v>1901</v>
      </c>
      <c r="B595" s="3" t="s">
        <v>3725</v>
      </c>
      <c r="C595" s="5" t="s">
        <v>1312</v>
      </c>
      <c r="D595" s="5" t="s">
        <v>21</v>
      </c>
      <c r="E595" s="5" t="s">
        <v>36</v>
      </c>
      <c r="F595" s="5" t="s">
        <v>23</v>
      </c>
      <c r="G595" t="s">
        <v>1902</v>
      </c>
      <c r="H595" s="5" t="s">
        <v>3675</v>
      </c>
      <c r="I595" s="5" t="s">
        <v>1007</v>
      </c>
      <c r="J595" s="5" t="s">
        <v>1008</v>
      </c>
      <c r="K595" s="5" t="s">
        <v>145</v>
      </c>
      <c r="L595">
        <v>4</v>
      </c>
      <c r="M595">
        <v>137.53</v>
      </c>
      <c r="N595" s="8">
        <v>6.88</v>
      </c>
      <c r="O595" s="8">
        <v>543.24</v>
      </c>
      <c r="P595" s="8">
        <v>27.16</v>
      </c>
      <c r="Q595" s="10">
        <v>10</v>
      </c>
      <c r="R595" s="10">
        <v>5</v>
      </c>
      <c r="S595" s="8">
        <v>585.4</v>
      </c>
      <c r="T595">
        <v>23</v>
      </c>
      <c r="U595" t="str">
        <f t="shared" si="9"/>
        <v>Wednesday</v>
      </c>
    </row>
    <row r="596" spans="1:21" x14ac:dyDescent="0.3">
      <c r="A596" s="5" t="s">
        <v>1903</v>
      </c>
      <c r="B596" s="3" t="s">
        <v>3710</v>
      </c>
      <c r="C596" s="5" t="s">
        <v>1315</v>
      </c>
      <c r="D596" s="5" t="s">
        <v>21</v>
      </c>
      <c r="E596" s="5" t="s">
        <v>112</v>
      </c>
      <c r="F596" s="5" t="s">
        <v>23</v>
      </c>
      <c r="G596" t="s">
        <v>1904</v>
      </c>
      <c r="H596" s="5" t="s">
        <v>100</v>
      </c>
      <c r="I596" s="5" t="s">
        <v>1012</v>
      </c>
      <c r="J596" s="5" t="s">
        <v>1013</v>
      </c>
      <c r="K596" s="5" t="s">
        <v>103</v>
      </c>
      <c r="L596">
        <v>1</v>
      </c>
      <c r="M596">
        <v>147.46</v>
      </c>
      <c r="N596" s="8">
        <v>7.37</v>
      </c>
      <c r="O596" s="8">
        <v>140.09</v>
      </c>
      <c r="P596" s="8">
        <v>7</v>
      </c>
      <c r="Q596" s="10">
        <v>10</v>
      </c>
      <c r="R596" s="10">
        <v>5</v>
      </c>
      <c r="S596" s="8">
        <v>162.09</v>
      </c>
      <c r="T596">
        <v>25</v>
      </c>
      <c r="U596" t="str">
        <f t="shared" si="9"/>
        <v>Monday</v>
      </c>
    </row>
    <row r="597" spans="1:21" x14ac:dyDescent="0.3">
      <c r="A597" s="5" t="s">
        <v>1905</v>
      </c>
      <c r="B597" s="3" t="s">
        <v>3691</v>
      </c>
      <c r="C597" s="5" t="s">
        <v>1318</v>
      </c>
      <c r="D597" s="5" t="s">
        <v>21</v>
      </c>
      <c r="E597" s="5" t="s">
        <v>112</v>
      </c>
      <c r="F597" s="5" t="s">
        <v>23</v>
      </c>
      <c r="G597" t="s">
        <v>1906</v>
      </c>
      <c r="H597" s="5" t="s">
        <v>3673</v>
      </c>
      <c r="I597" s="5" t="s">
        <v>1017</v>
      </c>
      <c r="J597" s="5" t="s">
        <v>1018</v>
      </c>
      <c r="K597" s="5" t="s">
        <v>40</v>
      </c>
      <c r="L597">
        <v>6</v>
      </c>
      <c r="M597">
        <v>109.6</v>
      </c>
      <c r="N597" s="8">
        <v>5.48</v>
      </c>
      <c r="O597" s="8">
        <v>652.11999999999989</v>
      </c>
      <c r="P597" s="8">
        <v>32.61</v>
      </c>
      <c r="Q597" s="10">
        <v>0</v>
      </c>
      <c r="R597" s="10">
        <v>20</v>
      </c>
      <c r="S597" s="8">
        <v>704.7299999999999</v>
      </c>
      <c r="T597">
        <v>31</v>
      </c>
      <c r="U597" t="str">
        <f t="shared" si="9"/>
        <v>Friday</v>
      </c>
    </row>
    <row r="598" spans="1:21" x14ac:dyDescent="0.3">
      <c r="A598" s="5" t="s">
        <v>1907</v>
      </c>
      <c r="B598" s="3" t="s">
        <v>3699</v>
      </c>
      <c r="C598" s="5" t="s">
        <v>1321</v>
      </c>
      <c r="D598" s="5" t="s">
        <v>21</v>
      </c>
      <c r="E598" s="5" t="s">
        <v>69</v>
      </c>
      <c r="F598" s="5" t="s">
        <v>37</v>
      </c>
      <c r="G598" t="s">
        <v>1908</v>
      </c>
      <c r="H598" s="5" t="s">
        <v>3676</v>
      </c>
      <c r="I598" s="5" t="s">
        <v>1022</v>
      </c>
      <c r="J598" s="5" t="s">
        <v>1023</v>
      </c>
      <c r="K598" s="5" t="s">
        <v>145</v>
      </c>
      <c r="L598">
        <v>7</v>
      </c>
      <c r="M598">
        <v>103.07</v>
      </c>
      <c r="N598" s="8">
        <v>15.46</v>
      </c>
      <c r="O598" s="8">
        <v>706.03</v>
      </c>
      <c r="P598" s="8">
        <v>35.299999999999997</v>
      </c>
      <c r="Q598" s="10">
        <v>30</v>
      </c>
      <c r="R598" s="10">
        <v>15</v>
      </c>
      <c r="S598" s="8">
        <v>786.32999999999993</v>
      </c>
      <c r="T598">
        <v>19</v>
      </c>
      <c r="U598" t="str">
        <f t="shared" si="9"/>
        <v>Sunday</v>
      </c>
    </row>
    <row r="599" spans="1:21" x14ac:dyDescent="0.3">
      <c r="A599" s="5" t="s">
        <v>1909</v>
      </c>
      <c r="B599" s="3" t="s">
        <v>3719</v>
      </c>
      <c r="C599" s="5" t="s">
        <v>1323</v>
      </c>
      <c r="D599" s="5" t="s">
        <v>21</v>
      </c>
      <c r="E599" s="5" t="s">
        <v>76</v>
      </c>
      <c r="F599" s="5" t="s">
        <v>3671</v>
      </c>
      <c r="G599" t="s">
        <v>1910</v>
      </c>
      <c r="H599" s="5" t="s">
        <v>3674</v>
      </c>
      <c r="I599" s="5" t="s">
        <v>1027</v>
      </c>
      <c r="J599" s="5" t="s">
        <v>1028</v>
      </c>
      <c r="K599" s="5" t="s">
        <v>45</v>
      </c>
      <c r="L599">
        <v>1</v>
      </c>
      <c r="M599">
        <v>162.08000000000001</v>
      </c>
      <c r="N599" s="8">
        <v>0</v>
      </c>
      <c r="O599" s="8">
        <v>162.08000000000001</v>
      </c>
      <c r="P599" s="8">
        <v>8.1</v>
      </c>
      <c r="Q599" s="10">
        <v>10</v>
      </c>
      <c r="R599" s="10">
        <v>0</v>
      </c>
      <c r="S599" s="8">
        <v>180.18</v>
      </c>
      <c r="T599">
        <v>13</v>
      </c>
      <c r="U599" t="str">
        <f t="shared" si="9"/>
        <v>Sunday</v>
      </c>
    </row>
    <row r="600" spans="1:21" x14ac:dyDescent="0.3">
      <c r="A600" s="5" t="s">
        <v>1911</v>
      </c>
      <c r="B600" s="3" t="s">
        <v>3706</v>
      </c>
      <c r="C600" s="5" t="s">
        <v>20</v>
      </c>
      <c r="D600" s="5" t="s">
        <v>21</v>
      </c>
      <c r="E600" s="5" t="s">
        <v>36</v>
      </c>
      <c r="F600" s="5" t="s">
        <v>23</v>
      </c>
      <c r="G600" t="s">
        <v>1912</v>
      </c>
      <c r="H600" s="5" t="s">
        <v>3673</v>
      </c>
      <c r="I600" s="5" t="s">
        <v>26</v>
      </c>
      <c r="J600" s="5" t="s">
        <v>27</v>
      </c>
      <c r="K600" s="5" t="s">
        <v>56</v>
      </c>
      <c r="L600">
        <v>2</v>
      </c>
      <c r="M600">
        <v>138.87</v>
      </c>
      <c r="N600" s="8">
        <v>13.89</v>
      </c>
      <c r="O600" s="8">
        <v>263.85000000000002</v>
      </c>
      <c r="P600" s="8">
        <v>13.19</v>
      </c>
      <c r="Q600" s="10">
        <v>20</v>
      </c>
      <c r="R600" s="10">
        <v>5</v>
      </c>
      <c r="S600" s="8">
        <v>302.04000000000002</v>
      </c>
      <c r="T600">
        <v>25</v>
      </c>
      <c r="U600" t="str">
        <f t="shared" si="9"/>
        <v>Thursday</v>
      </c>
    </row>
    <row r="601" spans="1:21" x14ac:dyDescent="0.3">
      <c r="A601" s="5" t="s">
        <v>1913</v>
      </c>
      <c r="B601" s="3" t="s">
        <v>3709</v>
      </c>
      <c r="C601" s="5" t="s">
        <v>30</v>
      </c>
      <c r="D601" s="5" t="s">
        <v>21</v>
      </c>
      <c r="E601" s="5" t="s">
        <v>36</v>
      </c>
      <c r="F601" s="5" t="s">
        <v>23</v>
      </c>
      <c r="G601" t="s">
        <v>1914</v>
      </c>
      <c r="H601" s="5" t="s">
        <v>3676</v>
      </c>
      <c r="I601" s="5" t="s">
        <v>32</v>
      </c>
      <c r="J601" s="5" t="s">
        <v>33</v>
      </c>
      <c r="K601" s="5" t="s">
        <v>145</v>
      </c>
      <c r="L601">
        <v>1</v>
      </c>
      <c r="M601">
        <v>158.94999999999999</v>
      </c>
      <c r="N601" s="8">
        <v>0</v>
      </c>
      <c r="O601" s="8">
        <v>158.94999999999999</v>
      </c>
      <c r="P601" s="8">
        <v>7.95</v>
      </c>
      <c r="Q601" s="10">
        <v>30</v>
      </c>
      <c r="R601" s="10">
        <v>10</v>
      </c>
      <c r="S601" s="8">
        <v>206.9</v>
      </c>
      <c r="T601">
        <v>24.67</v>
      </c>
      <c r="U601" t="str">
        <f t="shared" si="9"/>
        <v>Thursday</v>
      </c>
    </row>
    <row r="602" spans="1:21" x14ac:dyDescent="0.3">
      <c r="A602" s="5" t="s">
        <v>1915</v>
      </c>
      <c r="B602" s="3" t="s">
        <v>3712</v>
      </c>
      <c r="C602" s="5" t="s">
        <v>35</v>
      </c>
      <c r="D602" s="5" t="s">
        <v>82</v>
      </c>
      <c r="E602" s="5" t="s">
        <v>83</v>
      </c>
      <c r="F602" s="5" t="s">
        <v>42</v>
      </c>
      <c r="G602" t="s">
        <v>1916</v>
      </c>
      <c r="H602" s="5" t="s">
        <v>3677</v>
      </c>
      <c r="I602" s="5" t="s">
        <v>38</v>
      </c>
      <c r="J602" s="5" t="s">
        <v>39</v>
      </c>
      <c r="K602" s="5" t="s">
        <v>40</v>
      </c>
      <c r="L602">
        <v>4</v>
      </c>
      <c r="M602">
        <v>94.3</v>
      </c>
      <c r="N602" s="8">
        <v>0</v>
      </c>
      <c r="O602" s="8">
        <v>377.2</v>
      </c>
      <c r="P602" s="8">
        <v>18.86</v>
      </c>
      <c r="Q602" s="10">
        <v>30</v>
      </c>
      <c r="R602" s="10">
        <v>20</v>
      </c>
      <c r="S602" s="8">
        <v>446.06</v>
      </c>
      <c r="T602">
        <v>4</v>
      </c>
      <c r="U602" t="str">
        <f t="shared" si="9"/>
        <v>Thursday</v>
      </c>
    </row>
    <row r="603" spans="1:21" x14ac:dyDescent="0.3">
      <c r="A603" s="5" t="s">
        <v>1917</v>
      </c>
      <c r="B603" s="3" t="s">
        <v>3692</v>
      </c>
      <c r="C603" s="5" t="s">
        <v>41</v>
      </c>
      <c r="D603" s="5" t="s">
        <v>21</v>
      </c>
      <c r="E603" s="5" t="s">
        <v>36</v>
      </c>
      <c r="F603" s="5" t="s">
        <v>37</v>
      </c>
      <c r="G603" t="s">
        <v>1918</v>
      </c>
      <c r="H603" s="5" t="s">
        <v>25</v>
      </c>
      <c r="I603" s="5" t="s">
        <v>43</v>
      </c>
      <c r="J603" s="5" t="s">
        <v>44</v>
      </c>
      <c r="K603" s="5" t="s">
        <v>56</v>
      </c>
      <c r="L603">
        <v>3</v>
      </c>
      <c r="M603">
        <v>149.13</v>
      </c>
      <c r="N603" s="8">
        <v>14.91</v>
      </c>
      <c r="O603" s="8">
        <v>432.48</v>
      </c>
      <c r="P603" s="8">
        <v>21.62</v>
      </c>
      <c r="Q603" s="10">
        <v>20</v>
      </c>
      <c r="R603" s="10">
        <v>5</v>
      </c>
      <c r="S603" s="8">
        <v>479.1</v>
      </c>
      <c r="T603">
        <v>20</v>
      </c>
      <c r="U603" t="str">
        <f t="shared" si="9"/>
        <v>Wednesday</v>
      </c>
    </row>
    <row r="604" spans="1:21" x14ac:dyDescent="0.3">
      <c r="A604" s="5" t="s">
        <v>1919</v>
      </c>
      <c r="B604" s="3" t="s">
        <v>3711</v>
      </c>
      <c r="C604" s="5" t="s">
        <v>47</v>
      </c>
      <c r="D604" s="5" t="s">
        <v>21</v>
      </c>
      <c r="E604" s="5" t="s">
        <v>22</v>
      </c>
      <c r="F604" s="5" t="s">
        <v>42</v>
      </c>
      <c r="H604" s="5" t="s">
        <v>25</v>
      </c>
      <c r="I604" s="5" t="s">
        <v>49</v>
      </c>
      <c r="J604" s="5" t="s">
        <v>50</v>
      </c>
      <c r="K604" s="5" t="s">
        <v>73</v>
      </c>
      <c r="L604">
        <v>5</v>
      </c>
      <c r="M604">
        <v>234.74</v>
      </c>
      <c r="N604" s="8">
        <v>23.47</v>
      </c>
      <c r="O604" s="8">
        <v>1150.23</v>
      </c>
      <c r="P604" s="8">
        <v>57.51</v>
      </c>
      <c r="Q604" s="10">
        <v>20</v>
      </c>
      <c r="R604" s="10">
        <v>20</v>
      </c>
      <c r="S604" s="8">
        <v>1247.74</v>
      </c>
      <c r="T604">
        <v>33</v>
      </c>
      <c r="U604" t="str">
        <f t="shared" si="9"/>
        <v>Wednesday</v>
      </c>
    </row>
    <row r="605" spans="1:21" x14ac:dyDescent="0.3">
      <c r="A605" s="5" t="s">
        <v>1920</v>
      </c>
      <c r="B605" s="3" t="s">
        <v>3725</v>
      </c>
      <c r="C605" s="5" t="s">
        <v>52</v>
      </c>
      <c r="D605" s="5" t="s">
        <v>21</v>
      </c>
      <c r="E605" s="5" t="s">
        <v>36</v>
      </c>
      <c r="F605" s="5" t="s">
        <v>23</v>
      </c>
      <c r="G605" t="s">
        <v>1921</v>
      </c>
      <c r="H605" s="5" t="s">
        <v>3677</v>
      </c>
      <c r="I605" s="5" t="s">
        <v>54</v>
      </c>
      <c r="J605" s="5" t="s">
        <v>55</v>
      </c>
      <c r="K605" s="5" t="s">
        <v>196</v>
      </c>
      <c r="L605">
        <v>4</v>
      </c>
      <c r="M605">
        <v>52.9</v>
      </c>
      <c r="N605" s="8">
        <v>5.29</v>
      </c>
      <c r="O605" s="8">
        <v>206.31</v>
      </c>
      <c r="P605" s="8">
        <v>10.32</v>
      </c>
      <c r="Q605" s="10">
        <v>30</v>
      </c>
      <c r="R605" s="10">
        <v>20</v>
      </c>
      <c r="S605" s="8">
        <v>266.63</v>
      </c>
      <c r="T605">
        <v>10</v>
      </c>
      <c r="U605" t="str">
        <f t="shared" si="9"/>
        <v>Wednesday</v>
      </c>
    </row>
    <row r="606" spans="1:21" x14ac:dyDescent="0.3">
      <c r="A606" s="5" t="s">
        <v>1922</v>
      </c>
      <c r="B606" s="3" t="s">
        <v>3717</v>
      </c>
      <c r="C606" s="5" t="s">
        <v>58</v>
      </c>
      <c r="D606" s="5" t="s">
        <v>82</v>
      </c>
      <c r="E606" s="5" t="s">
        <v>83</v>
      </c>
      <c r="F606" s="5" t="s">
        <v>37</v>
      </c>
      <c r="G606" t="s">
        <v>1923</v>
      </c>
      <c r="H606" s="5" t="s">
        <v>25</v>
      </c>
      <c r="I606" s="5" t="s">
        <v>60</v>
      </c>
      <c r="J606" s="5" t="s">
        <v>61</v>
      </c>
      <c r="K606" s="5" t="s">
        <v>28</v>
      </c>
      <c r="L606">
        <v>1</v>
      </c>
      <c r="M606">
        <v>125.88</v>
      </c>
      <c r="N606" s="8">
        <v>0</v>
      </c>
      <c r="O606" s="8">
        <v>125.88</v>
      </c>
      <c r="P606" s="8">
        <v>6.29</v>
      </c>
      <c r="Q606" s="10">
        <v>10</v>
      </c>
      <c r="R606" s="10">
        <v>0</v>
      </c>
      <c r="S606" s="8">
        <v>142.16999999999999</v>
      </c>
      <c r="T606">
        <v>24.67</v>
      </c>
      <c r="U606" t="str">
        <f t="shared" si="9"/>
        <v>Tuesday</v>
      </c>
    </row>
    <row r="607" spans="1:21" x14ac:dyDescent="0.3">
      <c r="A607" s="5" t="s">
        <v>1924</v>
      </c>
      <c r="B607" s="3" t="s">
        <v>3705</v>
      </c>
      <c r="C607" s="5" t="s">
        <v>63</v>
      </c>
      <c r="D607" s="5" t="s">
        <v>21</v>
      </c>
      <c r="E607" s="5" t="s">
        <v>36</v>
      </c>
      <c r="F607" s="5" t="s">
        <v>37</v>
      </c>
      <c r="G607" t="s">
        <v>1925</v>
      </c>
      <c r="H607" s="5" t="s">
        <v>3674</v>
      </c>
      <c r="I607" s="5" t="s">
        <v>65</v>
      </c>
      <c r="J607" s="5" t="s">
        <v>66</v>
      </c>
      <c r="K607" s="5" t="s">
        <v>34</v>
      </c>
      <c r="L607">
        <v>5</v>
      </c>
      <c r="M607">
        <v>77.84</v>
      </c>
      <c r="N607" s="8">
        <v>11.68</v>
      </c>
      <c r="O607" s="8">
        <v>377.52</v>
      </c>
      <c r="P607" s="8">
        <v>18.88</v>
      </c>
      <c r="Q607" s="10">
        <v>20</v>
      </c>
      <c r="R607" s="10">
        <v>10</v>
      </c>
      <c r="S607" s="8">
        <v>426.4</v>
      </c>
      <c r="T607">
        <v>12</v>
      </c>
      <c r="U607" t="str">
        <f t="shared" si="9"/>
        <v>Tuesday</v>
      </c>
    </row>
    <row r="608" spans="1:21" x14ac:dyDescent="0.3">
      <c r="A608" s="5" t="s">
        <v>1926</v>
      </c>
      <c r="B608" s="3" t="s">
        <v>3733</v>
      </c>
      <c r="C608" s="5" t="s">
        <v>68</v>
      </c>
      <c r="D608" s="5" t="s">
        <v>21</v>
      </c>
      <c r="E608" s="5" t="s">
        <v>36</v>
      </c>
      <c r="F608" s="5" t="s">
        <v>37</v>
      </c>
      <c r="G608" t="s">
        <v>1927</v>
      </c>
      <c r="H608" s="5" t="s">
        <v>3677</v>
      </c>
      <c r="I608" s="5" t="s">
        <v>71</v>
      </c>
      <c r="J608" s="5" t="s">
        <v>72</v>
      </c>
      <c r="K608" s="5" t="s">
        <v>45</v>
      </c>
      <c r="L608">
        <v>3</v>
      </c>
      <c r="M608">
        <v>135.13</v>
      </c>
      <c r="N608" s="8">
        <v>6.76</v>
      </c>
      <c r="O608" s="8">
        <v>398.63</v>
      </c>
      <c r="P608" s="8">
        <v>19.93</v>
      </c>
      <c r="Q608" s="10">
        <v>20</v>
      </c>
      <c r="R608" s="10">
        <v>5</v>
      </c>
      <c r="S608" s="8">
        <v>443.56</v>
      </c>
      <c r="T608">
        <v>37</v>
      </c>
      <c r="U608" t="str">
        <f t="shared" si="9"/>
        <v>Sunday</v>
      </c>
    </row>
    <row r="609" spans="1:21" x14ac:dyDescent="0.3">
      <c r="A609" s="5" t="s">
        <v>1928</v>
      </c>
      <c r="B609" s="3" t="s">
        <v>3708</v>
      </c>
      <c r="C609" s="5" t="s">
        <v>75</v>
      </c>
      <c r="D609" s="5" t="s">
        <v>21</v>
      </c>
      <c r="E609" s="5" t="s">
        <v>22</v>
      </c>
      <c r="F609" s="5" t="s">
        <v>42</v>
      </c>
      <c r="G609" t="s">
        <v>1929</v>
      </c>
      <c r="H609" s="5" t="s">
        <v>3676</v>
      </c>
      <c r="I609" s="5" t="s">
        <v>78</v>
      </c>
      <c r="J609" s="5" t="s">
        <v>79</v>
      </c>
      <c r="K609" s="5" t="s">
        <v>28</v>
      </c>
      <c r="L609">
        <v>6</v>
      </c>
      <c r="M609">
        <v>49.66</v>
      </c>
      <c r="N609" s="8">
        <v>7.45</v>
      </c>
      <c r="O609" s="8">
        <v>290.51</v>
      </c>
      <c r="P609" s="8">
        <v>14.53</v>
      </c>
      <c r="Q609" s="10">
        <v>10</v>
      </c>
      <c r="R609" s="10">
        <v>5</v>
      </c>
      <c r="S609" s="8">
        <v>320.04000000000002</v>
      </c>
      <c r="T609">
        <v>36</v>
      </c>
      <c r="U609" t="str">
        <f t="shared" si="9"/>
        <v>Sunday</v>
      </c>
    </row>
    <row r="610" spans="1:21" x14ac:dyDescent="0.3">
      <c r="A610" s="5" t="s">
        <v>1930</v>
      </c>
      <c r="B610" s="3" t="s">
        <v>3701</v>
      </c>
      <c r="C610" s="5" t="s">
        <v>81</v>
      </c>
      <c r="D610" s="5" t="s">
        <v>21</v>
      </c>
      <c r="E610" s="5" t="s">
        <v>76</v>
      </c>
      <c r="F610" s="5" t="s">
        <v>37</v>
      </c>
      <c r="G610" t="s">
        <v>1931</v>
      </c>
      <c r="H610" s="5" t="s">
        <v>3673</v>
      </c>
      <c r="I610" s="5" t="s">
        <v>85</v>
      </c>
      <c r="J610" s="5" t="s">
        <v>86</v>
      </c>
      <c r="K610" s="5" t="s">
        <v>45</v>
      </c>
      <c r="L610">
        <v>3</v>
      </c>
      <c r="M610">
        <v>272.01</v>
      </c>
      <c r="N610" s="8">
        <v>13.6</v>
      </c>
      <c r="O610" s="8">
        <v>802.43</v>
      </c>
      <c r="P610" s="8">
        <v>40.119999999999997</v>
      </c>
      <c r="Q610" s="10">
        <v>0</v>
      </c>
      <c r="R610" s="10">
        <v>15</v>
      </c>
      <c r="S610" s="8">
        <v>857.55</v>
      </c>
      <c r="T610">
        <v>15</v>
      </c>
      <c r="U610" t="str">
        <f t="shared" si="9"/>
        <v>Tuesday</v>
      </c>
    </row>
    <row r="611" spans="1:21" x14ac:dyDescent="0.3">
      <c r="A611" s="5" t="s">
        <v>1932</v>
      </c>
      <c r="B611" s="3" t="s">
        <v>3695</v>
      </c>
      <c r="C611" s="5" t="s">
        <v>88</v>
      </c>
      <c r="D611" s="5" t="s">
        <v>21</v>
      </c>
      <c r="E611" s="5" t="s">
        <v>36</v>
      </c>
      <c r="F611" s="5" t="s">
        <v>23</v>
      </c>
      <c r="H611" s="5" t="s">
        <v>3673</v>
      </c>
      <c r="I611" s="5" t="s">
        <v>90</v>
      </c>
      <c r="J611" s="5" t="s">
        <v>91</v>
      </c>
      <c r="K611" s="5" t="s">
        <v>28</v>
      </c>
      <c r="L611">
        <v>1</v>
      </c>
      <c r="M611">
        <v>172.56</v>
      </c>
      <c r="N611" s="8">
        <v>25.88</v>
      </c>
      <c r="O611" s="8">
        <v>146.68</v>
      </c>
      <c r="P611" s="8">
        <v>7.33</v>
      </c>
      <c r="Q611" s="10">
        <v>0</v>
      </c>
      <c r="R611" s="10">
        <v>20</v>
      </c>
      <c r="S611" s="8">
        <v>174.01</v>
      </c>
      <c r="T611">
        <v>24.67</v>
      </c>
      <c r="U611" t="str">
        <f t="shared" si="9"/>
        <v>Thursday</v>
      </c>
    </row>
    <row r="612" spans="1:21" x14ac:dyDescent="0.3">
      <c r="A612" s="5" t="s">
        <v>1933</v>
      </c>
      <c r="B612" s="3" t="s">
        <v>3737</v>
      </c>
      <c r="C612" s="5" t="s">
        <v>93</v>
      </c>
      <c r="D612" s="5" t="s">
        <v>21</v>
      </c>
      <c r="E612" s="5" t="s">
        <v>36</v>
      </c>
      <c r="F612" s="5" t="s">
        <v>23</v>
      </c>
      <c r="G612" t="s">
        <v>1934</v>
      </c>
      <c r="H612" s="5" t="s">
        <v>100</v>
      </c>
      <c r="I612" s="5" t="s">
        <v>95</v>
      </c>
      <c r="J612" s="5" t="s">
        <v>96</v>
      </c>
      <c r="K612" s="5" t="s">
        <v>73</v>
      </c>
      <c r="L612">
        <v>5</v>
      </c>
      <c r="M612">
        <v>80.150000000000006</v>
      </c>
      <c r="N612" s="8">
        <v>0</v>
      </c>
      <c r="O612" s="8">
        <v>400.75</v>
      </c>
      <c r="P612" s="8">
        <v>20.04</v>
      </c>
      <c r="Q612" s="10">
        <v>20</v>
      </c>
      <c r="R612" s="10">
        <v>0</v>
      </c>
      <c r="S612" s="8">
        <v>440.79</v>
      </c>
      <c r="T612">
        <v>33</v>
      </c>
      <c r="U612" t="str">
        <f t="shared" si="9"/>
        <v>Saturday</v>
      </c>
    </row>
    <row r="613" spans="1:21" x14ac:dyDescent="0.3">
      <c r="A613" s="5" t="s">
        <v>1935</v>
      </c>
      <c r="B613" s="3" t="s">
        <v>3679</v>
      </c>
      <c r="C613" s="5" t="s">
        <v>98</v>
      </c>
      <c r="D613" s="5" t="s">
        <v>21</v>
      </c>
      <c r="E613" s="5" t="s">
        <v>36</v>
      </c>
      <c r="F613" s="5" t="s">
        <v>42</v>
      </c>
      <c r="G613" t="s">
        <v>1936</v>
      </c>
      <c r="H613" s="5" t="s">
        <v>3675</v>
      </c>
      <c r="I613" s="5" t="s">
        <v>101</v>
      </c>
      <c r="J613" s="5" t="s">
        <v>102</v>
      </c>
      <c r="K613" s="5" t="s">
        <v>34</v>
      </c>
      <c r="L613">
        <v>4</v>
      </c>
      <c r="M613">
        <v>92.73</v>
      </c>
      <c r="N613" s="8">
        <v>9.27</v>
      </c>
      <c r="O613" s="8">
        <v>361.65</v>
      </c>
      <c r="P613" s="8">
        <v>18.079999999999998</v>
      </c>
      <c r="Q613" s="10">
        <v>10</v>
      </c>
      <c r="R613" s="10">
        <v>10</v>
      </c>
      <c r="S613" s="8">
        <v>399.73</v>
      </c>
      <c r="T613">
        <v>25</v>
      </c>
      <c r="U613" t="str">
        <f t="shared" si="9"/>
        <v>Friday</v>
      </c>
    </row>
    <row r="614" spans="1:21" x14ac:dyDescent="0.3">
      <c r="A614" s="5" t="s">
        <v>1937</v>
      </c>
      <c r="B614" s="3" t="s">
        <v>3733</v>
      </c>
      <c r="C614" s="5" t="s">
        <v>105</v>
      </c>
      <c r="D614" s="5" t="s">
        <v>21</v>
      </c>
      <c r="E614" s="5" t="s">
        <v>112</v>
      </c>
      <c r="F614" s="5" t="s">
        <v>42</v>
      </c>
      <c r="G614" t="s">
        <v>1938</v>
      </c>
      <c r="H614" s="5" t="s">
        <v>3677</v>
      </c>
      <c r="I614" s="5" t="s">
        <v>108</v>
      </c>
      <c r="J614" s="5" t="s">
        <v>109</v>
      </c>
      <c r="K614" s="5" t="s">
        <v>73</v>
      </c>
      <c r="L614">
        <v>3</v>
      </c>
      <c r="M614">
        <v>115.48</v>
      </c>
      <c r="N614" s="8">
        <v>11.55</v>
      </c>
      <c r="O614" s="8">
        <v>334.89</v>
      </c>
      <c r="P614" s="8">
        <v>16.739999999999998</v>
      </c>
      <c r="Q614" s="10">
        <v>0</v>
      </c>
      <c r="R614" s="10">
        <v>20</v>
      </c>
      <c r="S614" s="8">
        <v>371.63</v>
      </c>
      <c r="T614">
        <v>32</v>
      </c>
      <c r="U614" t="str">
        <f t="shared" si="9"/>
        <v>Sunday</v>
      </c>
    </row>
    <row r="615" spans="1:21" x14ac:dyDescent="0.3">
      <c r="A615" s="5" t="s">
        <v>1939</v>
      </c>
      <c r="B615" s="3" t="s">
        <v>3699</v>
      </c>
      <c r="C615" s="5" t="s">
        <v>111</v>
      </c>
      <c r="D615" s="5" t="s">
        <v>21</v>
      </c>
      <c r="E615" s="5" t="s">
        <v>76</v>
      </c>
      <c r="F615" s="5" t="s">
        <v>37</v>
      </c>
      <c r="G615" t="s">
        <v>1940</v>
      </c>
      <c r="H615" s="5" t="s">
        <v>3676</v>
      </c>
      <c r="I615" s="5" t="s">
        <v>114</v>
      </c>
      <c r="J615" s="5" t="s">
        <v>115</v>
      </c>
      <c r="K615" s="5" t="s">
        <v>196</v>
      </c>
      <c r="L615">
        <v>1</v>
      </c>
      <c r="M615">
        <v>137.9</v>
      </c>
      <c r="N615" s="8">
        <v>20.68</v>
      </c>
      <c r="O615" s="8">
        <v>117.22</v>
      </c>
      <c r="P615" s="8">
        <v>5.86</v>
      </c>
      <c r="Q615" s="10">
        <v>0</v>
      </c>
      <c r="R615" s="10">
        <v>10</v>
      </c>
      <c r="S615" s="8">
        <v>133.08000000000001</v>
      </c>
      <c r="T615">
        <v>33</v>
      </c>
      <c r="U615" t="str">
        <f t="shared" si="9"/>
        <v>Sunday</v>
      </c>
    </row>
    <row r="616" spans="1:21" x14ac:dyDescent="0.3">
      <c r="A616" s="5" t="s">
        <v>1941</v>
      </c>
      <c r="B616" s="3" t="s">
        <v>3706</v>
      </c>
      <c r="C616" s="5" t="s">
        <v>117</v>
      </c>
      <c r="D616" s="5" t="s">
        <v>21</v>
      </c>
      <c r="E616" s="5" t="s">
        <v>69</v>
      </c>
      <c r="F616" s="5" t="s">
        <v>37</v>
      </c>
      <c r="G616" t="s">
        <v>1942</v>
      </c>
      <c r="H616" s="5" t="s">
        <v>3673</v>
      </c>
      <c r="I616" s="5" t="s">
        <v>119</v>
      </c>
      <c r="J616" s="5" t="s">
        <v>120</v>
      </c>
      <c r="K616" s="5" t="s">
        <v>45</v>
      </c>
      <c r="L616">
        <v>2</v>
      </c>
      <c r="M616">
        <v>108.79</v>
      </c>
      <c r="N616" s="8">
        <v>0</v>
      </c>
      <c r="O616" s="8">
        <v>217.58</v>
      </c>
      <c r="P616" s="8">
        <v>10.88</v>
      </c>
      <c r="Q616" s="10">
        <v>10</v>
      </c>
      <c r="R616" s="10">
        <v>5</v>
      </c>
      <c r="S616" s="8">
        <v>243.46</v>
      </c>
      <c r="T616">
        <v>8</v>
      </c>
      <c r="U616" t="str">
        <f t="shared" si="9"/>
        <v>Thursday</v>
      </c>
    </row>
    <row r="617" spans="1:21" x14ac:dyDescent="0.3">
      <c r="A617" s="5" t="s">
        <v>1943</v>
      </c>
      <c r="B617" s="3" t="s">
        <v>3719</v>
      </c>
      <c r="C617" s="5" t="s">
        <v>122</v>
      </c>
      <c r="D617" s="5" t="s">
        <v>82</v>
      </c>
      <c r="E617" s="5" t="s">
        <v>83</v>
      </c>
      <c r="F617" s="5" t="s">
        <v>37</v>
      </c>
      <c r="G617" t="s">
        <v>1944</v>
      </c>
      <c r="H617" s="5" t="s">
        <v>3674</v>
      </c>
      <c r="I617" s="5" t="s">
        <v>124</v>
      </c>
      <c r="J617" s="5" t="s">
        <v>125</v>
      </c>
      <c r="K617" s="5" t="s">
        <v>73</v>
      </c>
      <c r="L617">
        <v>1</v>
      </c>
      <c r="M617">
        <v>171.23</v>
      </c>
      <c r="N617" s="8">
        <v>8.56</v>
      </c>
      <c r="O617" s="8">
        <v>162.66999999999999</v>
      </c>
      <c r="P617" s="8">
        <v>8.1300000000000008</v>
      </c>
      <c r="Q617" s="10">
        <v>30</v>
      </c>
      <c r="R617" s="10">
        <v>10</v>
      </c>
      <c r="S617" s="8">
        <v>210.8</v>
      </c>
      <c r="T617">
        <v>15</v>
      </c>
      <c r="U617" t="str">
        <f t="shared" si="9"/>
        <v>Sunday</v>
      </c>
    </row>
    <row r="618" spans="1:21" x14ac:dyDescent="0.3">
      <c r="A618" s="5" t="s">
        <v>1945</v>
      </c>
      <c r="B618" s="3" t="s">
        <v>3719</v>
      </c>
      <c r="C618" s="5" t="s">
        <v>127</v>
      </c>
      <c r="D618" s="5" t="s">
        <v>21</v>
      </c>
      <c r="E618" s="5" t="s">
        <v>22</v>
      </c>
      <c r="F618" s="5" t="s">
        <v>37</v>
      </c>
      <c r="G618" t="s">
        <v>1946</v>
      </c>
      <c r="H618" s="5" t="s">
        <v>3673</v>
      </c>
      <c r="I618" s="5" t="s">
        <v>129</v>
      </c>
      <c r="J618" s="5" t="s">
        <v>130</v>
      </c>
      <c r="K618" s="5" t="s">
        <v>28</v>
      </c>
      <c r="L618">
        <v>6</v>
      </c>
      <c r="M618">
        <v>96.98</v>
      </c>
      <c r="N618" s="8">
        <v>4.8499999999999996</v>
      </c>
      <c r="O618" s="8">
        <v>577.03</v>
      </c>
      <c r="P618" s="8">
        <v>28.85</v>
      </c>
      <c r="Q618" s="10">
        <v>0</v>
      </c>
      <c r="R618" s="10">
        <v>15</v>
      </c>
      <c r="S618" s="8">
        <v>620.88</v>
      </c>
      <c r="T618">
        <v>34</v>
      </c>
      <c r="U618" t="str">
        <f t="shared" si="9"/>
        <v>Sunday</v>
      </c>
    </row>
    <row r="619" spans="1:21" x14ac:dyDescent="0.3">
      <c r="A619" s="5" t="s">
        <v>1947</v>
      </c>
      <c r="B619" s="3" t="s">
        <v>3729</v>
      </c>
      <c r="C619" s="5" t="s">
        <v>132</v>
      </c>
      <c r="D619" s="5" t="s">
        <v>21</v>
      </c>
      <c r="E619" s="5" t="s">
        <v>36</v>
      </c>
      <c r="F619" s="5" t="s">
        <v>42</v>
      </c>
      <c r="G619" t="s">
        <v>1948</v>
      </c>
      <c r="H619" s="5" t="s">
        <v>3673</v>
      </c>
      <c r="I619" s="5" t="s">
        <v>133</v>
      </c>
      <c r="J619" s="5" t="s">
        <v>134</v>
      </c>
      <c r="K619" s="5" t="s">
        <v>103</v>
      </c>
      <c r="L619">
        <v>5</v>
      </c>
      <c r="M619">
        <v>53.62</v>
      </c>
      <c r="N619" s="8">
        <v>0</v>
      </c>
      <c r="O619" s="8">
        <v>268.10000000000002</v>
      </c>
      <c r="P619" s="8">
        <v>13.4</v>
      </c>
      <c r="Q619" s="10">
        <v>30</v>
      </c>
      <c r="R619" s="10">
        <v>15</v>
      </c>
      <c r="S619" s="8">
        <v>326.49999999999989</v>
      </c>
      <c r="T619">
        <v>41</v>
      </c>
      <c r="U619" t="str">
        <f t="shared" si="9"/>
        <v>Monday</v>
      </c>
    </row>
    <row r="620" spans="1:21" x14ac:dyDescent="0.3">
      <c r="A620" s="5" t="s">
        <v>1949</v>
      </c>
      <c r="B620" s="3" t="s">
        <v>3682</v>
      </c>
      <c r="C620" s="5" t="s">
        <v>136</v>
      </c>
      <c r="D620" s="5" t="s">
        <v>21</v>
      </c>
      <c r="E620" s="5" t="s">
        <v>22</v>
      </c>
      <c r="F620" s="5" t="s">
        <v>42</v>
      </c>
      <c r="G620" t="s">
        <v>1950</v>
      </c>
      <c r="H620" s="5" t="s">
        <v>25</v>
      </c>
      <c r="I620" s="5" t="s">
        <v>138</v>
      </c>
      <c r="J620" s="5" t="s">
        <v>139</v>
      </c>
      <c r="K620" s="5" t="s">
        <v>145</v>
      </c>
      <c r="L620">
        <v>2</v>
      </c>
      <c r="M620">
        <v>69.83</v>
      </c>
      <c r="N620" s="8">
        <v>0</v>
      </c>
      <c r="O620" s="8">
        <v>139.66</v>
      </c>
      <c r="P620" s="8">
        <v>6.98</v>
      </c>
      <c r="Q620" s="10">
        <v>30</v>
      </c>
      <c r="R620" s="10">
        <v>5</v>
      </c>
      <c r="S620" s="8">
        <v>181.64</v>
      </c>
      <c r="T620">
        <v>6</v>
      </c>
      <c r="U620" t="str">
        <f t="shared" si="9"/>
        <v>Tuesday</v>
      </c>
    </row>
    <row r="621" spans="1:21" x14ac:dyDescent="0.3">
      <c r="A621" s="5" t="s">
        <v>1951</v>
      </c>
      <c r="B621" s="3" t="s">
        <v>3678</v>
      </c>
      <c r="C621" s="5" t="s">
        <v>141</v>
      </c>
      <c r="D621" s="5" t="s">
        <v>21</v>
      </c>
      <c r="E621" s="5" t="s">
        <v>36</v>
      </c>
      <c r="F621" s="5" t="s">
        <v>37</v>
      </c>
      <c r="G621" t="s">
        <v>1952</v>
      </c>
      <c r="H621" s="5" t="s">
        <v>3677</v>
      </c>
      <c r="I621" s="5" t="s">
        <v>143</v>
      </c>
      <c r="J621" s="5" t="s">
        <v>144</v>
      </c>
      <c r="K621" s="5" t="s">
        <v>34</v>
      </c>
      <c r="L621">
        <v>2</v>
      </c>
      <c r="M621">
        <v>41.87</v>
      </c>
      <c r="N621" s="8">
        <v>2.09</v>
      </c>
      <c r="O621" s="8">
        <v>81.649999999999991</v>
      </c>
      <c r="P621" s="8">
        <v>4.08</v>
      </c>
      <c r="Q621" s="10">
        <v>0</v>
      </c>
      <c r="R621" s="10">
        <v>0</v>
      </c>
      <c r="S621" s="8">
        <v>85.72999999999999</v>
      </c>
      <c r="T621">
        <v>24.67</v>
      </c>
      <c r="U621" t="str">
        <f t="shared" si="9"/>
        <v>Saturday</v>
      </c>
    </row>
    <row r="622" spans="1:21" x14ac:dyDescent="0.3">
      <c r="A622" s="5" t="s">
        <v>1953</v>
      </c>
      <c r="B622" s="3" t="s">
        <v>3689</v>
      </c>
      <c r="C622" s="5" t="s">
        <v>147</v>
      </c>
      <c r="D622" s="5" t="s">
        <v>21</v>
      </c>
      <c r="E622" s="5" t="s">
        <v>112</v>
      </c>
      <c r="F622" s="5" t="s">
        <v>42</v>
      </c>
      <c r="G622" t="s">
        <v>1954</v>
      </c>
      <c r="H622" s="5" t="s">
        <v>25</v>
      </c>
      <c r="I622" s="5" t="s">
        <v>149</v>
      </c>
      <c r="J622" s="5" t="s">
        <v>150</v>
      </c>
      <c r="K622" s="5" t="s">
        <v>103</v>
      </c>
      <c r="L622">
        <v>3</v>
      </c>
      <c r="M622">
        <v>127.76</v>
      </c>
      <c r="N622" s="8">
        <v>19.16</v>
      </c>
      <c r="O622" s="8">
        <v>364.12</v>
      </c>
      <c r="P622" s="8">
        <v>18.21</v>
      </c>
      <c r="Q622" s="10">
        <v>30</v>
      </c>
      <c r="R622" s="10">
        <v>5</v>
      </c>
      <c r="S622" s="8">
        <v>417.33</v>
      </c>
      <c r="T622">
        <v>11</v>
      </c>
      <c r="U622" t="str">
        <f t="shared" si="9"/>
        <v>Wednesday</v>
      </c>
    </row>
    <row r="623" spans="1:21" x14ac:dyDescent="0.3">
      <c r="A623" s="5" t="s">
        <v>1955</v>
      </c>
      <c r="B623" s="3" t="s">
        <v>3698</v>
      </c>
      <c r="C623" s="5" t="s">
        <v>152</v>
      </c>
      <c r="D623" s="5" t="s">
        <v>82</v>
      </c>
      <c r="E623" s="5" t="s">
        <v>83</v>
      </c>
      <c r="F623" s="5" t="s">
        <v>23</v>
      </c>
      <c r="G623" t="s">
        <v>1956</v>
      </c>
      <c r="H623" s="5" t="s">
        <v>100</v>
      </c>
      <c r="I623" s="5" t="s">
        <v>154</v>
      </c>
      <c r="J623" s="5" t="s">
        <v>155</v>
      </c>
      <c r="K623" s="5" t="s">
        <v>73</v>
      </c>
      <c r="L623">
        <v>6</v>
      </c>
      <c r="M623">
        <v>11.67</v>
      </c>
      <c r="N623" s="8">
        <v>0</v>
      </c>
      <c r="O623" s="8">
        <v>70.02</v>
      </c>
      <c r="P623" s="8">
        <v>3.5</v>
      </c>
      <c r="Q623" s="10">
        <v>10</v>
      </c>
      <c r="R623" s="10">
        <v>0</v>
      </c>
      <c r="S623" s="8">
        <v>83.52</v>
      </c>
      <c r="T623">
        <v>38</v>
      </c>
      <c r="U623" t="str">
        <f t="shared" si="9"/>
        <v>Sunday</v>
      </c>
    </row>
    <row r="624" spans="1:21" x14ac:dyDescent="0.3">
      <c r="A624" s="5" t="s">
        <v>1957</v>
      </c>
      <c r="B624" s="3" t="s">
        <v>3695</v>
      </c>
      <c r="C624" s="5" t="s">
        <v>157</v>
      </c>
      <c r="D624" s="5" t="s">
        <v>82</v>
      </c>
      <c r="E624" s="5" t="s">
        <v>83</v>
      </c>
      <c r="F624" s="5" t="s">
        <v>42</v>
      </c>
      <c r="G624" t="s">
        <v>1958</v>
      </c>
      <c r="H624" s="5" t="s">
        <v>3673</v>
      </c>
      <c r="I624" s="5" t="s">
        <v>159</v>
      </c>
      <c r="J624" s="5" t="s">
        <v>160</v>
      </c>
      <c r="K624" s="5" t="s">
        <v>40</v>
      </c>
      <c r="L624">
        <v>3</v>
      </c>
      <c r="M624">
        <v>104.61</v>
      </c>
      <c r="N624" s="8">
        <v>10.46</v>
      </c>
      <c r="O624" s="8">
        <v>303.37</v>
      </c>
      <c r="P624" s="8">
        <v>15.17</v>
      </c>
      <c r="Q624" s="10">
        <v>0</v>
      </c>
      <c r="R624" s="10">
        <v>5</v>
      </c>
      <c r="S624" s="8">
        <v>323.54000000000002</v>
      </c>
      <c r="T624">
        <v>27</v>
      </c>
      <c r="U624" t="str">
        <f t="shared" si="9"/>
        <v>Thursday</v>
      </c>
    </row>
    <row r="625" spans="1:21" x14ac:dyDescent="0.3">
      <c r="A625" s="5" t="s">
        <v>1959</v>
      </c>
      <c r="B625" s="3" t="s">
        <v>3712</v>
      </c>
      <c r="C625" s="5" t="s">
        <v>162</v>
      </c>
      <c r="D625" s="5" t="s">
        <v>21</v>
      </c>
      <c r="E625" s="5" t="s">
        <v>69</v>
      </c>
      <c r="F625" s="5" t="s">
        <v>42</v>
      </c>
      <c r="G625" t="s">
        <v>1960</v>
      </c>
      <c r="H625" s="5" t="s">
        <v>3677</v>
      </c>
      <c r="I625" s="5" t="s">
        <v>164</v>
      </c>
      <c r="J625" s="5" t="s">
        <v>165</v>
      </c>
      <c r="K625" s="5" t="s">
        <v>34</v>
      </c>
      <c r="L625">
        <v>5</v>
      </c>
      <c r="M625">
        <v>75.52</v>
      </c>
      <c r="N625" s="8">
        <v>0</v>
      </c>
      <c r="O625" s="8">
        <v>377.6</v>
      </c>
      <c r="P625" s="8">
        <v>18.88</v>
      </c>
      <c r="Q625" s="10">
        <v>10</v>
      </c>
      <c r="R625" s="10">
        <v>0</v>
      </c>
      <c r="S625" s="8">
        <v>406.48</v>
      </c>
      <c r="T625">
        <v>41</v>
      </c>
      <c r="U625" t="str">
        <f t="shared" si="9"/>
        <v>Thursday</v>
      </c>
    </row>
    <row r="626" spans="1:21" x14ac:dyDescent="0.3">
      <c r="A626" s="5" t="s">
        <v>1961</v>
      </c>
      <c r="B626" s="3" t="s">
        <v>3685</v>
      </c>
      <c r="C626" s="5" t="s">
        <v>167</v>
      </c>
      <c r="D626" s="5" t="s">
        <v>106</v>
      </c>
      <c r="E626" s="5" t="s">
        <v>83</v>
      </c>
      <c r="F626" s="5" t="s">
        <v>23</v>
      </c>
      <c r="G626" t="s">
        <v>1962</v>
      </c>
      <c r="H626" s="5" t="s">
        <v>3677</v>
      </c>
      <c r="I626" s="5" t="s">
        <v>169</v>
      </c>
      <c r="J626" s="5" t="s">
        <v>170</v>
      </c>
      <c r="K626" s="5" t="s">
        <v>145</v>
      </c>
      <c r="L626">
        <v>4</v>
      </c>
      <c r="M626">
        <v>77.069999999999993</v>
      </c>
      <c r="N626" s="8">
        <v>0</v>
      </c>
      <c r="O626" s="8">
        <v>308.27999999999997</v>
      </c>
      <c r="P626" s="8">
        <v>15.41</v>
      </c>
      <c r="Q626" s="10">
        <v>30</v>
      </c>
      <c r="R626" s="10">
        <v>20</v>
      </c>
      <c r="S626" s="8">
        <v>373.69</v>
      </c>
      <c r="T626">
        <v>13</v>
      </c>
      <c r="U626" t="str">
        <f t="shared" si="9"/>
        <v>Thursday</v>
      </c>
    </row>
    <row r="627" spans="1:21" x14ac:dyDescent="0.3">
      <c r="A627" s="5" t="s">
        <v>1963</v>
      </c>
      <c r="B627" s="3" t="s">
        <v>3683</v>
      </c>
      <c r="C627" s="5" t="s">
        <v>172</v>
      </c>
      <c r="D627" s="5" t="s">
        <v>21</v>
      </c>
      <c r="E627" s="5" t="s">
        <v>36</v>
      </c>
      <c r="F627" s="5" t="s">
        <v>37</v>
      </c>
      <c r="G627" t="s">
        <v>1964</v>
      </c>
      <c r="H627" s="5" t="s">
        <v>3677</v>
      </c>
      <c r="I627" s="5" t="s">
        <v>174</v>
      </c>
      <c r="J627" s="5" t="s">
        <v>175</v>
      </c>
      <c r="K627" s="5" t="s">
        <v>40</v>
      </c>
      <c r="L627">
        <v>7</v>
      </c>
      <c r="M627">
        <v>130.47</v>
      </c>
      <c r="N627" s="8">
        <v>13.05</v>
      </c>
      <c r="O627" s="8">
        <v>900.24</v>
      </c>
      <c r="P627" s="8">
        <v>45.01</v>
      </c>
      <c r="Q627" s="10">
        <v>10</v>
      </c>
      <c r="R627" s="10">
        <v>15</v>
      </c>
      <c r="S627" s="8">
        <v>970.25</v>
      </c>
      <c r="T627">
        <v>16</v>
      </c>
      <c r="U627" t="str">
        <f t="shared" si="9"/>
        <v>Thursday</v>
      </c>
    </row>
    <row r="628" spans="1:21" x14ac:dyDescent="0.3">
      <c r="A628" s="5" t="s">
        <v>1965</v>
      </c>
      <c r="B628" s="3" t="s">
        <v>3727</v>
      </c>
      <c r="C628" s="5" t="s">
        <v>177</v>
      </c>
      <c r="D628" s="5" t="s">
        <v>21</v>
      </c>
      <c r="E628" s="5" t="s">
        <v>112</v>
      </c>
      <c r="F628" s="5" t="s">
        <v>37</v>
      </c>
      <c r="G628" t="s">
        <v>1966</v>
      </c>
      <c r="H628" s="5" t="s">
        <v>100</v>
      </c>
      <c r="I628" s="5" t="s">
        <v>179</v>
      </c>
      <c r="J628" s="5" t="s">
        <v>180</v>
      </c>
      <c r="K628" s="5" t="s">
        <v>40</v>
      </c>
      <c r="L628">
        <v>3</v>
      </c>
      <c r="M628">
        <v>135.97</v>
      </c>
      <c r="N628" s="8">
        <v>20.399999999999999</v>
      </c>
      <c r="O628" s="8">
        <v>387.51</v>
      </c>
      <c r="P628" s="8">
        <v>19.38</v>
      </c>
      <c r="Q628" s="10">
        <v>0</v>
      </c>
      <c r="R628" s="10">
        <v>5</v>
      </c>
      <c r="S628" s="8">
        <v>411.89</v>
      </c>
      <c r="T628">
        <v>25</v>
      </c>
      <c r="U628" t="str">
        <f t="shared" si="9"/>
        <v>Friday</v>
      </c>
    </row>
    <row r="629" spans="1:21" x14ac:dyDescent="0.3">
      <c r="A629" s="5" t="s">
        <v>1967</v>
      </c>
      <c r="B629" s="3" t="s">
        <v>3724</v>
      </c>
      <c r="C629" s="5" t="s">
        <v>182</v>
      </c>
      <c r="D629" s="5" t="s">
        <v>21</v>
      </c>
      <c r="E629" s="5" t="s">
        <v>22</v>
      </c>
      <c r="F629" s="5" t="s">
        <v>23</v>
      </c>
      <c r="G629" t="s">
        <v>1968</v>
      </c>
      <c r="H629" s="5" t="s">
        <v>3676</v>
      </c>
      <c r="I629" s="5" t="s">
        <v>184</v>
      </c>
      <c r="J629" s="5" t="s">
        <v>185</v>
      </c>
      <c r="K629" s="5" t="s">
        <v>34</v>
      </c>
      <c r="L629">
        <v>2</v>
      </c>
      <c r="M629">
        <v>146.09</v>
      </c>
      <c r="N629" s="8">
        <v>21.91</v>
      </c>
      <c r="O629" s="8">
        <v>270.27</v>
      </c>
      <c r="P629" s="8">
        <v>13.51</v>
      </c>
      <c r="Q629" s="10">
        <v>20</v>
      </c>
      <c r="R629" s="10">
        <v>20</v>
      </c>
      <c r="S629" s="8">
        <v>323.77999999999997</v>
      </c>
      <c r="T629">
        <v>21</v>
      </c>
      <c r="U629" t="str">
        <f t="shared" si="9"/>
        <v>Sunday</v>
      </c>
    </row>
    <row r="630" spans="1:21" x14ac:dyDescent="0.3">
      <c r="A630" s="5" t="s">
        <v>1969</v>
      </c>
      <c r="B630" s="3" t="s">
        <v>3733</v>
      </c>
      <c r="C630" s="5" t="s">
        <v>187</v>
      </c>
      <c r="D630" s="5" t="s">
        <v>106</v>
      </c>
      <c r="E630" s="5" t="s">
        <v>83</v>
      </c>
      <c r="F630" s="5" t="s">
        <v>23</v>
      </c>
      <c r="G630" t="s">
        <v>1970</v>
      </c>
      <c r="H630" s="5" t="s">
        <v>3675</v>
      </c>
      <c r="I630" s="5" t="s">
        <v>189</v>
      </c>
      <c r="J630" s="5" t="s">
        <v>190</v>
      </c>
      <c r="K630" s="5" t="s">
        <v>45</v>
      </c>
      <c r="L630">
        <v>3</v>
      </c>
      <c r="M630">
        <v>215.43</v>
      </c>
      <c r="N630" s="8">
        <v>10.77</v>
      </c>
      <c r="O630" s="8">
        <v>635.52</v>
      </c>
      <c r="P630" s="8">
        <v>31.78</v>
      </c>
      <c r="Q630" s="10">
        <v>0</v>
      </c>
      <c r="R630" s="10">
        <v>0</v>
      </c>
      <c r="S630" s="8">
        <v>667.3</v>
      </c>
      <c r="T630">
        <v>5</v>
      </c>
      <c r="U630" t="str">
        <f t="shared" si="9"/>
        <v>Sunday</v>
      </c>
    </row>
    <row r="631" spans="1:21" x14ac:dyDescent="0.3">
      <c r="A631" s="5" t="s">
        <v>1971</v>
      </c>
      <c r="B631" s="3" t="s">
        <v>3689</v>
      </c>
      <c r="C631" s="5" t="s">
        <v>192</v>
      </c>
      <c r="D631" s="5" t="s">
        <v>106</v>
      </c>
      <c r="E631" s="5" t="s">
        <v>83</v>
      </c>
      <c r="F631" s="5" t="s">
        <v>37</v>
      </c>
      <c r="G631" t="s">
        <v>1972</v>
      </c>
      <c r="H631" s="5" t="s">
        <v>3676</v>
      </c>
      <c r="I631" s="5" t="s">
        <v>194</v>
      </c>
      <c r="J631" s="5" t="s">
        <v>195</v>
      </c>
      <c r="K631" s="5" t="s">
        <v>40</v>
      </c>
      <c r="L631">
        <v>1</v>
      </c>
      <c r="M631">
        <v>29.71</v>
      </c>
      <c r="N631" s="8">
        <v>1.49</v>
      </c>
      <c r="O631" s="8">
        <v>28.22</v>
      </c>
      <c r="P631" s="8">
        <v>1.41</v>
      </c>
      <c r="Q631" s="10">
        <v>30</v>
      </c>
      <c r="R631" s="10">
        <v>0</v>
      </c>
      <c r="S631" s="8">
        <v>59.63</v>
      </c>
      <c r="T631">
        <v>26</v>
      </c>
      <c r="U631" t="str">
        <f t="shared" si="9"/>
        <v>Wednesday</v>
      </c>
    </row>
    <row r="632" spans="1:21" x14ac:dyDescent="0.3">
      <c r="A632" s="5" t="s">
        <v>1973</v>
      </c>
      <c r="B632" s="3" t="s">
        <v>3726</v>
      </c>
      <c r="C632" s="5" t="s">
        <v>198</v>
      </c>
      <c r="D632" s="5" t="s">
        <v>82</v>
      </c>
      <c r="E632" s="5" t="s">
        <v>83</v>
      </c>
      <c r="F632" s="5" t="s">
        <v>42</v>
      </c>
      <c r="G632" t="s">
        <v>1974</v>
      </c>
      <c r="H632" s="5" t="s">
        <v>25</v>
      </c>
      <c r="I632" s="5" t="s">
        <v>200</v>
      </c>
      <c r="J632" s="5" t="s">
        <v>201</v>
      </c>
      <c r="K632" s="5" t="s">
        <v>40</v>
      </c>
      <c r="L632">
        <v>1</v>
      </c>
      <c r="M632">
        <v>133.28</v>
      </c>
      <c r="N632" s="8">
        <v>19.989999999999998</v>
      </c>
      <c r="O632" s="8">
        <v>113.29</v>
      </c>
      <c r="P632" s="8">
        <v>5.66</v>
      </c>
      <c r="Q632" s="10">
        <v>30</v>
      </c>
      <c r="R632" s="10">
        <v>10</v>
      </c>
      <c r="S632" s="8">
        <v>158.94999999999999</v>
      </c>
      <c r="T632">
        <v>24.67</v>
      </c>
      <c r="U632" t="str">
        <f t="shared" si="9"/>
        <v>Monday</v>
      </c>
    </row>
    <row r="633" spans="1:21" x14ac:dyDescent="0.3">
      <c r="A633" s="5" t="s">
        <v>1975</v>
      </c>
      <c r="B633" s="3" t="s">
        <v>3679</v>
      </c>
      <c r="C633" s="5" t="s">
        <v>203</v>
      </c>
      <c r="D633" s="5" t="s">
        <v>21</v>
      </c>
      <c r="E633" s="5" t="s">
        <v>36</v>
      </c>
      <c r="F633" s="5" t="s">
        <v>23</v>
      </c>
      <c r="G633" t="s">
        <v>1976</v>
      </c>
      <c r="H633" s="5" t="s">
        <v>25</v>
      </c>
      <c r="I633" s="5" t="s">
        <v>205</v>
      </c>
      <c r="J633" s="5" t="s">
        <v>206</v>
      </c>
      <c r="K633" s="5" t="s">
        <v>73</v>
      </c>
      <c r="L633">
        <v>3</v>
      </c>
      <c r="M633">
        <v>146.59</v>
      </c>
      <c r="N633" s="8">
        <v>21.99</v>
      </c>
      <c r="O633" s="8">
        <v>417.78</v>
      </c>
      <c r="P633" s="8">
        <v>20.89</v>
      </c>
      <c r="Q633" s="10">
        <v>10</v>
      </c>
      <c r="R633" s="10">
        <v>20</v>
      </c>
      <c r="S633" s="8">
        <v>468.67</v>
      </c>
      <c r="T633">
        <v>3</v>
      </c>
      <c r="U633" t="str">
        <f t="shared" si="9"/>
        <v>Friday</v>
      </c>
    </row>
    <row r="634" spans="1:21" x14ac:dyDescent="0.3">
      <c r="A634" s="5" t="s">
        <v>1977</v>
      </c>
      <c r="B634" s="3" t="s">
        <v>3728</v>
      </c>
      <c r="C634" s="5" t="s">
        <v>208</v>
      </c>
      <c r="D634" s="5" t="s">
        <v>21</v>
      </c>
      <c r="E634" s="5" t="s">
        <v>76</v>
      </c>
      <c r="F634" s="5" t="s">
        <v>37</v>
      </c>
      <c r="G634" t="s">
        <v>1978</v>
      </c>
      <c r="H634" s="5" t="s">
        <v>3675</v>
      </c>
      <c r="I634" s="5" t="s">
        <v>210</v>
      </c>
      <c r="J634" s="5" t="s">
        <v>211</v>
      </c>
      <c r="K634" s="5" t="s">
        <v>145</v>
      </c>
      <c r="L634">
        <v>2</v>
      </c>
      <c r="M634">
        <v>48.94</v>
      </c>
      <c r="N634" s="8">
        <v>0</v>
      </c>
      <c r="O634" s="8">
        <v>97.88</v>
      </c>
      <c r="P634" s="8">
        <v>4.8899999999999997</v>
      </c>
      <c r="Q634" s="10">
        <v>30</v>
      </c>
      <c r="R634" s="10">
        <v>15</v>
      </c>
      <c r="S634" s="8">
        <v>147.77000000000001</v>
      </c>
      <c r="T634">
        <v>26</v>
      </c>
      <c r="U634" t="str">
        <f t="shared" si="9"/>
        <v>Friday</v>
      </c>
    </row>
    <row r="635" spans="1:21" x14ac:dyDescent="0.3">
      <c r="A635" s="5" t="s">
        <v>1979</v>
      </c>
      <c r="B635" s="3" t="s">
        <v>3727</v>
      </c>
      <c r="C635" s="5" t="s">
        <v>213</v>
      </c>
      <c r="D635" s="5" t="s">
        <v>106</v>
      </c>
      <c r="E635" s="5" t="s">
        <v>83</v>
      </c>
      <c r="F635" s="5" t="s">
        <v>37</v>
      </c>
      <c r="G635" t="s">
        <v>1980</v>
      </c>
      <c r="H635" s="5" t="s">
        <v>3673</v>
      </c>
      <c r="I635" s="5" t="s">
        <v>215</v>
      </c>
      <c r="J635" s="5" t="s">
        <v>216</v>
      </c>
      <c r="K635" s="5" t="s">
        <v>103</v>
      </c>
      <c r="L635">
        <v>4</v>
      </c>
      <c r="M635">
        <v>105.65</v>
      </c>
      <c r="N635" s="8">
        <v>10.57</v>
      </c>
      <c r="O635" s="8">
        <v>412.03</v>
      </c>
      <c r="P635" s="8">
        <v>20.6</v>
      </c>
      <c r="Q635" s="10">
        <v>10</v>
      </c>
      <c r="R635" s="10">
        <v>15</v>
      </c>
      <c r="S635" s="8">
        <v>457.63000000000011</v>
      </c>
      <c r="T635">
        <v>19</v>
      </c>
      <c r="U635" t="str">
        <f t="shared" si="9"/>
        <v>Friday</v>
      </c>
    </row>
    <row r="636" spans="1:21" x14ac:dyDescent="0.3">
      <c r="A636" s="5" t="s">
        <v>1981</v>
      </c>
      <c r="B636" s="3" t="s">
        <v>3683</v>
      </c>
      <c r="C636" s="5" t="s">
        <v>218</v>
      </c>
      <c r="D636" s="5" t="s">
        <v>21</v>
      </c>
      <c r="E636" s="5" t="s">
        <v>69</v>
      </c>
      <c r="F636" s="5" t="s">
        <v>37</v>
      </c>
      <c r="G636" t="s">
        <v>1982</v>
      </c>
      <c r="H636" s="5" t="s">
        <v>3677</v>
      </c>
      <c r="I636" s="5" t="s">
        <v>220</v>
      </c>
      <c r="J636" s="5" t="s">
        <v>221</v>
      </c>
      <c r="K636" s="5" t="s">
        <v>103</v>
      </c>
      <c r="L636">
        <v>1</v>
      </c>
      <c r="M636">
        <v>209.66</v>
      </c>
      <c r="N636" s="8">
        <v>0</v>
      </c>
      <c r="O636" s="8">
        <v>209.66</v>
      </c>
      <c r="P636" s="8">
        <v>10.48</v>
      </c>
      <c r="Q636" s="10">
        <v>30</v>
      </c>
      <c r="R636" s="10">
        <v>5</v>
      </c>
      <c r="S636" s="8">
        <v>255.14</v>
      </c>
      <c r="T636">
        <v>24.67</v>
      </c>
      <c r="U636" t="str">
        <f t="shared" si="9"/>
        <v>Thursday</v>
      </c>
    </row>
    <row r="637" spans="1:21" x14ac:dyDescent="0.3">
      <c r="A637" s="5" t="s">
        <v>1983</v>
      </c>
      <c r="B637" s="3" t="s">
        <v>3684</v>
      </c>
      <c r="C637" s="5" t="s">
        <v>223</v>
      </c>
      <c r="D637" s="5" t="s">
        <v>21</v>
      </c>
      <c r="E637" s="5" t="s">
        <v>69</v>
      </c>
      <c r="F637" s="5" t="s">
        <v>37</v>
      </c>
      <c r="G637" t="s">
        <v>1984</v>
      </c>
      <c r="H637" s="5" t="s">
        <v>3676</v>
      </c>
      <c r="I637" s="5" t="s">
        <v>225</v>
      </c>
      <c r="J637" s="5" t="s">
        <v>226</v>
      </c>
      <c r="K637" s="5" t="s">
        <v>28</v>
      </c>
      <c r="L637">
        <v>3</v>
      </c>
      <c r="M637">
        <v>67.8</v>
      </c>
      <c r="N637" s="8">
        <v>6.78</v>
      </c>
      <c r="O637" s="8">
        <v>196.62</v>
      </c>
      <c r="P637" s="8">
        <v>9.83</v>
      </c>
      <c r="Q637" s="10">
        <v>10</v>
      </c>
      <c r="R637" s="10">
        <v>0</v>
      </c>
      <c r="S637" s="8">
        <v>216.45</v>
      </c>
      <c r="T637">
        <v>18</v>
      </c>
      <c r="U637" t="str">
        <f t="shared" si="9"/>
        <v>Sunday</v>
      </c>
    </row>
    <row r="638" spans="1:21" x14ac:dyDescent="0.3">
      <c r="A638" s="5" t="s">
        <v>1985</v>
      </c>
      <c r="B638" s="3" t="s">
        <v>3683</v>
      </c>
      <c r="C638" s="5" t="s">
        <v>228</v>
      </c>
      <c r="D638" s="5" t="s">
        <v>21</v>
      </c>
      <c r="E638" s="5" t="s">
        <v>112</v>
      </c>
      <c r="F638" s="5" t="s">
        <v>42</v>
      </c>
      <c r="G638" t="s">
        <v>1986</v>
      </c>
      <c r="H638" s="5" t="s">
        <v>3673</v>
      </c>
      <c r="I638" s="5" t="s">
        <v>230</v>
      </c>
      <c r="J638" s="5" t="s">
        <v>231</v>
      </c>
      <c r="K638" s="5" t="s">
        <v>196</v>
      </c>
      <c r="L638">
        <v>2</v>
      </c>
      <c r="M638">
        <v>74.47</v>
      </c>
      <c r="N638" s="8">
        <v>0</v>
      </c>
      <c r="O638" s="8">
        <v>148.94</v>
      </c>
      <c r="P638" s="8">
        <v>7.45</v>
      </c>
      <c r="Q638" s="10">
        <v>20</v>
      </c>
      <c r="R638" s="10">
        <v>5</v>
      </c>
      <c r="S638" s="8">
        <v>181.39</v>
      </c>
      <c r="T638">
        <v>23</v>
      </c>
      <c r="U638" t="str">
        <f t="shared" si="9"/>
        <v>Thursday</v>
      </c>
    </row>
    <row r="639" spans="1:21" x14ac:dyDescent="0.3">
      <c r="A639" s="5" t="s">
        <v>1987</v>
      </c>
      <c r="B639" s="3" t="s">
        <v>3735</v>
      </c>
      <c r="C639" s="5" t="s">
        <v>233</v>
      </c>
      <c r="D639" s="5" t="s">
        <v>21</v>
      </c>
      <c r="E639" s="5" t="s">
        <v>69</v>
      </c>
      <c r="F639" s="5" t="s">
        <v>42</v>
      </c>
      <c r="G639" t="s">
        <v>1988</v>
      </c>
      <c r="H639" s="5" t="s">
        <v>3675</v>
      </c>
      <c r="I639" s="5" t="s">
        <v>235</v>
      </c>
      <c r="J639" s="5" t="s">
        <v>236</v>
      </c>
      <c r="K639" s="5" t="s">
        <v>45</v>
      </c>
      <c r="L639">
        <v>3</v>
      </c>
      <c r="M639">
        <v>147.21</v>
      </c>
      <c r="N639" s="8">
        <v>0</v>
      </c>
      <c r="O639" s="8">
        <v>441.63</v>
      </c>
      <c r="P639" s="8">
        <v>22.08</v>
      </c>
      <c r="Q639" s="10">
        <v>0</v>
      </c>
      <c r="R639" s="10">
        <v>10</v>
      </c>
      <c r="S639" s="8">
        <v>473.71</v>
      </c>
      <c r="T639">
        <v>15</v>
      </c>
      <c r="U639" t="str">
        <f t="shared" si="9"/>
        <v>Saturday</v>
      </c>
    </row>
    <row r="640" spans="1:21" x14ac:dyDescent="0.3">
      <c r="A640" s="5" t="s">
        <v>1989</v>
      </c>
      <c r="B640" s="3" t="s">
        <v>3732</v>
      </c>
      <c r="C640" s="5" t="s">
        <v>238</v>
      </c>
      <c r="D640" s="5" t="s">
        <v>21</v>
      </c>
      <c r="E640" s="5" t="s">
        <v>36</v>
      </c>
      <c r="F640" s="5" t="s">
        <v>23</v>
      </c>
      <c r="G640" t="s">
        <v>1990</v>
      </c>
      <c r="H640" s="5" t="s">
        <v>3673</v>
      </c>
      <c r="I640" s="5" t="s">
        <v>240</v>
      </c>
      <c r="J640" s="5" t="s">
        <v>241</v>
      </c>
      <c r="K640" s="5" t="s">
        <v>145</v>
      </c>
      <c r="L640">
        <v>6</v>
      </c>
      <c r="M640">
        <v>149.94999999999999</v>
      </c>
      <c r="N640" s="8">
        <v>0</v>
      </c>
      <c r="O640" s="8">
        <v>899.69999999999993</v>
      </c>
      <c r="P640" s="8">
        <v>44.98</v>
      </c>
      <c r="Q640" s="10">
        <v>30</v>
      </c>
      <c r="R640" s="10">
        <v>20</v>
      </c>
      <c r="S640" s="8">
        <v>994.68</v>
      </c>
      <c r="T640">
        <v>17</v>
      </c>
      <c r="U640" t="str">
        <f t="shared" si="9"/>
        <v>Wednesday</v>
      </c>
    </row>
    <row r="641" spans="1:21" x14ac:dyDescent="0.3">
      <c r="A641" s="5" t="s">
        <v>1991</v>
      </c>
      <c r="B641" s="3" t="s">
        <v>3736</v>
      </c>
      <c r="C641" s="5" t="s">
        <v>243</v>
      </c>
      <c r="D641" s="5" t="s">
        <v>21</v>
      </c>
      <c r="E641" s="5" t="s">
        <v>22</v>
      </c>
      <c r="F641" s="5" t="s">
        <v>37</v>
      </c>
      <c r="G641" t="s">
        <v>1992</v>
      </c>
      <c r="H641" s="5" t="s">
        <v>3673</v>
      </c>
      <c r="I641" s="5" t="s">
        <v>245</v>
      </c>
      <c r="J641" s="5" t="s">
        <v>246</v>
      </c>
      <c r="K641" s="5" t="s">
        <v>28</v>
      </c>
      <c r="L641">
        <v>1</v>
      </c>
      <c r="M641">
        <v>156.61000000000001</v>
      </c>
      <c r="N641" s="8">
        <v>0</v>
      </c>
      <c r="O641" s="8">
        <v>156.61000000000001</v>
      </c>
      <c r="P641" s="8">
        <v>7.83</v>
      </c>
      <c r="Q641" s="10">
        <v>30</v>
      </c>
      <c r="R641" s="10">
        <v>10</v>
      </c>
      <c r="S641" s="8">
        <v>204.44</v>
      </c>
      <c r="T641">
        <v>26</v>
      </c>
      <c r="U641" t="str">
        <f t="shared" si="9"/>
        <v>Tuesday</v>
      </c>
    </row>
    <row r="642" spans="1:21" x14ac:dyDescent="0.3">
      <c r="A642" s="5" t="s">
        <v>1993</v>
      </c>
      <c r="B642" s="3" t="s">
        <v>3733</v>
      </c>
      <c r="C642" s="5" t="s">
        <v>248</v>
      </c>
      <c r="D642" s="5" t="s">
        <v>21</v>
      </c>
      <c r="E642" s="5" t="s">
        <v>76</v>
      </c>
      <c r="F642" s="5" t="s">
        <v>37</v>
      </c>
      <c r="G642" t="s">
        <v>1994</v>
      </c>
      <c r="H642" s="5" t="s">
        <v>3675</v>
      </c>
      <c r="I642" s="5" t="s">
        <v>250</v>
      </c>
      <c r="J642" s="5" t="s">
        <v>251</v>
      </c>
      <c r="K642" s="5" t="s">
        <v>40</v>
      </c>
      <c r="L642">
        <v>1</v>
      </c>
      <c r="M642">
        <v>160.54</v>
      </c>
      <c r="N642" s="8">
        <v>24.08</v>
      </c>
      <c r="O642" s="8">
        <v>136.46</v>
      </c>
      <c r="P642" s="8">
        <v>6.82</v>
      </c>
      <c r="Q642" s="10">
        <v>20</v>
      </c>
      <c r="R642" s="10">
        <v>0</v>
      </c>
      <c r="S642" s="8">
        <v>163.28</v>
      </c>
      <c r="T642">
        <v>36</v>
      </c>
      <c r="U642" t="str">
        <f t="shared" si="9"/>
        <v>Sunday</v>
      </c>
    </row>
    <row r="643" spans="1:21" x14ac:dyDescent="0.3">
      <c r="A643" s="5" t="s">
        <v>1995</v>
      </c>
      <c r="B643" s="3" t="s">
        <v>3730</v>
      </c>
      <c r="C643" s="5" t="s">
        <v>253</v>
      </c>
      <c r="D643" s="5" t="s">
        <v>21</v>
      </c>
      <c r="E643" s="5" t="s">
        <v>112</v>
      </c>
      <c r="F643" s="5" t="s">
        <v>37</v>
      </c>
      <c r="G643" t="s">
        <v>1996</v>
      </c>
      <c r="H643" s="5" t="s">
        <v>3674</v>
      </c>
      <c r="I643" s="5" t="s">
        <v>255</v>
      </c>
      <c r="J643" s="5" t="s">
        <v>256</v>
      </c>
      <c r="K643" s="5" t="s">
        <v>40</v>
      </c>
      <c r="L643">
        <v>2</v>
      </c>
      <c r="M643">
        <v>26.32</v>
      </c>
      <c r="N643" s="8">
        <v>1.32</v>
      </c>
      <c r="O643" s="8">
        <v>51.32</v>
      </c>
      <c r="P643" s="8">
        <v>2.57</v>
      </c>
      <c r="Q643" s="10">
        <v>30</v>
      </c>
      <c r="R643" s="10">
        <v>20</v>
      </c>
      <c r="S643" s="8">
        <v>103.89</v>
      </c>
      <c r="T643">
        <v>24.67</v>
      </c>
      <c r="U643" t="str">
        <f t="shared" ref="U643:U706" si="10">TEXT(B643,"dddd")</f>
        <v>Friday</v>
      </c>
    </row>
    <row r="644" spans="1:21" x14ac:dyDescent="0.3">
      <c r="A644" s="5" t="s">
        <v>1997</v>
      </c>
      <c r="B644" s="3" t="s">
        <v>3716</v>
      </c>
      <c r="C644" s="5" t="s">
        <v>258</v>
      </c>
      <c r="D644" s="5" t="s">
        <v>21</v>
      </c>
      <c r="E644" s="5" t="s">
        <v>36</v>
      </c>
      <c r="F644" s="5" t="s">
        <v>37</v>
      </c>
      <c r="G644" t="s">
        <v>1998</v>
      </c>
      <c r="H644" s="5" t="s">
        <v>25</v>
      </c>
      <c r="I644" s="5" t="s">
        <v>260</v>
      </c>
      <c r="J644" s="5" t="s">
        <v>261</v>
      </c>
      <c r="K644" s="5" t="s">
        <v>56</v>
      </c>
      <c r="L644">
        <v>5</v>
      </c>
      <c r="M644">
        <v>102.69</v>
      </c>
      <c r="N644" s="8">
        <v>15.4</v>
      </c>
      <c r="O644" s="8">
        <v>498.05000000000013</v>
      </c>
      <c r="P644" s="8">
        <v>24.9</v>
      </c>
      <c r="Q644" s="10">
        <v>20</v>
      </c>
      <c r="R644" s="10">
        <v>5</v>
      </c>
      <c r="S644" s="8">
        <v>547.95000000000005</v>
      </c>
      <c r="T644">
        <v>17</v>
      </c>
      <c r="U644" t="str">
        <f t="shared" si="10"/>
        <v>Saturday</v>
      </c>
    </row>
    <row r="645" spans="1:21" x14ac:dyDescent="0.3">
      <c r="A645" s="5" t="s">
        <v>1999</v>
      </c>
      <c r="B645" s="3" t="s">
        <v>3706</v>
      </c>
      <c r="C645" s="5" t="s">
        <v>263</v>
      </c>
      <c r="D645" s="5" t="s">
        <v>21</v>
      </c>
      <c r="E645" s="5" t="s">
        <v>112</v>
      </c>
      <c r="F645" s="5" t="s">
        <v>42</v>
      </c>
      <c r="G645" t="s">
        <v>2000</v>
      </c>
      <c r="H645" s="5" t="s">
        <v>3673</v>
      </c>
      <c r="I645" s="5" t="s">
        <v>265</v>
      </c>
      <c r="J645" s="5" t="s">
        <v>266</v>
      </c>
      <c r="K645" s="5" t="s">
        <v>28</v>
      </c>
      <c r="L645">
        <v>5</v>
      </c>
      <c r="M645">
        <v>197.2</v>
      </c>
      <c r="N645" s="8">
        <v>0</v>
      </c>
      <c r="O645" s="8">
        <v>986</v>
      </c>
      <c r="P645" s="8">
        <v>49.3</v>
      </c>
      <c r="Q645" s="10">
        <v>10</v>
      </c>
      <c r="R645" s="10">
        <v>0</v>
      </c>
      <c r="S645" s="8">
        <v>1045.3</v>
      </c>
      <c r="T645">
        <v>17</v>
      </c>
      <c r="U645" t="str">
        <f t="shared" si="10"/>
        <v>Thursday</v>
      </c>
    </row>
    <row r="646" spans="1:21" x14ac:dyDescent="0.3">
      <c r="A646" s="5" t="s">
        <v>2001</v>
      </c>
      <c r="B646" s="3" t="s">
        <v>3687</v>
      </c>
      <c r="C646" s="5" t="s">
        <v>268</v>
      </c>
      <c r="D646" s="5" t="s">
        <v>21</v>
      </c>
      <c r="E646" s="5" t="s">
        <v>22</v>
      </c>
      <c r="F646" s="5" t="s">
        <v>37</v>
      </c>
      <c r="G646" t="s">
        <v>2002</v>
      </c>
      <c r="H646" s="5" t="s">
        <v>3673</v>
      </c>
      <c r="I646" s="5" t="s">
        <v>270</v>
      </c>
      <c r="J646" s="5" t="s">
        <v>271</v>
      </c>
      <c r="K646" s="5" t="s">
        <v>56</v>
      </c>
      <c r="L646">
        <v>1</v>
      </c>
      <c r="M646">
        <v>139.05000000000001</v>
      </c>
      <c r="N646" s="8">
        <v>6.95</v>
      </c>
      <c r="O646" s="8">
        <v>132.1</v>
      </c>
      <c r="P646" s="8">
        <v>6.61</v>
      </c>
      <c r="Q646" s="10">
        <v>10</v>
      </c>
      <c r="R646" s="10">
        <v>15</v>
      </c>
      <c r="S646" s="8">
        <v>163.71</v>
      </c>
      <c r="T646">
        <v>21</v>
      </c>
      <c r="U646" t="str">
        <f t="shared" si="10"/>
        <v>Friday</v>
      </c>
    </row>
    <row r="647" spans="1:21" x14ac:dyDescent="0.3">
      <c r="A647" s="5" t="s">
        <v>2003</v>
      </c>
      <c r="B647" s="3" t="s">
        <v>3706</v>
      </c>
      <c r="C647" s="5" t="s">
        <v>273</v>
      </c>
      <c r="D647" s="5" t="s">
        <v>82</v>
      </c>
      <c r="E647" s="5" t="s">
        <v>83</v>
      </c>
      <c r="F647" s="5" t="s">
        <v>23</v>
      </c>
      <c r="G647" t="s">
        <v>2004</v>
      </c>
      <c r="H647" s="5" t="s">
        <v>3676</v>
      </c>
      <c r="I647" s="5" t="s">
        <v>275</v>
      </c>
      <c r="J647" s="5" t="s">
        <v>276</v>
      </c>
      <c r="K647" s="5" t="s">
        <v>145</v>
      </c>
      <c r="L647">
        <v>1</v>
      </c>
      <c r="M647">
        <v>102.46</v>
      </c>
      <c r="N647" s="8">
        <v>10.25</v>
      </c>
      <c r="O647" s="8">
        <v>92.21</v>
      </c>
      <c r="P647" s="8">
        <v>4.6100000000000003</v>
      </c>
      <c r="Q647" s="10">
        <v>20</v>
      </c>
      <c r="R647" s="10">
        <v>10</v>
      </c>
      <c r="S647" s="8">
        <v>126.82</v>
      </c>
      <c r="T647">
        <v>19</v>
      </c>
      <c r="U647" t="str">
        <f t="shared" si="10"/>
        <v>Thursday</v>
      </c>
    </row>
    <row r="648" spans="1:21" x14ac:dyDescent="0.3">
      <c r="A648" s="5" t="s">
        <v>2005</v>
      </c>
      <c r="B648" s="3" t="s">
        <v>3710</v>
      </c>
      <c r="C648" s="5" t="s">
        <v>278</v>
      </c>
      <c r="D648" s="5" t="s">
        <v>21</v>
      </c>
      <c r="E648" s="5" t="s">
        <v>69</v>
      </c>
      <c r="F648" s="5" t="s">
        <v>23</v>
      </c>
      <c r="G648" t="s">
        <v>2006</v>
      </c>
      <c r="H648" s="5" t="s">
        <v>3677</v>
      </c>
      <c r="I648" s="5" t="s">
        <v>280</v>
      </c>
      <c r="J648" s="5" t="s">
        <v>281</v>
      </c>
      <c r="K648" s="5" t="s">
        <v>73</v>
      </c>
      <c r="L648">
        <v>3</v>
      </c>
      <c r="M648">
        <v>225.3</v>
      </c>
      <c r="N648" s="8">
        <v>22.53</v>
      </c>
      <c r="O648" s="8">
        <v>653.37000000000012</v>
      </c>
      <c r="P648" s="8">
        <v>32.67</v>
      </c>
      <c r="Q648" s="10">
        <v>10</v>
      </c>
      <c r="R648" s="10">
        <v>10</v>
      </c>
      <c r="S648" s="8">
        <v>706.04000000000008</v>
      </c>
      <c r="T648">
        <v>25</v>
      </c>
      <c r="U648" t="str">
        <f t="shared" si="10"/>
        <v>Monday</v>
      </c>
    </row>
    <row r="649" spans="1:21" x14ac:dyDescent="0.3">
      <c r="A649" s="5" t="s">
        <v>2007</v>
      </c>
      <c r="B649" s="3" t="s">
        <v>3693</v>
      </c>
      <c r="C649" s="5" t="s">
        <v>283</v>
      </c>
      <c r="D649" s="5" t="s">
        <v>82</v>
      </c>
      <c r="E649" s="5" t="s">
        <v>83</v>
      </c>
      <c r="F649" s="5" t="s">
        <v>42</v>
      </c>
      <c r="G649" t="s">
        <v>2008</v>
      </c>
      <c r="H649" s="5" t="s">
        <v>3674</v>
      </c>
      <c r="I649" s="5" t="s">
        <v>285</v>
      </c>
      <c r="J649" s="5" t="s">
        <v>286</v>
      </c>
      <c r="K649" s="5" t="s">
        <v>73</v>
      </c>
      <c r="L649">
        <v>3</v>
      </c>
      <c r="M649">
        <v>104.64</v>
      </c>
      <c r="N649" s="8">
        <v>5.23</v>
      </c>
      <c r="O649" s="8">
        <v>308.69</v>
      </c>
      <c r="P649" s="8">
        <v>15.43</v>
      </c>
      <c r="Q649" s="10">
        <v>0</v>
      </c>
      <c r="R649" s="10">
        <v>10</v>
      </c>
      <c r="S649" s="8">
        <v>334.12</v>
      </c>
      <c r="T649">
        <v>24.67</v>
      </c>
      <c r="U649" t="str">
        <f t="shared" si="10"/>
        <v>Thursday</v>
      </c>
    </row>
    <row r="650" spans="1:21" x14ac:dyDescent="0.3">
      <c r="A650" s="5" t="s">
        <v>2009</v>
      </c>
      <c r="B650" s="3" t="s">
        <v>3701</v>
      </c>
      <c r="C650" s="5" t="s">
        <v>288</v>
      </c>
      <c r="D650" s="5" t="s">
        <v>21</v>
      </c>
      <c r="E650" s="5" t="s">
        <v>36</v>
      </c>
      <c r="F650" s="5" t="s">
        <v>42</v>
      </c>
      <c r="G650" t="s">
        <v>2010</v>
      </c>
      <c r="H650" s="5" t="s">
        <v>100</v>
      </c>
      <c r="I650" s="5" t="s">
        <v>290</v>
      </c>
      <c r="J650" s="5" t="s">
        <v>291</v>
      </c>
      <c r="K650" s="5" t="s">
        <v>196</v>
      </c>
      <c r="L650">
        <v>3</v>
      </c>
      <c r="M650">
        <v>161.56</v>
      </c>
      <c r="N650" s="8">
        <v>8.08</v>
      </c>
      <c r="O650" s="8">
        <v>476.6</v>
      </c>
      <c r="P650" s="8">
        <v>23.83</v>
      </c>
      <c r="Q650" s="10">
        <v>30</v>
      </c>
      <c r="R650" s="10">
        <v>15</v>
      </c>
      <c r="S650" s="8">
        <v>545.43000000000006</v>
      </c>
      <c r="T650">
        <v>19</v>
      </c>
      <c r="U650" t="str">
        <f t="shared" si="10"/>
        <v>Tuesday</v>
      </c>
    </row>
    <row r="651" spans="1:21" x14ac:dyDescent="0.3">
      <c r="A651" s="5" t="s">
        <v>2011</v>
      </c>
      <c r="B651" s="3" t="s">
        <v>3705</v>
      </c>
      <c r="C651" s="5" t="s">
        <v>293</v>
      </c>
      <c r="D651" s="5" t="s">
        <v>82</v>
      </c>
      <c r="E651" s="5" t="s">
        <v>83</v>
      </c>
      <c r="F651" s="5" t="s">
        <v>23</v>
      </c>
      <c r="G651" t="s">
        <v>2012</v>
      </c>
      <c r="H651" s="5" t="s">
        <v>3675</v>
      </c>
      <c r="I651" s="5" t="s">
        <v>295</v>
      </c>
      <c r="J651" s="5" t="s">
        <v>296</v>
      </c>
      <c r="K651" s="5" t="s">
        <v>196</v>
      </c>
      <c r="L651">
        <v>2</v>
      </c>
      <c r="M651">
        <v>239.39</v>
      </c>
      <c r="N651" s="8">
        <v>0</v>
      </c>
      <c r="O651" s="8">
        <v>478.78</v>
      </c>
      <c r="P651" s="8">
        <v>23.94</v>
      </c>
      <c r="Q651" s="10">
        <v>0</v>
      </c>
      <c r="R651" s="10">
        <v>20</v>
      </c>
      <c r="S651" s="8">
        <v>522.72</v>
      </c>
      <c r="T651">
        <v>28</v>
      </c>
      <c r="U651" t="str">
        <f t="shared" si="10"/>
        <v>Tuesday</v>
      </c>
    </row>
    <row r="652" spans="1:21" x14ac:dyDescent="0.3">
      <c r="A652" s="5" t="s">
        <v>2013</v>
      </c>
      <c r="B652" s="3" t="s">
        <v>3735</v>
      </c>
      <c r="C652" s="5" t="s">
        <v>298</v>
      </c>
      <c r="D652" s="5" t="s">
        <v>21</v>
      </c>
      <c r="E652" s="5" t="s">
        <v>22</v>
      </c>
      <c r="F652" s="5" t="s">
        <v>42</v>
      </c>
      <c r="G652" t="s">
        <v>2014</v>
      </c>
      <c r="H652" s="5" t="s">
        <v>3676</v>
      </c>
      <c r="I652" s="5" t="s">
        <v>300</v>
      </c>
      <c r="J652" s="5" t="s">
        <v>301</v>
      </c>
      <c r="K652" s="5" t="s">
        <v>28</v>
      </c>
      <c r="L652">
        <v>4</v>
      </c>
      <c r="M652">
        <v>153.18</v>
      </c>
      <c r="N652" s="8">
        <v>22.98</v>
      </c>
      <c r="O652" s="8">
        <v>589.74</v>
      </c>
      <c r="P652" s="8">
        <v>29.49</v>
      </c>
      <c r="Q652" s="10">
        <v>0</v>
      </c>
      <c r="R652" s="10">
        <v>5</v>
      </c>
      <c r="S652" s="8">
        <v>624.23</v>
      </c>
      <c r="T652">
        <v>27</v>
      </c>
      <c r="U652" t="str">
        <f t="shared" si="10"/>
        <v>Saturday</v>
      </c>
    </row>
    <row r="653" spans="1:21" x14ac:dyDescent="0.3">
      <c r="A653" s="5" t="s">
        <v>2015</v>
      </c>
      <c r="B653" s="3" t="s">
        <v>3702</v>
      </c>
      <c r="C653" s="5" t="s">
        <v>303</v>
      </c>
      <c r="D653" s="5" t="s">
        <v>21</v>
      </c>
      <c r="E653" s="5" t="s">
        <v>112</v>
      </c>
      <c r="F653" s="5" t="s">
        <v>42</v>
      </c>
      <c r="G653" t="s">
        <v>2016</v>
      </c>
      <c r="H653" s="5" t="s">
        <v>3676</v>
      </c>
      <c r="I653" s="5" t="s">
        <v>305</v>
      </c>
      <c r="J653" s="5" t="s">
        <v>306</v>
      </c>
      <c r="K653" s="5" t="s">
        <v>45</v>
      </c>
      <c r="L653">
        <v>2</v>
      </c>
      <c r="M653">
        <v>25.94</v>
      </c>
      <c r="N653" s="8">
        <v>0</v>
      </c>
      <c r="O653" s="8">
        <v>51.88</v>
      </c>
      <c r="P653" s="8">
        <v>2.59</v>
      </c>
      <c r="Q653" s="10">
        <v>20</v>
      </c>
      <c r="R653" s="10">
        <v>15</v>
      </c>
      <c r="S653" s="8">
        <v>89.47</v>
      </c>
      <c r="T653">
        <v>20</v>
      </c>
      <c r="U653" t="str">
        <f t="shared" si="10"/>
        <v>Monday</v>
      </c>
    </row>
    <row r="654" spans="1:21" x14ac:dyDescent="0.3">
      <c r="A654" s="5" t="s">
        <v>2017</v>
      </c>
      <c r="B654" s="3" t="s">
        <v>3720</v>
      </c>
      <c r="C654" s="5" t="s">
        <v>308</v>
      </c>
      <c r="D654" s="5" t="s">
        <v>21</v>
      </c>
      <c r="E654" s="5" t="s">
        <v>112</v>
      </c>
      <c r="F654" s="5" t="s">
        <v>23</v>
      </c>
      <c r="G654" t="s">
        <v>2018</v>
      </c>
      <c r="H654" s="5" t="s">
        <v>100</v>
      </c>
      <c r="I654" s="5" t="s">
        <v>310</v>
      </c>
      <c r="J654" s="5" t="s">
        <v>311</v>
      </c>
      <c r="K654" s="5" t="s">
        <v>196</v>
      </c>
      <c r="L654">
        <v>3</v>
      </c>
      <c r="M654">
        <v>103.17</v>
      </c>
      <c r="N654" s="8">
        <v>0</v>
      </c>
      <c r="O654" s="8">
        <v>309.51</v>
      </c>
      <c r="P654" s="8">
        <v>15.48</v>
      </c>
      <c r="Q654" s="10">
        <v>10</v>
      </c>
      <c r="R654" s="10">
        <v>15</v>
      </c>
      <c r="S654" s="8">
        <v>349.99</v>
      </c>
      <c r="T654">
        <v>22</v>
      </c>
      <c r="U654" t="str">
        <f t="shared" si="10"/>
        <v>Monday</v>
      </c>
    </row>
    <row r="655" spans="1:21" x14ac:dyDescent="0.3">
      <c r="A655" s="5" t="s">
        <v>2019</v>
      </c>
      <c r="B655" s="3" t="s">
        <v>3687</v>
      </c>
      <c r="C655" s="5" t="s">
        <v>313</v>
      </c>
      <c r="D655" s="5" t="s">
        <v>21</v>
      </c>
      <c r="E655" s="5" t="s">
        <v>76</v>
      </c>
      <c r="F655" s="5" t="s">
        <v>42</v>
      </c>
      <c r="G655" t="s">
        <v>2020</v>
      </c>
      <c r="H655" s="5" t="s">
        <v>3674</v>
      </c>
      <c r="I655" s="5" t="s">
        <v>315</v>
      </c>
      <c r="J655" s="5" t="s">
        <v>316</v>
      </c>
      <c r="K655" s="5" t="s">
        <v>45</v>
      </c>
      <c r="L655">
        <v>2</v>
      </c>
      <c r="M655">
        <v>152.29</v>
      </c>
      <c r="N655" s="8">
        <v>22.84</v>
      </c>
      <c r="O655" s="8">
        <v>281.74</v>
      </c>
      <c r="P655" s="8">
        <v>14.09</v>
      </c>
      <c r="Q655" s="10">
        <v>10</v>
      </c>
      <c r="R655" s="10">
        <v>10</v>
      </c>
      <c r="S655" s="8">
        <v>315.83</v>
      </c>
      <c r="T655">
        <v>33</v>
      </c>
      <c r="U655" t="str">
        <f t="shared" si="10"/>
        <v>Friday</v>
      </c>
    </row>
    <row r="656" spans="1:21" x14ac:dyDescent="0.3">
      <c r="A656" s="5" t="s">
        <v>2021</v>
      </c>
      <c r="B656" s="3" t="s">
        <v>3699</v>
      </c>
      <c r="C656" s="5" t="s">
        <v>318</v>
      </c>
      <c r="D656" s="5" t="s">
        <v>21</v>
      </c>
      <c r="E656" s="5" t="s">
        <v>36</v>
      </c>
      <c r="F656" s="5" t="s">
        <v>23</v>
      </c>
      <c r="G656" t="s">
        <v>2022</v>
      </c>
      <c r="H656" s="5" t="s">
        <v>3676</v>
      </c>
      <c r="I656" s="5" t="s">
        <v>320</v>
      </c>
      <c r="J656" s="5" t="s">
        <v>321</v>
      </c>
      <c r="K656" s="5" t="s">
        <v>196</v>
      </c>
      <c r="L656">
        <v>1</v>
      </c>
      <c r="M656">
        <v>75.66</v>
      </c>
      <c r="N656" s="8">
        <v>3.78</v>
      </c>
      <c r="O656" s="8">
        <v>71.88</v>
      </c>
      <c r="P656" s="8">
        <v>3.59</v>
      </c>
      <c r="Q656" s="10">
        <v>20</v>
      </c>
      <c r="R656" s="10">
        <v>20</v>
      </c>
      <c r="S656" s="8">
        <v>115.47</v>
      </c>
      <c r="T656">
        <v>24.67</v>
      </c>
      <c r="U656" t="str">
        <f t="shared" si="10"/>
        <v>Sunday</v>
      </c>
    </row>
    <row r="657" spans="1:21" x14ac:dyDescent="0.3">
      <c r="A657" s="5" t="s">
        <v>2023</v>
      </c>
      <c r="B657" s="3" t="s">
        <v>3718</v>
      </c>
      <c r="C657" s="5" t="s">
        <v>323</v>
      </c>
      <c r="D657" s="5" t="s">
        <v>21</v>
      </c>
      <c r="E657" s="5" t="s">
        <v>69</v>
      </c>
      <c r="F657" s="5" t="s">
        <v>23</v>
      </c>
      <c r="G657" t="s">
        <v>2024</v>
      </c>
      <c r="H657" s="5" t="s">
        <v>3675</v>
      </c>
      <c r="I657" s="5" t="s">
        <v>325</v>
      </c>
      <c r="J657" s="5" t="s">
        <v>326</v>
      </c>
      <c r="K657" s="5" t="s">
        <v>28</v>
      </c>
      <c r="L657">
        <v>2</v>
      </c>
      <c r="M657">
        <v>197.19</v>
      </c>
      <c r="N657" s="8">
        <v>19.72</v>
      </c>
      <c r="O657" s="8">
        <v>374.66</v>
      </c>
      <c r="P657" s="8">
        <v>18.73</v>
      </c>
      <c r="Q657" s="10">
        <v>20</v>
      </c>
      <c r="R657" s="10">
        <v>10</v>
      </c>
      <c r="S657" s="8">
        <v>423.39</v>
      </c>
      <c r="T657">
        <v>24.67</v>
      </c>
      <c r="U657" t="str">
        <f t="shared" si="10"/>
        <v>Wednesday</v>
      </c>
    </row>
    <row r="658" spans="1:21" x14ac:dyDescent="0.3">
      <c r="A658" s="5" t="s">
        <v>2025</v>
      </c>
      <c r="B658" s="3" t="s">
        <v>3721</v>
      </c>
      <c r="C658" s="5" t="s">
        <v>328</v>
      </c>
      <c r="D658" s="5" t="s">
        <v>21</v>
      </c>
      <c r="E658" s="5" t="s">
        <v>69</v>
      </c>
      <c r="F658" s="5" t="s">
        <v>23</v>
      </c>
      <c r="G658" t="s">
        <v>2026</v>
      </c>
      <c r="H658" s="5" t="s">
        <v>100</v>
      </c>
      <c r="I658" s="5" t="s">
        <v>329</v>
      </c>
      <c r="J658" s="5" t="s">
        <v>330</v>
      </c>
      <c r="K658" s="5" t="s">
        <v>56</v>
      </c>
      <c r="L658">
        <v>5</v>
      </c>
      <c r="M658">
        <v>31.9</v>
      </c>
      <c r="N658" s="8">
        <v>1.59</v>
      </c>
      <c r="O658" s="8">
        <v>157.91</v>
      </c>
      <c r="P658" s="8">
        <v>7.9</v>
      </c>
      <c r="Q658" s="10">
        <v>10</v>
      </c>
      <c r="R658" s="10">
        <v>15</v>
      </c>
      <c r="S658" s="8">
        <v>190.81</v>
      </c>
      <c r="T658">
        <v>23</v>
      </c>
      <c r="U658" t="str">
        <f t="shared" si="10"/>
        <v>Tuesday</v>
      </c>
    </row>
    <row r="659" spans="1:21" x14ac:dyDescent="0.3">
      <c r="A659" s="5" t="s">
        <v>2027</v>
      </c>
      <c r="B659" s="3" t="s">
        <v>3697</v>
      </c>
      <c r="C659" s="5" t="s">
        <v>332</v>
      </c>
      <c r="D659" s="5" t="s">
        <v>21</v>
      </c>
      <c r="E659" s="5" t="s">
        <v>22</v>
      </c>
      <c r="F659" s="5" t="s">
        <v>42</v>
      </c>
      <c r="G659" t="s">
        <v>2028</v>
      </c>
      <c r="H659" s="5" t="s">
        <v>3675</v>
      </c>
      <c r="I659" s="5" t="s">
        <v>334</v>
      </c>
      <c r="J659" s="5" t="s">
        <v>335</v>
      </c>
      <c r="K659" s="5" t="s">
        <v>34</v>
      </c>
      <c r="L659">
        <v>1</v>
      </c>
      <c r="M659">
        <v>146.61000000000001</v>
      </c>
      <c r="N659" s="8">
        <v>21.99</v>
      </c>
      <c r="O659" s="8">
        <v>124.62</v>
      </c>
      <c r="P659" s="8">
        <v>6.23</v>
      </c>
      <c r="Q659" s="10">
        <v>10</v>
      </c>
      <c r="R659" s="10">
        <v>15</v>
      </c>
      <c r="S659" s="8">
        <v>155.85</v>
      </c>
      <c r="T659">
        <v>13</v>
      </c>
      <c r="U659" t="str">
        <f t="shared" si="10"/>
        <v>Saturday</v>
      </c>
    </row>
    <row r="660" spans="1:21" x14ac:dyDescent="0.3">
      <c r="A660" s="5" t="s">
        <v>2029</v>
      </c>
      <c r="B660" s="3" t="s">
        <v>3698</v>
      </c>
      <c r="C660" s="5" t="s">
        <v>337</v>
      </c>
      <c r="D660" s="5" t="s">
        <v>21</v>
      </c>
      <c r="E660" s="5" t="s">
        <v>69</v>
      </c>
      <c r="F660" s="5" t="s">
        <v>37</v>
      </c>
      <c r="G660" t="s">
        <v>2030</v>
      </c>
      <c r="H660" s="5" t="s">
        <v>100</v>
      </c>
      <c r="I660" s="5" t="s">
        <v>339</v>
      </c>
      <c r="J660" s="5" t="s">
        <v>340</v>
      </c>
      <c r="K660" s="5" t="s">
        <v>40</v>
      </c>
      <c r="L660">
        <v>3</v>
      </c>
      <c r="M660">
        <v>7.81</v>
      </c>
      <c r="N660" s="8">
        <v>0</v>
      </c>
      <c r="O660" s="8">
        <v>23.43</v>
      </c>
      <c r="P660" s="8">
        <v>1.17</v>
      </c>
      <c r="Q660" s="10">
        <v>0</v>
      </c>
      <c r="R660" s="10">
        <v>10</v>
      </c>
      <c r="S660" s="8">
        <v>34.6</v>
      </c>
      <c r="T660">
        <v>20</v>
      </c>
      <c r="U660" t="str">
        <f t="shared" si="10"/>
        <v>Sunday</v>
      </c>
    </row>
    <row r="661" spans="1:21" x14ac:dyDescent="0.3">
      <c r="A661" s="5" t="s">
        <v>2031</v>
      </c>
      <c r="B661" s="3" t="s">
        <v>3698</v>
      </c>
      <c r="C661" s="5" t="s">
        <v>342</v>
      </c>
      <c r="D661" s="5" t="s">
        <v>21</v>
      </c>
      <c r="E661" s="5" t="s">
        <v>112</v>
      </c>
      <c r="F661" s="5" t="s">
        <v>42</v>
      </c>
      <c r="G661" t="s">
        <v>2032</v>
      </c>
      <c r="H661" s="5" t="s">
        <v>3673</v>
      </c>
      <c r="I661" s="5" t="s">
        <v>344</v>
      </c>
      <c r="J661" s="5" t="s">
        <v>345</v>
      </c>
      <c r="K661" s="5" t="s">
        <v>145</v>
      </c>
      <c r="L661">
        <v>3</v>
      </c>
      <c r="M661">
        <v>203.43</v>
      </c>
      <c r="N661" s="8">
        <v>30.51</v>
      </c>
      <c r="O661" s="8">
        <v>579.78</v>
      </c>
      <c r="P661" s="8">
        <v>28.99</v>
      </c>
      <c r="Q661" s="10">
        <v>20</v>
      </c>
      <c r="R661" s="10">
        <v>10</v>
      </c>
      <c r="S661" s="8">
        <v>638.77</v>
      </c>
      <c r="T661">
        <v>22</v>
      </c>
      <c r="U661" t="str">
        <f t="shared" si="10"/>
        <v>Sunday</v>
      </c>
    </row>
    <row r="662" spans="1:21" x14ac:dyDescent="0.3">
      <c r="A662" s="5" t="s">
        <v>2033</v>
      </c>
      <c r="B662" s="3" t="s">
        <v>3709</v>
      </c>
      <c r="C662" s="5" t="s">
        <v>347</v>
      </c>
      <c r="D662" s="5" t="s">
        <v>21</v>
      </c>
      <c r="E662" s="5" t="s">
        <v>22</v>
      </c>
      <c r="F662" s="5" t="s">
        <v>23</v>
      </c>
      <c r="G662" t="s">
        <v>2034</v>
      </c>
      <c r="H662" s="5" t="s">
        <v>3677</v>
      </c>
      <c r="I662" s="5" t="s">
        <v>349</v>
      </c>
      <c r="J662" s="5" t="s">
        <v>350</v>
      </c>
      <c r="K662" s="5" t="s">
        <v>145</v>
      </c>
      <c r="L662">
        <v>1</v>
      </c>
      <c r="M662">
        <v>196.96</v>
      </c>
      <c r="N662" s="8">
        <v>0</v>
      </c>
      <c r="O662" s="8">
        <v>196.96</v>
      </c>
      <c r="P662" s="8">
        <v>9.85</v>
      </c>
      <c r="Q662" s="10">
        <v>0</v>
      </c>
      <c r="R662" s="10">
        <v>10</v>
      </c>
      <c r="S662" s="8">
        <v>216.81</v>
      </c>
      <c r="T662">
        <v>13</v>
      </c>
      <c r="U662" t="str">
        <f t="shared" si="10"/>
        <v>Thursday</v>
      </c>
    </row>
    <row r="663" spans="1:21" x14ac:dyDescent="0.3">
      <c r="A663" s="5" t="s">
        <v>2035</v>
      </c>
      <c r="B663" s="3" t="s">
        <v>3680</v>
      </c>
      <c r="C663" s="5" t="s">
        <v>352</v>
      </c>
      <c r="D663" s="5" t="s">
        <v>21</v>
      </c>
      <c r="E663" s="5" t="s">
        <v>76</v>
      </c>
      <c r="F663" s="5" t="s">
        <v>37</v>
      </c>
      <c r="G663" t="s">
        <v>2036</v>
      </c>
      <c r="H663" s="5" t="s">
        <v>3674</v>
      </c>
      <c r="I663" s="5" t="s">
        <v>354</v>
      </c>
      <c r="J663" s="5" t="s">
        <v>355</v>
      </c>
      <c r="K663" s="5" t="s">
        <v>196</v>
      </c>
      <c r="L663">
        <v>3</v>
      </c>
      <c r="M663">
        <v>158.16999999999999</v>
      </c>
      <c r="N663" s="8">
        <v>7.91</v>
      </c>
      <c r="O663" s="8">
        <v>466.6</v>
      </c>
      <c r="P663" s="8">
        <v>23.33</v>
      </c>
      <c r="Q663" s="10">
        <v>0</v>
      </c>
      <c r="R663" s="10">
        <v>5</v>
      </c>
      <c r="S663" s="8">
        <v>494.92999999999989</v>
      </c>
      <c r="T663">
        <v>19</v>
      </c>
      <c r="U663" t="str">
        <f t="shared" si="10"/>
        <v>Wednesday</v>
      </c>
    </row>
    <row r="664" spans="1:21" x14ac:dyDescent="0.3">
      <c r="A664" s="5" t="s">
        <v>2037</v>
      </c>
      <c r="B664" s="3" t="s">
        <v>3712</v>
      </c>
      <c r="C664" s="5" t="s">
        <v>357</v>
      </c>
      <c r="D664" s="5" t="s">
        <v>21</v>
      </c>
      <c r="E664" s="5" t="s">
        <v>112</v>
      </c>
      <c r="F664" s="5" t="s">
        <v>23</v>
      </c>
      <c r="G664" t="s">
        <v>2038</v>
      </c>
      <c r="H664" s="5" t="s">
        <v>3677</v>
      </c>
      <c r="I664" s="5" t="s">
        <v>359</v>
      </c>
      <c r="J664" s="5" t="s">
        <v>360</v>
      </c>
      <c r="K664" s="5" t="s">
        <v>103</v>
      </c>
      <c r="L664">
        <v>1</v>
      </c>
      <c r="M664">
        <v>66.3</v>
      </c>
      <c r="N664" s="8">
        <v>3.31</v>
      </c>
      <c r="O664" s="8">
        <v>62.989999999999988</v>
      </c>
      <c r="P664" s="8">
        <v>3.15</v>
      </c>
      <c r="Q664" s="10">
        <v>30</v>
      </c>
      <c r="R664" s="10">
        <v>5</v>
      </c>
      <c r="S664" s="8">
        <v>101.14</v>
      </c>
      <c r="T664">
        <v>19</v>
      </c>
      <c r="U664" t="str">
        <f t="shared" si="10"/>
        <v>Thursday</v>
      </c>
    </row>
    <row r="665" spans="1:21" x14ac:dyDescent="0.3">
      <c r="A665" s="5" t="s">
        <v>2039</v>
      </c>
      <c r="B665" s="3" t="s">
        <v>3699</v>
      </c>
      <c r="C665" s="5" t="s">
        <v>362</v>
      </c>
      <c r="D665" s="5" t="s">
        <v>82</v>
      </c>
      <c r="E665" s="5" t="s">
        <v>83</v>
      </c>
      <c r="F665" s="5" t="s">
        <v>23</v>
      </c>
      <c r="G665" t="s">
        <v>2040</v>
      </c>
      <c r="H665" s="5" t="s">
        <v>25</v>
      </c>
      <c r="I665" s="5" t="s">
        <v>364</v>
      </c>
      <c r="J665" s="5" t="s">
        <v>365</v>
      </c>
      <c r="K665" s="5" t="s">
        <v>40</v>
      </c>
      <c r="L665">
        <v>2</v>
      </c>
      <c r="M665">
        <v>110.5</v>
      </c>
      <c r="N665" s="8">
        <v>11.05</v>
      </c>
      <c r="O665" s="8">
        <v>209.95</v>
      </c>
      <c r="P665" s="8">
        <v>10.5</v>
      </c>
      <c r="Q665" s="10">
        <v>0</v>
      </c>
      <c r="R665" s="10">
        <v>0</v>
      </c>
      <c r="S665" s="8">
        <v>220.45</v>
      </c>
      <c r="T665">
        <v>24</v>
      </c>
      <c r="U665" t="str">
        <f t="shared" si="10"/>
        <v>Sunday</v>
      </c>
    </row>
    <row r="666" spans="1:21" x14ac:dyDescent="0.3">
      <c r="A666" s="5" t="s">
        <v>2041</v>
      </c>
      <c r="B666" s="3" t="s">
        <v>3691</v>
      </c>
      <c r="C666" s="5" t="s">
        <v>367</v>
      </c>
      <c r="D666" s="5" t="s">
        <v>21</v>
      </c>
      <c r="E666" s="5" t="s">
        <v>36</v>
      </c>
      <c r="F666" s="5" t="s">
        <v>42</v>
      </c>
      <c r="G666" t="s">
        <v>2042</v>
      </c>
      <c r="H666" s="5" t="s">
        <v>3675</v>
      </c>
      <c r="I666" s="5" t="s">
        <v>369</v>
      </c>
      <c r="J666" s="5" t="s">
        <v>370</v>
      </c>
      <c r="K666" s="5" t="s">
        <v>40</v>
      </c>
      <c r="L666">
        <v>1</v>
      </c>
      <c r="M666">
        <v>182.71</v>
      </c>
      <c r="N666" s="8">
        <v>9.14</v>
      </c>
      <c r="O666" s="8">
        <v>173.57</v>
      </c>
      <c r="P666" s="8">
        <v>8.68</v>
      </c>
      <c r="Q666" s="10">
        <v>30</v>
      </c>
      <c r="R666" s="10">
        <v>0</v>
      </c>
      <c r="S666" s="8">
        <v>212.25</v>
      </c>
      <c r="T666">
        <v>25</v>
      </c>
      <c r="U666" t="str">
        <f t="shared" si="10"/>
        <v>Friday</v>
      </c>
    </row>
    <row r="667" spans="1:21" x14ac:dyDescent="0.3">
      <c r="A667" s="5" t="s">
        <v>2043</v>
      </c>
      <c r="B667" s="3" t="s">
        <v>3732</v>
      </c>
      <c r="C667" s="5" t="s">
        <v>372</v>
      </c>
      <c r="D667" s="5" t="s">
        <v>21</v>
      </c>
      <c r="E667" s="5" t="s">
        <v>112</v>
      </c>
      <c r="F667" s="5" t="s">
        <v>42</v>
      </c>
      <c r="G667" t="s">
        <v>2044</v>
      </c>
      <c r="H667" s="5" t="s">
        <v>3673</v>
      </c>
      <c r="I667" s="5" t="s">
        <v>374</v>
      </c>
      <c r="J667" s="5" t="s">
        <v>375</v>
      </c>
      <c r="K667" s="5" t="s">
        <v>56</v>
      </c>
      <c r="L667">
        <v>1</v>
      </c>
      <c r="M667">
        <v>122.48</v>
      </c>
      <c r="N667" s="8">
        <v>6.12</v>
      </c>
      <c r="O667" s="8">
        <v>116.36</v>
      </c>
      <c r="P667" s="8">
        <v>5.82</v>
      </c>
      <c r="Q667" s="10">
        <v>30</v>
      </c>
      <c r="R667" s="10">
        <v>10</v>
      </c>
      <c r="S667" s="8">
        <v>162.18</v>
      </c>
      <c r="T667">
        <v>29</v>
      </c>
      <c r="U667" t="str">
        <f t="shared" si="10"/>
        <v>Wednesday</v>
      </c>
    </row>
    <row r="668" spans="1:21" x14ac:dyDescent="0.3">
      <c r="A668" s="5" t="s">
        <v>2045</v>
      </c>
      <c r="B668" s="3" t="s">
        <v>3698</v>
      </c>
      <c r="C668" s="5" t="s">
        <v>377</v>
      </c>
      <c r="D668" s="5" t="s">
        <v>21</v>
      </c>
      <c r="E668" s="5" t="s">
        <v>76</v>
      </c>
      <c r="F668" s="5" t="s">
        <v>42</v>
      </c>
      <c r="G668" t="s">
        <v>2046</v>
      </c>
      <c r="H668" s="5" t="s">
        <v>3674</v>
      </c>
      <c r="I668" s="5" t="s">
        <v>379</v>
      </c>
      <c r="J668" s="5" t="s">
        <v>380</v>
      </c>
      <c r="K668" s="5" t="s">
        <v>28</v>
      </c>
      <c r="L668">
        <v>3</v>
      </c>
      <c r="M668">
        <v>103.94</v>
      </c>
      <c r="N668" s="8">
        <v>5.2</v>
      </c>
      <c r="O668" s="8">
        <v>306.62</v>
      </c>
      <c r="P668" s="8">
        <v>15.33</v>
      </c>
      <c r="Q668" s="10">
        <v>20</v>
      </c>
      <c r="R668" s="10">
        <v>0</v>
      </c>
      <c r="S668" s="8">
        <v>341.95</v>
      </c>
      <c r="T668">
        <v>10</v>
      </c>
      <c r="U668" t="str">
        <f t="shared" si="10"/>
        <v>Sunday</v>
      </c>
    </row>
    <row r="669" spans="1:21" x14ac:dyDescent="0.3">
      <c r="A669" s="5" t="s">
        <v>2047</v>
      </c>
      <c r="B669" s="3" t="s">
        <v>3690</v>
      </c>
      <c r="C669" s="5" t="s">
        <v>382</v>
      </c>
      <c r="D669" s="5" t="s">
        <v>21</v>
      </c>
      <c r="E669" s="5" t="s">
        <v>69</v>
      </c>
      <c r="F669" s="5" t="s">
        <v>37</v>
      </c>
      <c r="G669" t="s">
        <v>2048</v>
      </c>
      <c r="H669" s="5" t="s">
        <v>3674</v>
      </c>
      <c r="I669" s="5" t="s">
        <v>383</v>
      </c>
      <c r="J669" s="5" t="s">
        <v>384</v>
      </c>
      <c r="K669" s="5" t="s">
        <v>196</v>
      </c>
      <c r="L669">
        <v>3</v>
      </c>
      <c r="M669">
        <v>192.61</v>
      </c>
      <c r="N669" s="8">
        <v>28.89</v>
      </c>
      <c r="O669" s="8">
        <v>548.94000000000005</v>
      </c>
      <c r="P669" s="8">
        <v>27.45</v>
      </c>
      <c r="Q669" s="10">
        <v>0</v>
      </c>
      <c r="R669" s="10">
        <v>10</v>
      </c>
      <c r="S669" s="8">
        <v>586.3900000000001</v>
      </c>
      <c r="T669">
        <v>22</v>
      </c>
      <c r="U669" t="str">
        <f t="shared" si="10"/>
        <v>Sunday</v>
      </c>
    </row>
    <row r="670" spans="1:21" x14ac:dyDescent="0.3">
      <c r="A670" s="5" t="s">
        <v>2049</v>
      </c>
      <c r="B670" s="3" t="s">
        <v>3727</v>
      </c>
      <c r="C670" s="5" t="s">
        <v>386</v>
      </c>
      <c r="D670" s="5" t="s">
        <v>82</v>
      </c>
      <c r="E670" s="5" t="s">
        <v>83</v>
      </c>
      <c r="F670" s="5" t="s">
        <v>23</v>
      </c>
      <c r="G670" t="s">
        <v>2050</v>
      </c>
      <c r="H670" s="5" t="s">
        <v>100</v>
      </c>
      <c r="I670" s="5" t="s">
        <v>388</v>
      </c>
      <c r="J670" s="5" t="s">
        <v>389</v>
      </c>
      <c r="K670" s="5" t="s">
        <v>28</v>
      </c>
      <c r="L670">
        <v>1</v>
      </c>
      <c r="M670">
        <v>77.27</v>
      </c>
      <c r="N670" s="8">
        <v>3.86</v>
      </c>
      <c r="O670" s="8">
        <v>73.41</v>
      </c>
      <c r="P670" s="8">
        <v>3.67</v>
      </c>
      <c r="Q670" s="10">
        <v>0</v>
      </c>
      <c r="R670" s="10">
        <v>5</v>
      </c>
      <c r="S670" s="8">
        <v>82.08</v>
      </c>
      <c r="T670">
        <v>5</v>
      </c>
      <c r="U670" t="str">
        <f t="shared" si="10"/>
        <v>Friday</v>
      </c>
    </row>
    <row r="671" spans="1:21" x14ac:dyDescent="0.3">
      <c r="A671" s="5" t="s">
        <v>2051</v>
      </c>
      <c r="B671" s="3" t="s">
        <v>3680</v>
      </c>
      <c r="C671" s="5" t="s">
        <v>391</v>
      </c>
      <c r="D671" s="5" t="s">
        <v>21</v>
      </c>
      <c r="E671" s="5" t="s">
        <v>76</v>
      </c>
      <c r="F671" s="5" t="s">
        <v>37</v>
      </c>
      <c r="G671" t="s">
        <v>2052</v>
      </c>
      <c r="H671" s="5" t="s">
        <v>3675</v>
      </c>
      <c r="I671" s="5" t="s">
        <v>393</v>
      </c>
      <c r="J671" s="5" t="s">
        <v>394</v>
      </c>
      <c r="K671" s="5" t="s">
        <v>45</v>
      </c>
      <c r="L671">
        <v>1</v>
      </c>
      <c r="M671">
        <v>59.54</v>
      </c>
      <c r="N671" s="8">
        <v>5.95</v>
      </c>
      <c r="O671" s="8">
        <v>53.59</v>
      </c>
      <c r="P671" s="8">
        <v>2.68</v>
      </c>
      <c r="Q671" s="10">
        <v>30</v>
      </c>
      <c r="R671" s="10">
        <v>10</v>
      </c>
      <c r="S671" s="8">
        <v>96.27</v>
      </c>
      <c r="T671">
        <v>24.67</v>
      </c>
      <c r="U671" t="str">
        <f t="shared" si="10"/>
        <v>Wednesday</v>
      </c>
    </row>
    <row r="672" spans="1:21" x14ac:dyDescent="0.3">
      <c r="A672" s="5" t="s">
        <v>2053</v>
      </c>
      <c r="B672" s="3" t="s">
        <v>3694</v>
      </c>
      <c r="C672" s="5" t="s">
        <v>396</v>
      </c>
      <c r="D672" s="5" t="s">
        <v>21</v>
      </c>
      <c r="E672" s="5" t="s">
        <v>69</v>
      </c>
      <c r="F672" s="5" t="s">
        <v>37</v>
      </c>
      <c r="G672" t="s">
        <v>2054</v>
      </c>
      <c r="H672" s="5" t="s">
        <v>25</v>
      </c>
      <c r="I672" s="5" t="s">
        <v>398</v>
      </c>
      <c r="J672" s="5" t="s">
        <v>399</v>
      </c>
      <c r="K672" s="5" t="s">
        <v>45</v>
      </c>
      <c r="L672">
        <v>1</v>
      </c>
      <c r="M672">
        <v>170.49</v>
      </c>
      <c r="N672" s="8">
        <v>8.52</v>
      </c>
      <c r="O672" s="8">
        <v>161.97</v>
      </c>
      <c r="P672" s="8">
        <v>8.1</v>
      </c>
      <c r="Q672" s="10">
        <v>20</v>
      </c>
      <c r="R672" s="10">
        <v>10</v>
      </c>
      <c r="S672" s="8">
        <v>200.07</v>
      </c>
      <c r="T672">
        <v>28</v>
      </c>
      <c r="U672" t="str">
        <f t="shared" si="10"/>
        <v>Thursday</v>
      </c>
    </row>
    <row r="673" spans="1:21" x14ac:dyDescent="0.3">
      <c r="A673" s="5" t="s">
        <v>2055</v>
      </c>
      <c r="B673" s="3" t="s">
        <v>3725</v>
      </c>
      <c r="C673" s="5" t="s">
        <v>401</v>
      </c>
      <c r="D673" s="5" t="s">
        <v>21</v>
      </c>
      <c r="E673" s="5" t="s">
        <v>112</v>
      </c>
      <c r="F673" s="5" t="s">
        <v>37</v>
      </c>
      <c r="G673" t="s">
        <v>2056</v>
      </c>
      <c r="H673" s="5" t="s">
        <v>3674</v>
      </c>
      <c r="I673" s="5" t="s">
        <v>403</v>
      </c>
      <c r="J673" s="5" t="s">
        <v>404</v>
      </c>
      <c r="K673" s="5" t="s">
        <v>73</v>
      </c>
      <c r="L673">
        <v>6</v>
      </c>
      <c r="M673">
        <v>110.64</v>
      </c>
      <c r="N673" s="8">
        <v>5.53</v>
      </c>
      <c r="O673" s="8">
        <v>658.31000000000006</v>
      </c>
      <c r="P673" s="8">
        <v>32.92</v>
      </c>
      <c r="Q673" s="10">
        <v>0</v>
      </c>
      <c r="R673" s="10">
        <v>5</v>
      </c>
      <c r="S673" s="8">
        <v>696.23</v>
      </c>
      <c r="T673">
        <v>24.67</v>
      </c>
      <c r="U673" t="str">
        <f t="shared" si="10"/>
        <v>Wednesday</v>
      </c>
    </row>
    <row r="674" spans="1:21" x14ac:dyDescent="0.3">
      <c r="A674" s="5" t="s">
        <v>2057</v>
      </c>
      <c r="B674" s="3" t="s">
        <v>3734</v>
      </c>
      <c r="C674" s="5" t="s">
        <v>406</v>
      </c>
      <c r="D674" s="5" t="s">
        <v>106</v>
      </c>
      <c r="E674" s="5" t="s">
        <v>83</v>
      </c>
      <c r="F674" s="5" t="s">
        <v>37</v>
      </c>
      <c r="G674" t="s">
        <v>2058</v>
      </c>
      <c r="H674" s="5" t="s">
        <v>3676</v>
      </c>
      <c r="I674" s="5" t="s">
        <v>408</v>
      </c>
      <c r="J674" s="5" t="s">
        <v>409</v>
      </c>
      <c r="K674" s="5" t="s">
        <v>45</v>
      </c>
      <c r="L674">
        <v>5</v>
      </c>
      <c r="M674">
        <v>138.79</v>
      </c>
      <c r="N674" s="8">
        <v>0</v>
      </c>
      <c r="O674" s="8">
        <v>693.94999999999993</v>
      </c>
      <c r="P674" s="8">
        <v>34.700000000000003</v>
      </c>
      <c r="Q674" s="10">
        <v>30</v>
      </c>
      <c r="R674" s="10">
        <v>0</v>
      </c>
      <c r="S674" s="8">
        <v>758.65</v>
      </c>
      <c r="T674">
        <v>25</v>
      </c>
      <c r="U674" t="str">
        <f t="shared" si="10"/>
        <v>Monday</v>
      </c>
    </row>
    <row r="675" spans="1:21" x14ac:dyDescent="0.3">
      <c r="A675" s="5" t="s">
        <v>2059</v>
      </c>
      <c r="B675" s="3" t="s">
        <v>3699</v>
      </c>
      <c r="C675" s="5" t="s">
        <v>411</v>
      </c>
      <c r="D675" s="5" t="s">
        <v>21</v>
      </c>
      <c r="E675" s="5" t="s">
        <v>112</v>
      </c>
      <c r="F675" s="5" t="s">
        <v>42</v>
      </c>
      <c r="G675" t="s">
        <v>2060</v>
      </c>
      <c r="H675" s="5" t="s">
        <v>3673</v>
      </c>
      <c r="I675" s="5" t="s">
        <v>413</v>
      </c>
      <c r="J675" s="5" t="s">
        <v>414</v>
      </c>
      <c r="K675" s="5" t="s">
        <v>28</v>
      </c>
      <c r="L675">
        <v>4</v>
      </c>
      <c r="M675">
        <v>71.62</v>
      </c>
      <c r="N675" s="8">
        <v>10.74</v>
      </c>
      <c r="O675" s="8">
        <v>275.74</v>
      </c>
      <c r="P675" s="8">
        <v>13.79</v>
      </c>
      <c r="Q675" s="10">
        <v>20</v>
      </c>
      <c r="R675" s="10">
        <v>5</v>
      </c>
      <c r="S675" s="8">
        <v>314.52999999999997</v>
      </c>
      <c r="T675">
        <v>11</v>
      </c>
      <c r="U675" t="str">
        <f t="shared" si="10"/>
        <v>Sunday</v>
      </c>
    </row>
    <row r="676" spans="1:21" x14ac:dyDescent="0.3">
      <c r="A676" s="5" t="s">
        <v>2061</v>
      </c>
      <c r="B676" s="3" t="s">
        <v>3728</v>
      </c>
      <c r="C676" s="5" t="s">
        <v>416</v>
      </c>
      <c r="D676" s="5" t="s">
        <v>21</v>
      </c>
      <c r="E676" s="5" t="s">
        <v>36</v>
      </c>
      <c r="F676" s="5" t="s">
        <v>23</v>
      </c>
      <c r="G676" t="s">
        <v>2062</v>
      </c>
      <c r="H676" s="5" t="s">
        <v>3673</v>
      </c>
      <c r="I676" s="5" t="s">
        <v>418</v>
      </c>
      <c r="J676" s="5" t="s">
        <v>419</v>
      </c>
      <c r="K676" s="5" t="s">
        <v>145</v>
      </c>
      <c r="L676">
        <v>3</v>
      </c>
      <c r="M676">
        <v>96.73</v>
      </c>
      <c r="N676" s="8">
        <v>0</v>
      </c>
      <c r="O676" s="8">
        <v>290.19</v>
      </c>
      <c r="P676" s="8">
        <v>14.51</v>
      </c>
      <c r="Q676" s="10">
        <v>30</v>
      </c>
      <c r="R676" s="10">
        <v>5</v>
      </c>
      <c r="S676" s="8">
        <v>339.7</v>
      </c>
      <c r="T676">
        <v>40</v>
      </c>
      <c r="U676" t="str">
        <f t="shared" si="10"/>
        <v>Friday</v>
      </c>
    </row>
    <row r="677" spans="1:21" x14ac:dyDescent="0.3">
      <c r="A677" s="5" t="s">
        <v>2063</v>
      </c>
      <c r="B677" s="3" t="s">
        <v>3737</v>
      </c>
      <c r="C677" s="5" t="s">
        <v>421</v>
      </c>
      <c r="D677" s="5" t="s">
        <v>21</v>
      </c>
      <c r="E677" s="5" t="s">
        <v>76</v>
      </c>
      <c r="F677" s="5" t="s">
        <v>37</v>
      </c>
      <c r="G677" t="s">
        <v>2064</v>
      </c>
      <c r="H677" s="5" t="s">
        <v>3677</v>
      </c>
      <c r="I677" s="5" t="s">
        <v>423</v>
      </c>
      <c r="J677" s="5" t="s">
        <v>424</v>
      </c>
      <c r="K677" s="5" t="s">
        <v>45</v>
      </c>
      <c r="L677">
        <v>1</v>
      </c>
      <c r="M677">
        <v>42.37</v>
      </c>
      <c r="N677" s="8">
        <v>0</v>
      </c>
      <c r="O677" s="8">
        <v>42.37</v>
      </c>
      <c r="P677" s="8">
        <v>2.12</v>
      </c>
      <c r="Q677" s="10">
        <v>30</v>
      </c>
      <c r="R677" s="10">
        <v>20</v>
      </c>
      <c r="S677" s="8">
        <v>94.49</v>
      </c>
      <c r="T677">
        <v>12</v>
      </c>
      <c r="U677" t="str">
        <f t="shared" si="10"/>
        <v>Saturday</v>
      </c>
    </row>
    <row r="678" spans="1:21" x14ac:dyDescent="0.3">
      <c r="A678" s="5" t="s">
        <v>2065</v>
      </c>
      <c r="B678" s="3" t="s">
        <v>3693</v>
      </c>
      <c r="C678" s="5" t="s">
        <v>426</v>
      </c>
      <c r="D678" s="5" t="s">
        <v>21</v>
      </c>
      <c r="E678" s="5" t="s">
        <v>36</v>
      </c>
      <c r="F678" s="5" t="s">
        <v>37</v>
      </c>
      <c r="G678" t="s">
        <v>2066</v>
      </c>
      <c r="H678" s="5" t="s">
        <v>100</v>
      </c>
      <c r="I678" s="5" t="s">
        <v>427</v>
      </c>
      <c r="J678" s="5" t="s">
        <v>428</v>
      </c>
      <c r="K678" s="5" t="s">
        <v>196</v>
      </c>
      <c r="L678">
        <v>4</v>
      </c>
      <c r="M678">
        <v>140.43</v>
      </c>
      <c r="N678" s="8">
        <v>0</v>
      </c>
      <c r="O678" s="8">
        <v>561.72</v>
      </c>
      <c r="P678" s="8">
        <v>28.09</v>
      </c>
      <c r="Q678" s="10">
        <v>10</v>
      </c>
      <c r="R678" s="10">
        <v>5</v>
      </c>
      <c r="S678" s="8">
        <v>604.81000000000006</v>
      </c>
      <c r="T678">
        <v>24.67</v>
      </c>
      <c r="U678" t="str">
        <f t="shared" si="10"/>
        <v>Thursday</v>
      </c>
    </row>
    <row r="679" spans="1:21" x14ac:dyDescent="0.3">
      <c r="A679" s="5" t="s">
        <v>2067</v>
      </c>
      <c r="B679" s="3" t="s">
        <v>3709</v>
      </c>
      <c r="C679" s="5" t="s">
        <v>430</v>
      </c>
      <c r="D679" s="5" t="s">
        <v>21</v>
      </c>
      <c r="E679" s="5" t="s">
        <v>36</v>
      </c>
      <c r="F679" s="5" t="s">
        <v>23</v>
      </c>
      <c r="G679" t="s">
        <v>2068</v>
      </c>
      <c r="H679" s="5" t="s">
        <v>3673</v>
      </c>
      <c r="I679" s="5" t="s">
        <v>432</v>
      </c>
      <c r="J679" s="5" t="s">
        <v>433</v>
      </c>
      <c r="K679" s="5" t="s">
        <v>45</v>
      </c>
      <c r="L679">
        <v>3</v>
      </c>
      <c r="M679">
        <v>52.28</v>
      </c>
      <c r="N679" s="8">
        <v>0</v>
      </c>
      <c r="O679" s="8">
        <v>156.84</v>
      </c>
      <c r="P679" s="8">
        <v>7.84</v>
      </c>
      <c r="Q679" s="10">
        <v>30</v>
      </c>
      <c r="R679" s="10">
        <v>15</v>
      </c>
      <c r="S679" s="8">
        <v>209.68</v>
      </c>
      <c r="T679">
        <v>13</v>
      </c>
      <c r="U679" t="str">
        <f t="shared" si="10"/>
        <v>Thursday</v>
      </c>
    </row>
    <row r="680" spans="1:21" x14ac:dyDescent="0.3">
      <c r="A680" s="5" t="s">
        <v>2069</v>
      </c>
      <c r="B680" s="3" t="s">
        <v>3718</v>
      </c>
      <c r="C680" s="5" t="s">
        <v>435</v>
      </c>
      <c r="D680" s="5" t="s">
        <v>21</v>
      </c>
      <c r="E680" s="5" t="s">
        <v>22</v>
      </c>
      <c r="F680" s="5" t="s">
        <v>23</v>
      </c>
      <c r="G680" t="s">
        <v>2070</v>
      </c>
      <c r="H680" s="5" t="s">
        <v>3673</v>
      </c>
      <c r="I680" s="5" t="s">
        <v>437</v>
      </c>
      <c r="J680" s="5" t="s">
        <v>438</v>
      </c>
      <c r="K680" s="5" t="s">
        <v>73</v>
      </c>
      <c r="L680">
        <v>2</v>
      </c>
      <c r="M680">
        <v>69.88</v>
      </c>
      <c r="N680" s="8">
        <v>3.49</v>
      </c>
      <c r="O680" s="8">
        <v>136.27000000000001</v>
      </c>
      <c r="P680" s="8">
        <v>6.81</v>
      </c>
      <c r="Q680" s="10">
        <v>20</v>
      </c>
      <c r="R680" s="10">
        <v>10</v>
      </c>
      <c r="S680" s="8">
        <v>173.08</v>
      </c>
      <c r="T680">
        <v>24.67</v>
      </c>
      <c r="U680" t="str">
        <f t="shared" si="10"/>
        <v>Wednesday</v>
      </c>
    </row>
    <row r="681" spans="1:21" x14ac:dyDescent="0.3">
      <c r="A681" s="5" t="s">
        <v>2071</v>
      </c>
      <c r="B681" s="3" t="s">
        <v>3721</v>
      </c>
      <c r="C681" s="5" t="s">
        <v>440</v>
      </c>
      <c r="D681" s="5" t="s">
        <v>21</v>
      </c>
      <c r="E681" s="5" t="s">
        <v>36</v>
      </c>
      <c r="F681" s="5" t="s">
        <v>37</v>
      </c>
      <c r="G681" t="s">
        <v>2072</v>
      </c>
      <c r="H681" s="5" t="s">
        <v>3673</v>
      </c>
      <c r="I681" s="5" t="s">
        <v>442</v>
      </c>
      <c r="J681" s="5" t="s">
        <v>443</v>
      </c>
      <c r="K681" s="5" t="s">
        <v>45</v>
      </c>
      <c r="L681">
        <v>3</v>
      </c>
      <c r="M681">
        <v>134.75</v>
      </c>
      <c r="N681" s="8">
        <v>6.74</v>
      </c>
      <c r="O681" s="8">
        <v>397.51</v>
      </c>
      <c r="P681" s="8">
        <v>19.88</v>
      </c>
      <c r="Q681" s="10">
        <v>30</v>
      </c>
      <c r="R681" s="10">
        <v>20</v>
      </c>
      <c r="S681" s="8">
        <v>467.39</v>
      </c>
      <c r="T681">
        <v>24.67</v>
      </c>
      <c r="U681" t="str">
        <f t="shared" si="10"/>
        <v>Tuesday</v>
      </c>
    </row>
    <row r="682" spans="1:21" x14ac:dyDescent="0.3">
      <c r="A682" s="5" t="s">
        <v>2073</v>
      </c>
      <c r="B682" s="3" t="s">
        <v>3685</v>
      </c>
      <c r="C682" s="5" t="s">
        <v>445</v>
      </c>
      <c r="D682" s="5" t="s">
        <v>21</v>
      </c>
      <c r="E682" s="5" t="s">
        <v>69</v>
      </c>
      <c r="F682" s="5" t="s">
        <v>3671</v>
      </c>
      <c r="G682" t="s">
        <v>2074</v>
      </c>
      <c r="H682" s="5" t="s">
        <v>3673</v>
      </c>
      <c r="I682" s="5" t="s">
        <v>447</v>
      </c>
      <c r="J682" s="5" t="s">
        <v>448</v>
      </c>
      <c r="K682" s="5" t="s">
        <v>45</v>
      </c>
      <c r="L682">
        <v>1</v>
      </c>
      <c r="M682">
        <v>156.31</v>
      </c>
      <c r="N682" s="8">
        <v>15.63</v>
      </c>
      <c r="O682" s="8">
        <v>140.68</v>
      </c>
      <c r="P682" s="8">
        <v>7.03</v>
      </c>
      <c r="Q682" s="10">
        <v>20</v>
      </c>
      <c r="R682" s="10">
        <v>15</v>
      </c>
      <c r="S682" s="8">
        <v>182.71</v>
      </c>
      <c r="T682">
        <v>36</v>
      </c>
      <c r="U682" t="str">
        <f t="shared" si="10"/>
        <v>Thursday</v>
      </c>
    </row>
    <row r="683" spans="1:21" x14ac:dyDescent="0.3">
      <c r="A683" s="5" t="s">
        <v>2075</v>
      </c>
      <c r="B683" s="3" t="s">
        <v>3722</v>
      </c>
      <c r="C683" s="5" t="s">
        <v>450</v>
      </c>
      <c r="D683" s="5" t="s">
        <v>21</v>
      </c>
      <c r="E683" s="5" t="s">
        <v>76</v>
      </c>
      <c r="F683" s="5" t="s">
        <v>37</v>
      </c>
      <c r="G683" t="s">
        <v>2076</v>
      </c>
      <c r="H683" s="5" t="s">
        <v>100</v>
      </c>
      <c r="I683" s="5" t="s">
        <v>452</v>
      </c>
      <c r="J683" s="5" t="s">
        <v>453</v>
      </c>
      <c r="K683" s="5" t="s">
        <v>196</v>
      </c>
      <c r="L683">
        <v>2</v>
      </c>
      <c r="M683">
        <v>162.74</v>
      </c>
      <c r="N683" s="8">
        <v>8.14</v>
      </c>
      <c r="O683" s="8">
        <v>317.33999999999997</v>
      </c>
      <c r="P683" s="8">
        <v>15.87</v>
      </c>
      <c r="Q683" s="10">
        <v>30</v>
      </c>
      <c r="R683" s="10">
        <v>5</v>
      </c>
      <c r="S683" s="8">
        <v>368.21</v>
      </c>
      <c r="T683">
        <v>24.67</v>
      </c>
      <c r="U683" t="str">
        <f t="shared" si="10"/>
        <v>Friday</v>
      </c>
    </row>
    <row r="684" spans="1:21" x14ac:dyDescent="0.3">
      <c r="A684" s="5" t="s">
        <v>2077</v>
      </c>
      <c r="B684" s="3" t="s">
        <v>3719</v>
      </c>
      <c r="C684" s="5" t="s">
        <v>455</v>
      </c>
      <c r="D684" s="5" t="s">
        <v>82</v>
      </c>
      <c r="E684" s="5" t="s">
        <v>83</v>
      </c>
      <c r="F684" s="5" t="s">
        <v>23</v>
      </c>
      <c r="G684" t="s">
        <v>2078</v>
      </c>
      <c r="H684" s="5" t="s">
        <v>100</v>
      </c>
      <c r="I684" s="5" t="s">
        <v>456</v>
      </c>
      <c r="J684" s="5" t="s">
        <v>457</v>
      </c>
      <c r="K684" s="5" t="s">
        <v>28</v>
      </c>
      <c r="L684">
        <v>1</v>
      </c>
      <c r="M684">
        <v>226</v>
      </c>
      <c r="N684" s="8">
        <v>33.9</v>
      </c>
      <c r="O684" s="8">
        <v>192.1</v>
      </c>
      <c r="P684" s="8">
        <v>9.61</v>
      </c>
      <c r="Q684" s="10">
        <v>30</v>
      </c>
      <c r="R684" s="10">
        <v>10</v>
      </c>
      <c r="S684" s="8">
        <v>241.71</v>
      </c>
      <c r="T684">
        <v>40</v>
      </c>
      <c r="U684" t="str">
        <f t="shared" si="10"/>
        <v>Sunday</v>
      </c>
    </row>
    <row r="685" spans="1:21" x14ac:dyDescent="0.3">
      <c r="A685" s="5" t="s">
        <v>2079</v>
      </c>
      <c r="B685" s="3" t="s">
        <v>3681</v>
      </c>
      <c r="C685" s="5" t="s">
        <v>459</v>
      </c>
      <c r="D685" s="5" t="s">
        <v>21</v>
      </c>
      <c r="E685" s="5" t="s">
        <v>36</v>
      </c>
      <c r="F685" s="5" t="s">
        <v>23</v>
      </c>
      <c r="G685" t="s">
        <v>2080</v>
      </c>
      <c r="H685" s="5" t="s">
        <v>3677</v>
      </c>
      <c r="I685" s="5" t="s">
        <v>460</v>
      </c>
      <c r="J685" s="5" t="s">
        <v>461</v>
      </c>
      <c r="K685" s="5" t="s">
        <v>73</v>
      </c>
      <c r="L685">
        <v>5</v>
      </c>
      <c r="M685">
        <v>175.68</v>
      </c>
      <c r="N685" s="8">
        <v>17.57</v>
      </c>
      <c r="O685" s="8">
        <v>860.83</v>
      </c>
      <c r="P685" s="8">
        <v>43.04</v>
      </c>
      <c r="Q685" s="10">
        <v>0</v>
      </c>
      <c r="R685" s="10">
        <v>0</v>
      </c>
      <c r="S685" s="8">
        <v>903.87</v>
      </c>
      <c r="T685">
        <v>24.67</v>
      </c>
      <c r="U685" t="str">
        <f t="shared" si="10"/>
        <v>Wednesday</v>
      </c>
    </row>
    <row r="686" spans="1:21" x14ac:dyDescent="0.3">
      <c r="A686" s="5" t="s">
        <v>2081</v>
      </c>
      <c r="B686" s="3" t="s">
        <v>3725</v>
      </c>
      <c r="C686" s="5" t="s">
        <v>463</v>
      </c>
      <c r="D686" s="5" t="s">
        <v>21</v>
      </c>
      <c r="E686" s="5" t="s">
        <v>22</v>
      </c>
      <c r="F686" s="5" t="s">
        <v>37</v>
      </c>
      <c r="H686" s="5" t="s">
        <v>3674</v>
      </c>
      <c r="I686" s="5" t="s">
        <v>465</v>
      </c>
      <c r="J686" s="5" t="s">
        <v>466</v>
      </c>
      <c r="K686" s="5" t="s">
        <v>73</v>
      </c>
      <c r="L686">
        <v>4</v>
      </c>
      <c r="M686">
        <v>62.86</v>
      </c>
      <c r="N686" s="8">
        <v>6.29</v>
      </c>
      <c r="O686" s="8">
        <v>245.15</v>
      </c>
      <c r="P686" s="8">
        <v>12.26</v>
      </c>
      <c r="Q686" s="10">
        <v>20</v>
      </c>
      <c r="R686" s="10">
        <v>15</v>
      </c>
      <c r="S686" s="8">
        <v>292.41000000000003</v>
      </c>
      <c r="T686">
        <v>18</v>
      </c>
      <c r="U686" t="str">
        <f t="shared" si="10"/>
        <v>Wednesday</v>
      </c>
    </row>
    <row r="687" spans="1:21" x14ac:dyDescent="0.3">
      <c r="A687" s="5" t="s">
        <v>2082</v>
      </c>
      <c r="B687" s="3" t="s">
        <v>3719</v>
      </c>
      <c r="C687" s="5" t="s">
        <v>468</v>
      </c>
      <c r="D687" s="5" t="s">
        <v>21</v>
      </c>
      <c r="E687" s="5" t="s">
        <v>69</v>
      </c>
      <c r="F687" s="5" t="s">
        <v>42</v>
      </c>
      <c r="G687" t="s">
        <v>2083</v>
      </c>
      <c r="H687" s="5" t="s">
        <v>3673</v>
      </c>
      <c r="I687" s="5" t="s">
        <v>470</v>
      </c>
      <c r="J687" s="5" t="s">
        <v>471</v>
      </c>
      <c r="K687" s="5" t="s">
        <v>145</v>
      </c>
      <c r="L687">
        <v>3</v>
      </c>
      <c r="M687">
        <v>198.55</v>
      </c>
      <c r="N687" s="8">
        <v>19.86</v>
      </c>
      <c r="O687" s="8">
        <v>575.79000000000008</v>
      </c>
      <c r="P687" s="8">
        <v>28.79</v>
      </c>
      <c r="Q687" s="10">
        <v>20</v>
      </c>
      <c r="R687" s="10">
        <v>20</v>
      </c>
      <c r="S687" s="8">
        <v>644.58000000000004</v>
      </c>
      <c r="T687">
        <v>20</v>
      </c>
      <c r="U687" t="str">
        <f t="shared" si="10"/>
        <v>Sunday</v>
      </c>
    </row>
    <row r="688" spans="1:21" x14ac:dyDescent="0.3">
      <c r="A688" s="5" t="s">
        <v>2084</v>
      </c>
      <c r="B688" s="3" t="s">
        <v>3727</v>
      </c>
      <c r="C688" s="5" t="s">
        <v>473</v>
      </c>
      <c r="D688" s="5" t="s">
        <v>21</v>
      </c>
      <c r="E688" s="5" t="s">
        <v>22</v>
      </c>
      <c r="F688" s="5" t="s">
        <v>23</v>
      </c>
      <c r="G688" t="s">
        <v>2085</v>
      </c>
      <c r="H688" s="5" t="s">
        <v>25</v>
      </c>
      <c r="I688" s="5" t="s">
        <v>475</v>
      </c>
      <c r="J688" s="5" t="s">
        <v>476</v>
      </c>
      <c r="K688" s="5" t="s">
        <v>28</v>
      </c>
      <c r="L688">
        <v>4</v>
      </c>
      <c r="M688">
        <v>220.03</v>
      </c>
      <c r="N688" s="8">
        <v>33</v>
      </c>
      <c r="O688" s="8">
        <v>847.12</v>
      </c>
      <c r="P688" s="8">
        <v>42.36</v>
      </c>
      <c r="Q688" s="10">
        <v>20</v>
      </c>
      <c r="R688" s="10">
        <v>5</v>
      </c>
      <c r="S688" s="8">
        <v>914.48</v>
      </c>
      <c r="T688">
        <v>40</v>
      </c>
      <c r="U688" t="str">
        <f t="shared" si="10"/>
        <v>Friday</v>
      </c>
    </row>
    <row r="689" spans="1:21" x14ac:dyDescent="0.3">
      <c r="A689" s="5" t="s">
        <v>2086</v>
      </c>
      <c r="B689" s="3" t="s">
        <v>3719</v>
      </c>
      <c r="C689" s="5" t="s">
        <v>478</v>
      </c>
      <c r="D689" s="5" t="s">
        <v>106</v>
      </c>
      <c r="E689" s="5" t="s">
        <v>83</v>
      </c>
      <c r="F689" s="5" t="s">
        <v>23</v>
      </c>
      <c r="G689" t="s">
        <v>2087</v>
      </c>
      <c r="H689" s="5" t="s">
        <v>3674</v>
      </c>
      <c r="I689" s="5" t="s">
        <v>480</v>
      </c>
      <c r="J689" s="5" t="s">
        <v>481</v>
      </c>
      <c r="K689" s="5" t="s">
        <v>196</v>
      </c>
      <c r="L689">
        <v>1</v>
      </c>
      <c r="M689">
        <v>229.66</v>
      </c>
      <c r="N689" s="8">
        <v>11.48</v>
      </c>
      <c r="O689" s="8">
        <v>218.18</v>
      </c>
      <c r="P689" s="8">
        <v>10.91</v>
      </c>
      <c r="Q689" s="10">
        <v>20</v>
      </c>
      <c r="R689" s="10">
        <v>15</v>
      </c>
      <c r="S689" s="8">
        <v>264.08999999999997</v>
      </c>
      <c r="T689">
        <v>24.67</v>
      </c>
      <c r="U689" t="str">
        <f t="shared" si="10"/>
        <v>Sunday</v>
      </c>
    </row>
    <row r="690" spans="1:21" x14ac:dyDescent="0.3">
      <c r="A690" s="5" t="s">
        <v>2088</v>
      </c>
      <c r="B690" s="3" t="s">
        <v>3726</v>
      </c>
      <c r="C690" s="5" t="s">
        <v>483</v>
      </c>
      <c r="D690" s="5" t="s">
        <v>21</v>
      </c>
      <c r="E690" s="5" t="s">
        <v>69</v>
      </c>
      <c r="F690" s="5" t="s">
        <v>23</v>
      </c>
      <c r="G690" t="s">
        <v>2089</v>
      </c>
      <c r="H690" s="5" t="s">
        <v>3676</v>
      </c>
      <c r="I690" s="5" t="s">
        <v>485</v>
      </c>
      <c r="J690" s="5" t="s">
        <v>486</v>
      </c>
      <c r="K690" s="5" t="s">
        <v>45</v>
      </c>
      <c r="L690">
        <v>1</v>
      </c>
      <c r="M690">
        <v>163.29</v>
      </c>
      <c r="N690" s="8">
        <v>24.49</v>
      </c>
      <c r="O690" s="8">
        <v>138.80000000000001</v>
      </c>
      <c r="P690" s="8">
        <v>6.94</v>
      </c>
      <c r="Q690" s="10">
        <v>0</v>
      </c>
      <c r="R690" s="10">
        <v>15</v>
      </c>
      <c r="S690" s="8">
        <v>160.74</v>
      </c>
      <c r="T690">
        <v>23</v>
      </c>
      <c r="U690" t="str">
        <f t="shared" si="10"/>
        <v>Monday</v>
      </c>
    </row>
    <row r="691" spans="1:21" x14ac:dyDescent="0.3">
      <c r="A691" s="5" t="s">
        <v>2090</v>
      </c>
      <c r="B691" s="3" t="s">
        <v>3709</v>
      </c>
      <c r="C691" s="5" t="s">
        <v>488</v>
      </c>
      <c r="D691" s="5" t="s">
        <v>21</v>
      </c>
      <c r="E691" s="5" t="s">
        <v>69</v>
      </c>
      <c r="F691" s="5" t="s">
        <v>23</v>
      </c>
      <c r="H691" s="5" t="s">
        <v>3677</v>
      </c>
      <c r="I691" s="5" t="s">
        <v>490</v>
      </c>
      <c r="J691" s="5" t="s">
        <v>491</v>
      </c>
      <c r="K691" s="5" t="s">
        <v>56</v>
      </c>
      <c r="L691">
        <v>3</v>
      </c>
      <c r="M691">
        <v>71.510000000000005</v>
      </c>
      <c r="N691" s="8">
        <v>7.15</v>
      </c>
      <c r="O691" s="8">
        <v>207.38</v>
      </c>
      <c r="P691" s="8">
        <v>10.37</v>
      </c>
      <c r="Q691" s="10">
        <v>0</v>
      </c>
      <c r="R691" s="10">
        <v>15</v>
      </c>
      <c r="S691" s="8">
        <v>232.75</v>
      </c>
      <c r="T691">
        <v>32</v>
      </c>
      <c r="U691" t="str">
        <f t="shared" si="10"/>
        <v>Thursday</v>
      </c>
    </row>
    <row r="692" spans="1:21" x14ac:dyDescent="0.3">
      <c r="A692" s="5" t="s">
        <v>2091</v>
      </c>
      <c r="B692" s="3" t="s">
        <v>3731</v>
      </c>
      <c r="C692" s="5" t="s">
        <v>493</v>
      </c>
      <c r="D692" s="5" t="s">
        <v>21</v>
      </c>
      <c r="E692" s="5" t="s">
        <v>69</v>
      </c>
      <c r="F692" s="5" t="s">
        <v>37</v>
      </c>
      <c r="G692" t="s">
        <v>2092</v>
      </c>
      <c r="H692" s="5" t="s">
        <v>100</v>
      </c>
      <c r="I692" s="5" t="s">
        <v>495</v>
      </c>
      <c r="J692" s="5" t="s">
        <v>496</v>
      </c>
      <c r="K692" s="5" t="s">
        <v>196</v>
      </c>
      <c r="L692">
        <v>1</v>
      </c>
      <c r="M692">
        <v>156.55000000000001</v>
      </c>
      <c r="N692" s="8">
        <v>23.48</v>
      </c>
      <c r="O692" s="8">
        <v>133.07</v>
      </c>
      <c r="P692" s="8">
        <v>6.65</v>
      </c>
      <c r="Q692" s="10">
        <v>20</v>
      </c>
      <c r="R692" s="10">
        <v>15</v>
      </c>
      <c r="S692" s="8">
        <v>174.72</v>
      </c>
      <c r="T692">
        <v>16</v>
      </c>
      <c r="U692" t="str">
        <f t="shared" si="10"/>
        <v>Monday</v>
      </c>
    </row>
    <row r="693" spans="1:21" x14ac:dyDescent="0.3">
      <c r="A693" s="5" t="s">
        <v>2093</v>
      </c>
      <c r="B693" s="3" t="s">
        <v>3713</v>
      </c>
      <c r="C693" s="5" t="s">
        <v>498</v>
      </c>
      <c r="D693" s="5" t="s">
        <v>21</v>
      </c>
      <c r="E693" s="5" t="s">
        <v>76</v>
      </c>
      <c r="F693" s="5" t="s">
        <v>3671</v>
      </c>
      <c r="G693" t="s">
        <v>2094</v>
      </c>
      <c r="H693" s="5" t="s">
        <v>3674</v>
      </c>
      <c r="I693" s="5" t="s">
        <v>500</v>
      </c>
      <c r="J693" s="5" t="s">
        <v>501</v>
      </c>
      <c r="K693" s="5" t="s">
        <v>40</v>
      </c>
      <c r="L693">
        <v>5</v>
      </c>
      <c r="M693">
        <v>24.34</v>
      </c>
      <c r="N693" s="8">
        <v>0</v>
      </c>
      <c r="O693" s="8">
        <v>121.7</v>
      </c>
      <c r="P693" s="8">
        <v>6.09</v>
      </c>
      <c r="Q693" s="10">
        <v>20</v>
      </c>
      <c r="R693" s="10">
        <v>5</v>
      </c>
      <c r="S693" s="8">
        <v>152.79</v>
      </c>
      <c r="T693">
        <v>41</v>
      </c>
      <c r="U693" t="str">
        <f t="shared" si="10"/>
        <v>Tuesday</v>
      </c>
    </row>
    <row r="694" spans="1:21" x14ac:dyDescent="0.3">
      <c r="A694" s="5" t="s">
        <v>2095</v>
      </c>
      <c r="B694" s="3" t="s">
        <v>3716</v>
      </c>
      <c r="C694" s="5" t="s">
        <v>503</v>
      </c>
      <c r="D694" s="5" t="s">
        <v>21</v>
      </c>
      <c r="E694" s="5" t="s">
        <v>22</v>
      </c>
      <c r="F694" s="5" t="s">
        <v>42</v>
      </c>
      <c r="G694" t="s">
        <v>2096</v>
      </c>
      <c r="H694" s="5" t="s">
        <v>3673</v>
      </c>
      <c r="I694" s="5" t="s">
        <v>505</v>
      </c>
      <c r="J694" s="5" t="s">
        <v>506</v>
      </c>
      <c r="K694" s="5" t="s">
        <v>145</v>
      </c>
      <c r="L694">
        <v>3</v>
      </c>
      <c r="M694">
        <v>101.78</v>
      </c>
      <c r="N694" s="8">
        <v>0</v>
      </c>
      <c r="O694" s="8">
        <v>305.33999999999997</v>
      </c>
      <c r="P694" s="8">
        <v>15.27</v>
      </c>
      <c r="Q694" s="10">
        <v>20</v>
      </c>
      <c r="R694" s="10">
        <v>20</v>
      </c>
      <c r="S694" s="8">
        <v>360.61</v>
      </c>
      <c r="T694">
        <v>14</v>
      </c>
      <c r="U694" t="str">
        <f t="shared" si="10"/>
        <v>Saturday</v>
      </c>
    </row>
    <row r="695" spans="1:21" x14ac:dyDescent="0.3">
      <c r="A695" s="5" t="s">
        <v>2097</v>
      </c>
      <c r="B695" s="3" t="s">
        <v>3683</v>
      </c>
      <c r="C695" s="5" t="s">
        <v>508</v>
      </c>
      <c r="D695" s="5" t="s">
        <v>21</v>
      </c>
      <c r="E695" s="5" t="s">
        <v>112</v>
      </c>
      <c r="F695" s="5" t="s">
        <v>37</v>
      </c>
      <c r="H695" s="5" t="s">
        <v>100</v>
      </c>
      <c r="I695" s="5" t="s">
        <v>510</v>
      </c>
      <c r="J695" s="5" t="s">
        <v>511</v>
      </c>
      <c r="K695" s="5" t="s">
        <v>145</v>
      </c>
      <c r="L695">
        <v>6</v>
      </c>
      <c r="M695">
        <v>116.46</v>
      </c>
      <c r="N695" s="8">
        <v>5.82</v>
      </c>
      <c r="O695" s="8">
        <v>692.93999999999994</v>
      </c>
      <c r="P695" s="8">
        <v>34.65</v>
      </c>
      <c r="Q695" s="10">
        <v>10</v>
      </c>
      <c r="R695" s="10">
        <v>5</v>
      </c>
      <c r="S695" s="8">
        <v>742.58999999999992</v>
      </c>
      <c r="T695">
        <v>42</v>
      </c>
      <c r="U695" t="str">
        <f t="shared" si="10"/>
        <v>Thursday</v>
      </c>
    </row>
    <row r="696" spans="1:21" x14ac:dyDescent="0.3">
      <c r="A696" s="5" t="s">
        <v>2098</v>
      </c>
      <c r="B696" s="3" t="s">
        <v>3688</v>
      </c>
      <c r="C696" s="5" t="s">
        <v>513</v>
      </c>
      <c r="D696" s="5" t="s">
        <v>21</v>
      </c>
      <c r="E696" s="5" t="s">
        <v>69</v>
      </c>
      <c r="F696" s="5" t="s">
        <v>23</v>
      </c>
      <c r="G696" t="s">
        <v>2099</v>
      </c>
      <c r="H696" s="5" t="s">
        <v>100</v>
      </c>
      <c r="I696" s="5" t="s">
        <v>515</v>
      </c>
      <c r="J696" s="5" t="s">
        <v>516</v>
      </c>
      <c r="K696" s="5" t="s">
        <v>40</v>
      </c>
      <c r="L696">
        <v>3</v>
      </c>
      <c r="M696">
        <v>124.63</v>
      </c>
      <c r="N696" s="8">
        <v>18.690000000000001</v>
      </c>
      <c r="O696" s="8">
        <v>355.2</v>
      </c>
      <c r="P696" s="8">
        <v>17.760000000000002</v>
      </c>
      <c r="Q696" s="10">
        <v>30</v>
      </c>
      <c r="R696" s="10">
        <v>15</v>
      </c>
      <c r="S696" s="8">
        <v>417.96</v>
      </c>
      <c r="T696">
        <v>28</v>
      </c>
      <c r="U696" t="str">
        <f t="shared" si="10"/>
        <v>Saturday</v>
      </c>
    </row>
    <row r="697" spans="1:21" x14ac:dyDescent="0.3">
      <c r="A697" s="5" t="s">
        <v>2100</v>
      </c>
      <c r="B697" s="3" t="s">
        <v>3718</v>
      </c>
      <c r="C697" s="5" t="s">
        <v>518</v>
      </c>
      <c r="D697" s="5" t="s">
        <v>21</v>
      </c>
      <c r="E697" s="5" t="s">
        <v>36</v>
      </c>
      <c r="F697" s="5" t="s">
        <v>42</v>
      </c>
      <c r="G697" t="s">
        <v>2101</v>
      </c>
      <c r="H697" s="5" t="s">
        <v>3676</v>
      </c>
      <c r="I697" s="5" t="s">
        <v>520</v>
      </c>
      <c r="J697" s="5" t="s">
        <v>521</v>
      </c>
      <c r="K697" s="5" t="s">
        <v>40</v>
      </c>
      <c r="L697">
        <v>5</v>
      </c>
      <c r="M697">
        <v>120.75</v>
      </c>
      <c r="N697" s="8">
        <v>0</v>
      </c>
      <c r="O697" s="8">
        <v>603.75</v>
      </c>
      <c r="P697" s="8">
        <v>30.19</v>
      </c>
      <c r="Q697" s="10">
        <v>0</v>
      </c>
      <c r="R697" s="10">
        <v>20</v>
      </c>
      <c r="S697" s="8">
        <v>653.94000000000005</v>
      </c>
      <c r="T697">
        <v>53</v>
      </c>
      <c r="U697" t="str">
        <f t="shared" si="10"/>
        <v>Wednesday</v>
      </c>
    </row>
    <row r="698" spans="1:21" x14ac:dyDescent="0.3">
      <c r="A698" s="5" t="s">
        <v>2102</v>
      </c>
      <c r="B698" s="3" t="s">
        <v>3730</v>
      </c>
      <c r="C698" s="5" t="s">
        <v>523</v>
      </c>
      <c r="D698" s="5" t="s">
        <v>21</v>
      </c>
      <c r="E698" s="5" t="s">
        <v>69</v>
      </c>
      <c r="F698" s="5" t="s">
        <v>42</v>
      </c>
      <c r="G698" t="s">
        <v>2103</v>
      </c>
      <c r="H698" s="5" t="s">
        <v>3674</v>
      </c>
      <c r="I698" s="5" t="s">
        <v>525</v>
      </c>
      <c r="J698" s="5" t="s">
        <v>526</v>
      </c>
      <c r="K698" s="5" t="s">
        <v>45</v>
      </c>
      <c r="L698">
        <v>3</v>
      </c>
      <c r="M698">
        <v>138.66999999999999</v>
      </c>
      <c r="N698" s="8">
        <v>6.93</v>
      </c>
      <c r="O698" s="8">
        <v>409.08</v>
      </c>
      <c r="P698" s="8">
        <v>20.45</v>
      </c>
      <c r="Q698" s="10">
        <v>0</v>
      </c>
      <c r="R698" s="10">
        <v>15</v>
      </c>
      <c r="S698" s="8">
        <v>444.53</v>
      </c>
      <c r="T698">
        <v>24.67</v>
      </c>
      <c r="U698" t="str">
        <f t="shared" si="10"/>
        <v>Friday</v>
      </c>
    </row>
    <row r="699" spans="1:21" x14ac:dyDescent="0.3">
      <c r="A699" s="5" t="s">
        <v>2104</v>
      </c>
      <c r="B699" s="3" t="s">
        <v>3686</v>
      </c>
      <c r="C699" s="5" t="s">
        <v>528</v>
      </c>
      <c r="D699" s="5" t="s">
        <v>21</v>
      </c>
      <c r="E699" s="5" t="s">
        <v>76</v>
      </c>
      <c r="F699" s="5" t="s">
        <v>37</v>
      </c>
      <c r="G699" t="s">
        <v>2105</v>
      </c>
      <c r="H699" s="5" t="s">
        <v>3676</v>
      </c>
      <c r="I699" s="5" t="s">
        <v>530</v>
      </c>
      <c r="J699" s="5" t="s">
        <v>531</v>
      </c>
      <c r="K699" s="5" t="s">
        <v>34</v>
      </c>
      <c r="L699">
        <v>1</v>
      </c>
      <c r="M699">
        <v>182.2</v>
      </c>
      <c r="N699" s="8">
        <v>9.11</v>
      </c>
      <c r="O699" s="8">
        <v>173.09</v>
      </c>
      <c r="P699" s="8">
        <v>8.65</v>
      </c>
      <c r="Q699" s="10">
        <v>10</v>
      </c>
      <c r="R699" s="10">
        <v>10</v>
      </c>
      <c r="S699" s="8">
        <v>201.74</v>
      </c>
      <c r="T699">
        <v>9</v>
      </c>
      <c r="U699" t="str">
        <f t="shared" si="10"/>
        <v>Saturday</v>
      </c>
    </row>
    <row r="700" spans="1:21" x14ac:dyDescent="0.3">
      <c r="A700" s="5" t="s">
        <v>2106</v>
      </c>
      <c r="B700" s="3" t="s">
        <v>3725</v>
      </c>
      <c r="C700" s="5" t="s">
        <v>533</v>
      </c>
      <c r="D700" s="5" t="s">
        <v>21</v>
      </c>
      <c r="E700" s="5" t="s">
        <v>112</v>
      </c>
      <c r="F700" s="5" t="s">
        <v>37</v>
      </c>
      <c r="G700" t="s">
        <v>2107</v>
      </c>
      <c r="H700" s="5" t="s">
        <v>3677</v>
      </c>
      <c r="I700" s="5" t="s">
        <v>535</v>
      </c>
      <c r="J700" s="5" t="s">
        <v>536</v>
      </c>
      <c r="K700" s="5" t="s">
        <v>40</v>
      </c>
      <c r="L700">
        <v>4</v>
      </c>
      <c r="M700">
        <v>142.06</v>
      </c>
      <c r="N700" s="8">
        <v>21.31</v>
      </c>
      <c r="O700" s="8">
        <v>546.93000000000006</v>
      </c>
      <c r="P700" s="8">
        <v>27.35</v>
      </c>
      <c r="Q700" s="10">
        <v>30</v>
      </c>
      <c r="R700" s="10">
        <v>5</v>
      </c>
      <c r="S700" s="8">
        <v>609.28000000000009</v>
      </c>
      <c r="T700">
        <v>26</v>
      </c>
      <c r="U700" t="str">
        <f t="shared" si="10"/>
        <v>Wednesday</v>
      </c>
    </row>
    <row r="701" spans="1:21" x14ac:dyDescent="0.3">
      <c r="A701" s="5" t="s">
        <v>2108</v>
      </c>
      <c r="B701" s="3" t="s">
        <v>3736</v>
      </c>
      <c r="C701" s="5" t="s">
        <v>538</v>
      </c>
      <c r="D701" s="5" t="s">
        <v>21</v>
      </c>
      <c r="E701" s="5" t="s">
        <v>36</v>
      </c>
      <c r="F701" s="5" t="s">
        <v>42</v>
      </c>
      <c r="G701" t="s">
        <v>2109</v>
      </c>
      <c r="H701" s="5" t="s">
        <v>3674</v>
      </c>
      <c r="I701" s="5" t="s">
        <v>539</v>
      </c>
      <c r="J701" s="5" t="s">
        <v>540</v>
      </c>
      <c r="K701" s="5" t="s">
        <v>45</v>
      </c>
      <c r="L701">
        <v>2</v>
      </c>
      <c r="M701">
        <v>128.63</v>
      </c>
      <c r="N701" s="8">
        <v>12.86</v>
      </c>
      <c r="O701" s="8">
        <v>244.4</v>
      </c>
      <c r="P701" s="8">
        <v>12.22</v>
      </c>
      <c r="Q701" s="10">
        <v>20</v>
      </c>
      <c r="R701" s="10">
        <v>5</v>
      </c>
      <c r="S701" s="8">
        <v>281.62</v>
      </c>
      <c r="T701">
        <v>24.67</v>
      </c>
      <c r="U701" t="str">
        <f t="shared" si="10"/>
        <v>Tuesday</v>
      </c>
    </row>
    <row r="702" spans="1:21" x14ac:dyDescent="0.3">
      <c r="A702" s="5" t="s">
        <v>2110</v>
      </c>
      <c r="B702" s="3" t="s">
        <v>3689</v>
      </c>
      <c r="C702" s="5" t="s">
        <v>542</v>
      </c>
      <c r="D702" s="5" t="s">
        <v>21</v>
      </c>
      <c r="E702" s="5" t="s">
        <v>36</v>
      </c>
      <c r="F702" s="5" t="s">
        <v>23</v>
      </c>
      <c r="G702" t="s">
        <v>2111</v>
      </c>
      <c r="H702" s="5" t="s">
        <v>3677</v>
      </c>
      <c r="I702" s="5" t="s">
        <v>544</v>
      </c>
      <c r="J702" s="5" t="s">
        <v>545</v>
      </c>
      <c r="K702" s="5" t="s">
        <v>40</v>
      </c>
      <c r="L702">
        <v>5</v>
      </c>
      <c r="M702">
        <v>224.09</v>
      </c>
      <c r="N702" s="8">
        <v>0</v>
      </c>
      <c r="O702" s="8">
        <v>1120.45</v>
      </c>
      <c r="P702" s="8">
        <v>56.02</v>
      </c>
      <c r="Q702" s="10">
        <v>20</v>
      </c>
      <c r="R702" s="10">
        <v>0</v>
      </c>
      <c r="S702" s="8">
        <v>1196.47</v>
      </c>
      <c r="T702">
        <v>15</v>
      </c>
      <c r="U702" t="str">
        <f t="shared" si="10"/>
        <v>Wednesday</v>
      </c>
    </row>
    <row r="703" spans="1:21" x14ac:dyDescent="0.3">
      <c r="A703" s="5" t="s">
        <v>2112</v>
      </c>
      <c r="B703" s="3" t="s">
        <v>3700</v>
      </c>
      <c r="C703" s="5" t="s">
        <v>547</v>
      </c>
      <c r="D703" s="5" t="s">
        <v>21</v>
      </c>
      <c r="E703" s="5" t="s">
        <v>69</v>
      </c>
      <c r="F703" s="5" t="s">
        <v>37</v>
      </c>
      <c r="G703" t="s">
        <v>2113</v>
      </c>
      <c r="H703" s="5" t="s">
        <v>3674</v>
      </c>
      <c r="I703" s="5" t="s">
        <v>549</v>
      </c>
      <c r="J703" s="5" t="s">
        <v>550</v>
      </c>
      <c r="K703" s="5" t="s">
        <v>28</v>
      </c>
      <c r="L703">
        <v>5</v>
      </c>
      <c r="M703">
        <v>132.13999999999999</v>
      </c>
      <c r="N703" s="8">
        <v>13.21</v>
      </c>
      <c r="O703" s="8">
        <v>647.4899999999999</v>
      </c>
      <c r="P703" s="8">
        <v>32.369999999999997</v>
      </c>
      <c r="Q703" s="10">
        <v>0</v>
      </c>
      <c r="R703" s="10">
        <v>10</v>
      </c>
      <c r="S703" s="8">
        <v>689.8599999999999</v>
      </c>
      <c r="T703">
        <v>24.67</v>
      </c>
      <c r="U703" t="str">
        <f t="shared" si="10"/>
        <v>Saturday</v>
      </c>
    </row>
    <row r="704" spans="1:21" x14ac:dyDescent="0.3">
      <c r="A704" s="5" t="s">
        <v>2114</v>
      </c>
      <c r="B704" s="3" t="s">
        <v>3682</v>
      </c>
      <c r="C704" s="5" t="s">
        <v>552</v>
      </c>
      <c r="D704" s="5" t="s">
        <v>21</v>
      </c>
      <c r="E704" s="5" t="s">
        <v>112</v>
      </c>
      <c r="F704" s="5" t="s">
        <v>42</v>
      </c>
      <c r="G704" t="s">
        <v>2115</v>
      </c>
      <c r="H704" s="5" t="s">
        <v>3673</v>
      </c>
      <c r="I704" s="5" t="s">
        <v>554</v>
      </c>
      <c r="J704" s="5" t="s">
        <v>555</v>
      </c>
      <c r="K704" s="5" t="s">
        <v>196</v>
      </c>
      <c r="L704">
        <v>2</v>
      </c>
      <c r="M704">
        <v>0.72</v>
      </c>
      <c r="N704" s="8">
        <v>7.0000000000000007E-2</v>
      </c>
      <c r="O704" s="8">
        <v>1.37</v>
      </c>
      <c r="P704" s="8">
        <v>7.0000000000000007E-2</v>
      </c>
      <c r="Q704" s="10">
        <v>0</v>
      </c>
      <c r="R704" s="10">
        <v>0</v>
      </c>
      <c r="S704" s="8">
        <v>1.44</v>
      </c>
      <c r="T704">
        <v>24</v>
      </c>
      <c r="U704" t="str">
        <f t="shared" si="10"/>
        <v>Tuesday</v>
      </c>
    </row>
    <row r="705" spans="1:21" x14ac:dyDescent="0.3">
      <c r="A705" s="5" t="s">
        <v>2116</v>
      </c>
      <c r="B705" s="3" t="s">
        <v>3711</v>
      </c>
      <c r="C705" s="5" t="s">
        <v>557</v>
      </c>
      <c r="D705" s="5" t="s">
        <v>21</v>
      </c>
      <c r="E705" s="5" t="s">
        <v>22</v>
      </c>
      <c r="F705" s="5" t="s">
        <v>23</v>
      </c>
      <c r="G705" t="s">
        <v>2117</v>
      </c>
      <c r="H705" s="5" t="s">
        <v>100</v>
      </c>
      <c r="I705" s="5" t="s">
        <v>559</v>
      </c>
      <c r="J705" s="5" t="s">
        <v>560</v>
      </c>
      <c r="K705" s="5" t="s">
        <v>34</v>
      </c>
      <c r="L705">
        <v>1</v>
      </c>
      <c r="M705">
        <v>175.35</v>
      </c>
      <c r="N705" s="8">
        <v>26.3</v>
      </c>
      <c r="O705" s="8">
        <v>149.05000000000001</v>
      </c>
      <c r="P705" s="8">
        <v>7.45</v>
      </c>
      <c r="Q705" s="10">
        <v>30</v>
      </c>
      <c r="R705" s="10">
        <v>20</v>
      </c>
      <c r="S705" s="8">
        <v>206.5</v>
      </c>
      <c r="T705">
        <v>15</v>
      </c>
      <c r="U705" t="str">
        <f t="shared" si="10"/>
        <v>Wednesday</v>
      </c>
    </row>
    <row r="706" spans="1:21" x14ac:dyDescent="0.3">
      <c r="A706" s="5" t="s">
        <v>2118</v>
      </c>
      <c r="B706" s="3" t="s">
        <v>3689</v>
      </c>
      <c r="C706" s="5" t="s">
        <v>562</v>
      </c>
      <c r="D706" s="5" t="s">
        <v>21</v>
      </c>
      <c r="E706" s="5" t="s">
        <v>76</v>
      </c>
      <c r="F706" s="5" t="s">
        <v>42</v>
      </c>
      <c r="G706" t="s">
        <v>2119</v>
      </c>
      <c r="H706" s="5" t="s">
        <v>3673</v>
      </c>
      <c r="I706" s="5" t="s">
        <v>564</v>
      </c>
      <c r="J706" s="5" t="s">
        <v>565</v>
      </c>
      <c r="K706" s="5" t="s">
        <v>145</v>
      </c>
      <c r="L706">
        <v>5</v>
      </c>
      <c r="M706">
        <v>199.93</v>
      </c>
      <c r="N706" s="8">
        <v>29.99</v>
      </c>
      <c r="O706" s="8">
        <v>969.66000000000008</v>
      </c>
      <c r="P706" s="8">
        <v>48.48</v>
      </c>
      <c r="Q706" s="10">
        <v>20</v>
      </c>
      <c r="R706" s="10">
        <v>0</v>
      </c>
      <c r="S706" s="8">
        <v>1038.1400000000001</v>
      </c>
      <c r="T706">
        <v>27</v>
      </c>
      <c r="U706" t="str">
        <f t="shared" si="10"/>
        <v>Wednesday</v>
      </c>
    </row>
    <row r="707" spans="1:21" x14ac:dyDescent="0.3">
      <c r="A707" s="5" t="s">
        <v>2120</v>
      </c>
      <c r="B707" s="3" t="s">
        <v>3727</v>
      </c>
      <c r="C707" s="5" t="s">
        <v>567</v>
      </c>
      <c r="D707" s="5" t="s">
        <v>21</v>
      </c>
      <c r="E707" s="5" t="s">
        <v>76</v>
      </c>
      <c r="F707" s="5" t="s">
        <v>37</v>
      </c>
      <c r="G707" t="s">
        <v>2121</v>
      </c>
      <c r="H707" s="5" t="s">
        <v>3674</v>
      </c>
      <c r="I707" s="5" t="s">
        <v>569</v>
      </c>
      <c r="J707" s="5" t="s">
        <v>570</v>
      </c>
      <c r="K707" s="5" t="s">
        <v>56</v>
      </c>
      <c r="L707">
        <v>1</v>
      </c>
      <c r="M707">
        <v>39.25</v>
      </c>
      <c r="N707" s="8">
        <v>5.89</v>
      </c>
      <c r="O707" s="8">
        <v>33.36</v>
      </c>
      <c r="P707" s="8">
        <v>1.67</v>
      </c>
      <c r="Q707" s="10">
        <v>20</v>
      </c>
      <c r="R707" s="10">
        <v>0</v>
      </c>
      <c r="S707" s="8">
        <v>55.03</v>
      </c>
      <c r="T707">
        <v>18</v>
      </c>
      <c r="U707" t="str">
        <f t="shared" ref="U707:U770" si="11">TEXT(B707,"dddd")</f>
        <v>Friday</v>
      </c>
    </row>
    <row r="708" spans="1:21" x14ac:dyDescent="0.3">
      <c r="A708" s="5" t="s">
        <v>2122</v>
      </c>
      <c r="B708" s="3" t="s">
        <v>3712</v>
      </c>
      <c r="C708" s="5" t="s">
        <v>572</v>
      </c>
      <c r="D708" s="5" t="s">
        <v>21</v>
      </c>
      <c r="E708" s="5" t="s">
        <v>36</v>
      </c>
      <c r="F708" s="5" t="s">
        <v>37</v>
      </c>
      <c r="G708" t="s">
        <v>2123</v>
      </c>
      <c r="H708" s="5" t="s">
        <v>3676</v>
      </c>
      <c r="I708" s="5" t="s">
        <v>574</v>
      </c>
      <c r="J708" s="5" t="s">
        <v>575</v>
      </c>
      <c r="K708" s="5" t="s">
        <v>73</v>
      </c>
      <c r="L708">
        <v>2</v>
      </c>
      <c r="M708">
        <v>72.260000000000005</v>
      </c>
      <c r="N708" s="8">
        <v>3.61</v>
      </c>
      <c r="O708" s="8">
        <v>140.91</v>
      </c>
      <c r="P708" s="8">
        <v>7.05</v>
      </c>
      <c r="Q708" s="10">
        <v>30</v>
      </c>
      <c r="R708" s="10">
        <v>0</v>
      </c>
      <c r="S708" s="8">
        <v>177.96</v>
      </c>
      <c r="T708">
        <v>23</v>
      </c>
      <c r="U708" t="str">
        <f t="shared" si="11"/>
        <v>Thursday</v>
      </c>
    </row>
    <row r="709" spans="1:21" x14ac:dyDescent="0.3">
      <c r="A709" s="5" t="s">
        <v>2124</v>
      </c>
      <c r="B709" s="3" t="s">
        <v>3714</v>
      </c>
      <c r="C709" s="5" t="s">
        <v>577</v>
      </c>
      <c r="D709" s="5" t="s">
        <v>21</v>
      </c>
      <c r="E709" s="5" t="s">
        <v>112</v>
      </c>
      <c r="F709" s="5" t="s">
        <v>23</v>
      </c>
      <c r="G709" t="s">
        <v>2125</v>
      </c>
      <c r="H709" s="5" t="s">
        <v>3673</v>
      </c>
      <c r="I709" s="5" t="s">
        <v>579</v>
      </c>
      <c r="J709" s="5" t="s">
        <v>580</v>
      </c>
      <c r="K709" s="5" t="s">
        <v>73</v>
      </c>
      <c r="L709">
        <v>2</v>
      </c>
      <c r="M709">
        <v>178.64</v>
      </c>
      <c r="N709" s="8">
        <v>26.8</v>
      </c>
      <c r="O709" s="8">
        <v>330.48</v>
      </c>
      <c r="P709" s="8">
        <v>16.52</v>
      </c>
      <c r="Q709" s="10">
        <v>20</v>
      </c>
      <c r="R709" s="10">
        <v>5</v>
      </c>
      <c r="S709" s="8">
        <v>371.99999999999989</v>
      </c>
      <c r="T709">
        <v>12</v>
      </c>
      <c r="U709" t="str">
        <f t="shared" si="11"/>
        <v>Thursday</v>
      </c>
    </row>
    <row r="710" spans="1:21" x14ac:dyDescent="0.3">
      <c r="A710" s="5" t="s">
        <v>2126</v>
      </c>
      <c r="B710" s="3" t="s">
        <v>3687</v>
      </c>
      <c r="C710" s="5" t="s">
        <v>582</v>
      </c>
      <c r="D710" s="5" t="s">
        <v>21</v>
      </c>
      <c r="E710" s="5" t="s">
        <v>36</v>
      </c>
      <c r="F710" s="5" t="s">
        <v>23</v>
      </c>
      <c r="G710" t="s">
        <v>2127</v>
      </c>
      <c r="H710" s="5" t="s">
        <v>3673</v>
      </c>
      <c r="I710" s="5" t="s">
        <v>584</v>
      </c>
      <c r="J710" s="5" t="s">
        <v>585</v>
      </c>
      <c r="K710" s="5" t="s">
        <v>73</v>
      </c>
      <c r="L710">
        <v>1</v>
      </c>
      <c r="M710">
        <v>188.83</v>
      </c>
      <c r="N710" s="8">
        <v>0</v>
      </c>
      <c r="O710" s="8">
        <v>188.83</v>
      </c>
      <c r="P710" s="8">
        <v>9.44</v>
      </c>
      <c r="Q710" s="10">
        <v>10</v>
      </c>
      <c r="R710" s="10">
        <v>10</v>
      </c>
      <c r="S710" s="8">
        <v>218.27</v>
      </c>
      <c r="T710">
        <v>24</v>
      </c>
      <c r="U710" t="str">
        <f t="shared" si="11"/>
        <v>Friday</v>
      </c>
    </row>
    <row r="711" spans="1:21" x14ac:dyDescent="0.3">
      <c r="A711" s="5" t="s">
        <v>2128</v>
      </c>
      <c r="B711" s="3" t="s">
        <v>3721</v>
      </c>
      <c r="C711" s="5" t="s">
        <v>587</v>
      </c>
      <c r="D711" s="5" t="s">
        <v>21</v>
      </c>
      <c r="E711" s="5" t="s">
        <v>22</v>
      </c>
      <c r="F711" s="5" t="s">
        <v>23</v>
      </c>
      <c r="G711" t="s">
        <v>2129</v>
      </c>
      <c r="H711" s="5" t="s">
        <v>3674</v>
      </c>
      <c r="I711" s="5" t="s">
        <v>589</v>
      </c>
      <c r="J711" s="5" t="s">
        <v>590</v>
      </c>
      <c r="K711" s="5" t="s">
        <v>145</v>
      </c>
      <c r="L711">
        <v>1</v>
      </c>
      <c r="M711">
        <v>205.11</v>
      </c>
      <c r="N711" s="8">
        <v>30.77</v>
      </c>
      <c r="O711" s="8">
        <v>174.34</v>
      </c>
      <c r="P711" s="8">
        <v>8.7200000000000006</v>
      </c>
      <c r="Q711" s="10">
        <v>20</v>
      </c>
      <c r="R711" s="10">
        <v>20</v>
      </c>
      <c r="S711" s="8">
        <v>223.06</v>
      </c>
      <c r="T711">
        <v>27</v>
      </c>
      <c r="U711" t="str">
        <f t="shared" si="11"/>
        <v>Tuesday</v>
      </c>
    </row>
    <row r="712" spans="1:21" x14ac:dyDescent="0.3">
      <c r="A712" s="5" t="s">
        <v>2130</v>
      </c>
      <c r="B712" s="3" t="s">
        <v>3701</v>
      </c>
      <c r="C712" s="5" t="s">
        <v>592</v>
      </c>
      <c r="D712" s="5" t="s">
        <v>21</v>
      </c>
      <c r="E712" s="5" t="s">
        <v>69</v>
      </c>
      <c r="F712" s="5" t="s">
        <v>23</v>
      </c>
      <c r="G712" t="s">
        <v>2131</v>
      </c>
      <c r="H712" s="5" t="s">
        <v>3673</v>
      </c>
      <c r="I712" s="5" t="s">
        <v>594</v>
      </c>
      <c r="J712" s="5" t="s">
        <v>595</v>
      </c>
      <c r="K712" s="5" t="s">
        <v>73</v>
      </c>
      <c r="L712">
        <v>1</v>
      </c>
      <c r="M712">
        <v>25.34</v>
      </c>
      <c r="N712" s="8">
        <v>2.5299999999999998</v>
      </c>
      <c r="O712" s="8">
        <v>22.81</v>
      </c>
      <c r="P712" s="8">
        <v>1.1399999999999999</v>
      </c>
      <c r="Q712" s="10">
        <v>30</v>
      </c>
      <c r="R712" s="10">
        <v>10</v>
      </c>
      <c r="S712" s="8">
        <v>63.95</v>
      </c>
      <c r="T712">
        <v>29</v>
      </c>
      <c r="U712" t="str">
        <f t="shared" si="11"/>
        <v>Tuesday</v>
      </c>
    </row>
    <row r="713" spans="1:21" x14ac:dyDescent="0.3">
      <c r="A713" s="5" t="s">
        <v>2132</v>
      </c>
      <c r="B713" s="3" t="s">
        <v>3721</v>
      </c>
      <c r="C713" s="5" t="s">
        <v>597</v>
      </c>
      <c r="D713" s="5" t="s">
        <v>82</v>
      </c>
      <c r="E713" s="5" t="s">
        <v>83</v>
      </c>
      <c r="F713" s="5" t="s">
        <v>23</v>
      </c>
      <c r="G713" t="s">
        <v>2133</v>
      </c>
      <c r="H713" s="5" t="s">
        <v>3676</v>
      </c>
      <c r="I713" s="5" t="s">
        <v>599</v>
      </c>
      <c r="J713" s="5" t="s">
        <v>600</v>
      </c>
      <c r="K713" s="5" t="s">
        <v>73</v>
      </c>
      <c r="L713">
        <v>3</v>
      </c>
      <c r="M713">
        <v>109.72</v>
      </c>
      <c r="N713" s="8">
        <v>5.49</v>
      </c>
      <c r="O713" s="8">
        <v>323.67</v>
      </c>
      <c r="P713" s="8">
        <v>16.18</v>
      </c>
      <c r="Q713" s="10">
        <v>10</v>
      </c>
      <c r="R713" s="10">
        <v>10</v>
      </c>
      <c r="S713" s="8">
        <v>359.85</v>
      </c>
      <c r="T713">
        <v>17</v>
      </c>
      <c r="U713" t="str">
        <f t="shared" si="11"/>
        <v>Tuesday</v>
      </c>
    </row>
    <row r="714" spans="1:21" x14ac:dyDescent="0.3">
      <c r="A714" s="5" t="s">
        <v>2134</v>
      </c>
      <c r="B714" s="3" t="s">
        <v>3729</v>
      </c>
      <c r="C714" s="5" t="s">
        <v>602</v>
      </c>
      <c r="D714" s="5" t="s">
        <v>21</v>
      </c>
      <c r="E714" s="5" t="s">
        <v>69</v>
      </c>
      <c r="F714" s="5" t="s">
        <v>37</v>
      </c>
      <c r="G714" t="s">
        <v>2135</v>
      </c>
      <c r="H714" s="5" t="s">
        <v>3673</v>
      </c>
      <c r="I714" s="5" t="s">
        <v>604</v>
      </c>
      <c r="J714" s="5" t="s">
        <v>605</v>
      </c>
      <c r="K714" s="5" t="s">
        <v>73</v>
      </c>
      <c r="L714">
        <v>5</v>
      </c>
      <c r="M714">
        <v>182.72</v>
      </c>
      <c r="N714" s="8">
        <v>9.14</v>
      </c>
      <c r="O714" s="8">
        <v>904.46</v>
      </c>
      <c r="P714" s="8">
        <v>45.22</v>
      </c>
      <c r="Q714" s="10">
        <v>10</v>
      </c>
      <c r="R714" s="10">
        <v>5</v>
      </c>
      <c r="S714" s="8">
        <v>964.68000000000006</v>
      </c>
      <c r="T714">
        <v>28</v>
      </c>
      <c r="U714" t="str">
        <f t="shared" si="11"/>
        <v>Monday</v>
      </c>
    </row>
    <row r="715" spans="1:21" x14ac:dyDescent="0.3">
      <c r="A715" s="5" t="s">
        <v>2136</v>
      </c>
      <c r="B715" s="3" t="s">
        <v>3689</v>
      </c>
      <c r="C715" s="5" t="s">
        <v>607</v>
      </c>
      <c r="D715" s="5" t="s">
        <v>21</v>
      </c>
      <c r="E715" s="5" t="s">
        <v>22</v>
      </c>
      <c r="F715" s="5" t="s">
        <v>37</v>
      </c>
      <c r="G715" t="s">
        <v>2137</v>
      </c>
      <c r="H715" s="5" t="s">
        <v>3673</v>
      </c>
      <c r="I715" s="5" t="s">
        <v>609</v>
      </c>
      <c r="J715" s="5" t="s">
        <v>610</v>
      </c>
      <c r="K715" s="5" t="s">
        <v>40</v>
      </c>
      <c r="L715">
        <v>2</v>
      </c>
      <c r="M715">
        <v>61.06</v>
      </c>
      <c r="N715" s="8">
        <v>0</v>
      </c>
      <c r="O715" s="8">
        <v>122.12</v>
      </c>
      <c r="P715" s="8">
        <v>6.11</v>
      </c>
      <c r="Q715" s="10">
        <v>10</v>
      </c>
      <c r="R715" s="10">
        <v>10</v>
      </c>
      <c r="S715" s="8">
        <v>148.22999999999999</v>
      </c>
      <c r="T715">
        <v>34</v>
      </c>
      <c r="U715" t="str">
        <f t="shared" si="11"/>
        <v>Wednesday</v>
      </c>
    </row>
    <row r="716" spans="1:21" x14ac:dyDescent="0.3">
      <c r="A716" s="5" t="s">
        <v>2138</v>
      </c>
      <c r="B716" s="3" t="s">
        <v>3715</v>
      </c>
      <c r="C716" s="5" t="s">
        <v>612</v>
      </c>
      <c r="D716" s="5" t="s">
        <v>21</v>
      </c>
      <c r="E716" s="5" t="s">
        <v>22</v>
      </c>
      <c r="F716" s="5" t="s">
        <v>37</v>
      </c>
      <c r="G716" t="s">
        <v>2139</v>
      </c>
      <c r="H716" s="5" t="s">
        <v>3677</v>
      </c>
      <c r="I716" s="5" t="s">
        <v>614</v>
      </c>
      <c r="J716" s="5" t="s">
        <v>615</v>
      </c>
      <c r="K716" s="5" t="s">
        <v>28</v>
      </c>
      <c r="L716">
        <v>1</v>
      </c>
      <c r="M716">
        <v>190.83</v>
      </c>
      <c r="N716" s="8">
        <v>19.079999999999998</v>
      </c>
      <c r="O716" s="8">
        <v>171.75</v>
      </c>
      <c r="P716" s="8">
        <v>8.59</v>
      </c>
      <c r="Q716" s="10">
        <v>30</v>
      </c>
      <c r="R716" s="10">
        <v>15</v>
      </c>
      <c r="S716" s="8">
        <v>225.34</v>
      </c>
      <c r="T716">
        <v>47</v>
      </c>
      <c r="U716" t="str">
        <f t="shared" si="11"/>
        <v>Saturday</v>
      </c>
    </row>
    <row r="717" spans="1:21" x14ac:dyDescent="0.3">
      <c r="A717" s="5" t="s">
        <v>2140</v>
      </c>
      <c r="B717" s="3" t="s">
        <v>3701</v>
      </c>
      <c r="C717" s="5" t="s">
        <v>617</v>
      </c>
      <c r="D717" s="5" t="s">
        <v>21</v>
      </c>
      <c r="E717" s="5" t="s">
        <v>76</v>
      </c>
      <c r="F717" s="5" t="s">
        <v>42</v>
      </c>
      <c r="G717" t="s">
        <v>2141</v>
      </c>
      <c r="H717" s="5" t="s">
        <v>3675</v>
      </c>
      <c r="I717" s="5" t="s">
        <v>619</v>
      </c>
      <c r="J717" s="5" t="s">
        <v>620</v>
      </c>
      <c r="K717" s="5" t="s">
        <v>22</v>
      </c>
      <c r="L717">
        <v>3</v>
      </c>
      <c r="M717">
        <v>109.22</v>
      </c>
      <c r="N717" s="8">
        <v>10.92</v>
      </c>
      <c r="O717" s="8">
        <v>316.74</v>
      </c>
      <c r="P717" s="8">
        <v>15.84</v>
      </c>
      <c r="Q717" s="10">
        <v>10</v>
      </c>
      <c r="R717" s="10">
        <v>10</v>
      </c>
      <c r="S717" s="8">
        <v>352.57999999999993</v>
      </c>
      <c r="T717">
        <v>44</v>
      </c>
      <c r="U717" t="str">
        <f t="shared" si="11"/>
        <v>Tuesday</v>
      </c>
    </row>
    <row r="718" spans="1:21" x14ac:dyDescent="0.3">
      <c r="A718" s="5" t="s">
        <v>2142</v>
      </c>
      <c r="B718" s="3" t="s">
        <v>3678</v>
      </c>
      <c r="C718" s="5" t="s">
        <v>622</v>
      </c>
      <c r="D718" s="5" t="s">
        <v>21</v>
      </c>
      <c r="E718" s="5" t="s">
        <v>36</v>
      </c>
      <c r="F718" s="5" t="s">
        <v>37</v>
      </c>
      <c r="G718" t="s">
        <v>2143</v>
      </c>
      <c r="H718" s="5" t="s">
        <v>3673</v>
      </c>
      <c r="I718" s="5" t="s">
        <v>624</v>
      </c>
      <c r="J718" s="5" t="s">
        <v>625</v>
      </c>
      <c r="K718" s="5" t="s">
        <v>145</v>
      </c>
      <c r="L718">
        <v>2</v>
      </c>
      <c r="M718">
        <v>221.4</v>
      </c>
      <c r="N718" s="8">
        <v>11.07</v>
      </c>
      <c r="O718" s="8">
        <v>431.73</v>
      </c>
      <c r="P718" s="8">
        <v>21.59</v>
      </c>
      <c r="Q718" s="10">
        <v>10</v>
      </c>
      <c r="R718" s="10">
        <v>0</v>
      </c>
      <c r="S718" s="8">
        <v>463.32</v>
      </c>
      <c r="T718">
        <v>35</v>
      </c>
      <c r="U718" t="str">
        <f t="shared" si="11"/>
        <v>Saturday</v>
      </c>
    </row>
    <row r="719" spans="1:21" x14ac:dyDescent="0.3">
      <c r="A719" s="5" t="s">
        <v>2144</v>
      </c>
      <c r="B719" s="3" t="s">
        <v>3735</v>
      </c>
      <c r="C719" s="5" t="s">
        <v>627</v>
      </c>
      <c r="D719" s="5" t="s">
        <v>21</v>
      </c>
      <c r="E719" s="5" t="s">
        <v>76</v>
      </c>
      <c r="F719" s="5" t="s">
        <v>23</v>
      </c>
      <c r="G719" t="s">
        <v>2145</v>
      </c>
      <c r="H719" s="5" t="s">
        <v>25</v>
      </c>
      <c r="I719" s="5" t="s">
        <v>629</v>
      </c>
      <c r="J719" s="5" t="s">
        <v>630</v>
      </c>
      <c r="K719" s="5" t="s">
        <v>145</v>
      </c>
      <c r="L719">
        <v>1</v>
      </c>
      <c r="M719">
        <v>128.13999999999999</v>
      </c>
      <c r="N719" s="8">
        <v>19.22</v>
      </c>
      <c r="O719" s="8">
        <v>108.92</v>
      </c>
      <c r="P719" s="8">
        <v>5.45</v>
      </c>
      <c r="Q719" s="10">
        <v>10</v>
      </c>
      <c r="R719" s="10">
        <v>10</v>
      </c>
      <c r="S719" s="8">
        <v>134.37</v>
      </c>
      <c r="T719">
        <v>18</v>
      </c>
      <c r="U719" t="str">
        <f t="shared" si="11"/>
        <v>Saturday</v>
      </c>
    </row>
    <row r="720" spans="1:21" x14ac:dyDescent="0.3">
      <c r="A720" s="5" t="s">
        <v>2146</v>
      </c>
      <c r="B720" s="3" t="s">
        <v>3687</v>
      </c>
      <c r="C720" s="5" t="s">
        <v>632</v>
      </c>
      <c r="D720" s="5" t="s">
        <v>106</v>
      </c>
      <c r="E720" s="5" t="s">
        <v>83</v>
      </c>
      <c r="F720" s="5" t="s">
        <v>23</v>
      </c>
      <c r="G720" t="s">
        <v>2147</v>
      </c>
      <c r="H720" s="5" t="s">
        <v>3673</v>
      </c>
      <c r="I720" s="5" t="s">
        <v>634</v>
      </c>
      <c r="J720" s="5" t="s">
        <v>635</v>
      </c>
      <c r="K720" s="5" t="s">
        <v>145</v>
      </c>
      <c r="L720">
        <v>5</v>
      </c>
      <c r="M720">
        <v>97.55</v>
      </c>
      <c r="N720" s="8">
        <v>9.76</v>
      </c>
      <c r="O720" s="8">
        <v>477.99</v>
      </c>
      <c r="P720" s="8">
        <v>23.9</v>
      </c>
      <c r="Q720" s="10">
        <v>10</v>
      </c>
      <c r="R720" s="10">
        <v>5</v>
      </c>
      <c r="S720" s="8">
        <v>516.89</v>
      </c>
      <c r="T720">
        <v>23</v>
      </c>
      <c r="U720" t="str">
        <f t="shared" si="11"/>
        <v>Friday</v>
      </c>
    </row>
    <row r="721" spans="1:21" x14ac:dyDescent="0.3">
      <c r="A721" s="5" t="s">
        <v>2148</v>
      </c>
      <c r="B721" s="3" t="s">
        <v>3685</v>
      </c>
      <c r="C721" s="5" t="s">
        <v>637</v>
      </c>
      <c r="D721" s="5" t="s">
        <v>21</v>
      </c>
      <c r="E721" s="5" t="s">
        <v>22</v>
      </c>
      <c r="F721" s="5" t="s">
        <v>42</v>
      </c>
      <c r="G721" t="s">
        <v>2149</v>
      </c>
      <c r="H721" s="5" t="s">
        <v>3677</v>
      </c>
      <c r="I721" s="5" t="s">
        <v>639</v>
      </c>
      <c r="J721" s="5" t="s">
        <v>640</v>
      </c>
      <c r="K721" s="5" t="s">
        <v>28</v>
      </c>
      <c r="L721">
        <v>1</v>
      </c>
      <c r="M721">
        <v>193.8</v>
      </c>
      <c r="N721" s="8">
        <v>19.38</v>
      </c>
      <c r="O721" s="8">
        <v>174.42</v>
      </c>
      <c r="P721" s="8">
        <v>8.7200000000000006</v>
      </c>
      <c r="Q721" s="10">
        <v>10</v>
      </c>
      <c r="R721" s="10">
        <v>0</v>
      </c>
      <c r="S721" s="8">
        <v>193.14</v>
      </c>
      <c r="T721">
        <v>31</v>
      </c>
      <c r="U721" t="str">
        <f t="shared" si="11"/>
        <v>Thursday</v>
      </c>
    </row>
    <row r="722" spans="1:21" x14ac:dyDescent="0.3">
      <c r="A722" s="5" t="s">
        <v>2150</v>
      </c>
      <c r="B722" s="3" t="s">
        <v>3735</v>
      </c>
      <c r="C722" s="5" t="s">
        <v>642</v>
      </c>
      <c r="D722" s="5" t="s">
        <v>21</v>
      </c>
      <c r="E722" s="5" t="s">
        <v>69</v>
      </c>
      <c r="F722" s="5" t="s">
        <v>3671</v>
      </c>
      <c r="G722" t="s">
        <v>2151</v>
      </c>
      <c r="H722" s="5" t="s">
        <v>100</v>
      </c>
      <c r="I722" s="5" t="s">
        <v>644</v>
      </c>
      <c r="J722" s="5" t="s">
        <v>645</v>
      </c>
      <c r="K722" s="5" t="s">
        <v>196</v>
      </c>
      <c r="L722">
        <v>3</v>
      </c>
      <c r="M722">
        <v>15.37</v>
      </c>
      <c r="N722" s="8">
        <v>0</v>
      </c>
      <c r="O722" s="8">
        <v>46.11</v>
      </c>
      <c r="P722" s="8">
        <v>2.31</v>
      </c>
      <c r="Q722" s="10">
        <v>10</v>
      </c>
      <c r="R722" s="10">
        <v>0</v>
      </c>
      <c r="S722" s="8">
        <v>58.42</v>
      </c>
      <c r="T722">
        <v>13</v>
      </c>
      <c r="U722" t="str">
        <f t="shared" si="11"/>
        <v>Saturday</v>
      </c>
    </row>
    <row r="723" spans="1:21" x14ac:dyDescent="0.3">
      <c r="A723" s="5" t="s">
        <v>2152</v>
      </c>
      <c r="B723" s="3" t="s">
        <v>3712</v>
      </c>
      <c r="C723" s="5" t="s">
        <v>647</v>
      </c>
      <c r="D723" s="5" t="s">
        <v>21</v>
      </c>
      <c r="E723" s="5" t="s">
        <v>76</v>
      </c>
      <c r="F723" s="5" t="s">
        <v>42</v>
      </c>
      <c r="G723" t="s">
        <v>2153</v>
      </c>
      <c r="H723" s="5" t="s">
        <v>3676</v>
      </c>
      <c r="I723" s="5" t="s">
        <v>649</v>
      </c>
      <c r="J723" s="5" t="s">
        <v>650</v>
      </c>
      <c r="K723" s="5" t="s">
        <v>34</v>
      </c>
      <c r="L723">
        <v>1</v>
      </c>
      <c r="M723">
        <v>99.55</v>
      </c>
      <c r="N723" s="8">
        <v>14.93</v>
      </c>
      <c r="O723" s="8">
        <v>84.62</v>
      </c>
      <c r="P723" s="8">
        <v>4.2300000000000004</v>
      </c>
      <c r="Q723" s="10">
        <v>10</v>
      </c>
      <c r="R723" s="10">
        <v>10</v>
      </c>
      <c r="S723" s="8">
        <v>108.85</v>
      </c>
      <c r="T723">
        <v>6</v>
      </c>
      <c r="U723" t="str">
        <f t="shared" si="11"/>
        <v>Thursday</v>
      </c>
    </row>
    <row r="724" spans="1:21" x14ac:dyDescent="0.3">
      <c r="A724" s="5" t="s">
        <v>2154</v>
      </c>
      <c r="B724" s="3" t="s">
        <v>3699</v>
      </c>
      <c r="C724" s="5" t="s">
        <v>652</v>
      </c>
      <c r="D724" s="5" t="s">
        <v>21</v>
      </c>
      <c r="E724" s="5" t="s">
        <v>76</v>
      </c>
      <c r="F724" s="5" t="s">
        <v>37</v>
      </c>
      <c r="G724" t="s">
        <v>2155</v>
      </c>
      <c r="H724" s="5" t="s">
        <v>3673</v>
      </c>
      <c r="I724" s="5" t="s">
        <v>654</v>
      </c>
      <c r="J724" s="5" t="s">
        <v>655</v>
      </c>
      <c r="K724" s="5" t="s">
        <v>40</v>
      </c>
      <c r="L724">
        <v>4</v>
      </c>
      <c r="M724">
        <v>109.12</v>
      </c>
      <c r="N724" s="8">
        <v>10.91</v>
      </c>
      <c r="O724" s="8">
        <v>425.57</v>
      </c>
      <c r="P724" s="8">
        <v>21.28</v>
      </c>
      <c r="Q724" s="10">
        <v>30</v>
      </c>
      <c r="R724" s="10">
        <v>15</v>
      </c>
      <c r="S724" s="8">
        <v>491.85</v>
      </c>
      <c r="T724">
        <v>20</v>
      </c>
      <c r="U724" t="str">
        <f t="shared" si="11"/>
        <v>Sunday</v>
      </c>
    </row>
    <row r="725" spans="1:21" x14ac:dyDescent="0.3">
      <c r="A725" s="5" t="s">
        <v>2156</v>
      </c>
      <c r="B725" s="3" t="s">
        <v>3701</v>
      </c>
      <c r="C725" s="5" t="s">
        <v>657</v>
      </c>
      <c r="D725" s="5" t="s">
        <v>21</v>
      </c>
      <c r="E725" s="5" t="s">
        <v>69</v>
      </c>
      <c r="F725" s="5" t="s">
        <v>37</v>
      </c>
      <c r="G725" t="s">
        <v>2157</v>
      </c>
      <c r="H725" s="5" t="s">
        <v>25</v>
      </c>
      <c r="I725" s="5" t="s">
        <v>659</v>
      </c>
      <c r="J725" s="5" t="s">
        <v>660</v>
      </c>
      <c r="K725" s="5" t="s">
        <v>145</v>
      </c>
      <c r="L725">
        <v>3</v>
      </c>
      <c r="M725">
        <v>61.22</v>
      </c>
      <c r="N725" s="8">
        <v>3.06</v>
      </c>
      <c r="O725" s="8">
        <v>180.6</v>
      </c>
      <c r="P725" s="8">
        <v>9.0299999999999994</v>
      </c>
      <c r="Q725" s="10">
        <v>10</v>
      </c>
      <c r="R725" s="10">
        <v>20</v>
      </c>
      <c r="S725" s="8">
        <v>219.63</v>
      </c>
      <c r="T725">
        <v>28</v>
      </c>
      <c r="U725" t="str">
        <f t="shared" si="11"/>
        <v>Tuesday</v>
      </c>
    </row>
    <row r="726" spans="1:21" x14ac:dyDescent="0.3">
      <c r="A726" s="5" t="s">
        <v>2158</v>
      </c>
      <c r="B726" s="3" t="s">
        <v>3710</v>
      </c>
      <c r="C726" s="5" t="s">
        <v>662</v>
      </c>
      <c r="D726" s="5" t="s">
        <v>21</v>
      </c>
      <c r="E726" s="5" t="s">
        <v>112</v>
      </c>
      <c r="F726" s="5" t="s">
        <v>42</v>
      </c>
      <c r="H726" s="5" t="s">
        <v>3676</v>
      </c>
      <c r="I726" s="5" t="s">
        <v>664</v>
      </c>
      <c r="J726" s="5" t="s">
        <v>665</v>
      </c>
      <c r="K726" s="5" t="s">
        <v>73</v>
      </c>
      <c r="L726">
        <v>2</v>
      </c>
      <c r="M726">
        <v>215.01</v>
      </c>
      <c r="N726" s="8">
        <v>0</v>
      </c>
      <c r="O726" s="8">
        <v>430.02</v>
      </c>
      <c r="P726" s="8">
        <v>21.5</v>
      </c>
      <c r="Q726" s="10">
        <v>20</v>
      </c>
      <c r="R726" s="10">
        <v>0</v>
      </c>
      <c r="S726" s="8">
        <v>471.52</v>
      </c>
      <c r="T726">
        <v>13</v>
      </c>
      <c r="U726" t="str">
        <f t="shared" si="11"/>
        <v>Monday</v>
      </c>
    </row>
    <row r="727" spans="1:21" x14ac:dyDescent="0.3">
      <c r="A727" s="5" t="s">
        <v>2159</v>
      </c>
      <c r="B727" s="3" t="s">
        <v>3734</v>
      </c>
      <c r="C727" s="5" t="s">
        <v>667</v>
      </c>
      <c r="D727" s="5" t="s">
        <v>21</v>
      </c>
      <c r="E727" s="5" t="s">
        <v>69</v>
      </c>
      <c r="F727" s="5" t="s">
        <v>37</v>
      </c>
      <c r="G727" t="s">
        <v>2160</v>
      </c>
      <c r="H727" s="5" t="s">
        <v>3673</v>
      </c>
      <c r="I727" s="5" t="s">
        <v>669</v>
      </c>
      <c r="J727" s="5" t="s">
        <v>670</v>
      </c>
      <c r="K727" s="5" t="s">
        <v>40</v>
      </c>
      <c r="L727">
        <v>1</v>
      </c>
      <c r="M727">
        <v>63.89</v>
      </c>
      <c r="N727" s="8">
        <v>0</v>
      </c>
      <c r="O727" s="8">
        <v>63.89</v>
      </c>
      <c r="P727" s="8">
        <v>3.19</v>
      </c>
      <c r="Q727" s="10">
        <v>30</v>
      </c>
      <c r="R727" s="10">
        <v>15</v>
      </c>
      <c r="S727" s="8">
        <v>112.08</v>
      </c>
      <c r="T727">
        <v>29</v>
      </c>
      <c r="U727" t="str">
        <f t="shared" si="11"/>
        <v>Monday</v>
      </c>
    </row>
    <row r="728" spans="1:21" x14ac:dyDescent="0.3">
      <c r="A728" s="5" t="s">
        <v>2161</v>
      </c>
      <c r="B728" s="3" t="s">
        <v>3685</v>
      </c>
      <c r="C728" s="5" t="s">
        <v>672</v>
      </c>
      <c r="D728" s="5" t="s">
        <v>21</v>
      </c>
      <c r="E728" s="5" t="s">
        <v>69</v>
      </c>
      <c r="F728" s="5" t="s">
        <v>23</v>
      </c>
      <c r="H728" s="5" t="s">
        <v>25</v>
      </c>
      <c r="I728" s="5" t="s">
        <v>674</v>
      </c>
      <c r="J728" s="5" t="s">
        <v>675</v>
      </c>
      <c r="K728" s="5" t="s">
        <v>28</v>
      </c>
      <c r="L728">
        <v>3</v>
      </c>
      <c r="M728">
        <v>85.82</v>
      </c>
      <c r="N728" s="8">
        <v>8.58</v>
      </c>
      <c r="O728" s="8">
        <v>248.88</v>
      </c>
      <c r="P728" s="8">
        <v>12.44</v>
      </c>
      <c r="Q728" s="10">
        <v>10</v>
      </c>
      <c r="R728" s="10">
        <v>10</v>
      </c>
      <c r="S728" s="8">
        <v>281.32</v>
      </c>
      <c r="T728">
        <v>24.67</v>
      </c>
      <c r="U728" t="str">
        <f t="shared" si="11"/>
        <v>Thursday</v>
      </c>
    </row>
    <row r="729" spans="1:21" x14ac:dyDescent="0.3">
      <c r="A729" s="5" t="s">
        <v>2162</v>
      </c>
      <c r="B729" s="3" t="s">
        <v>3700</v>
      </c>
      <c r="C729" s="5" t="s">
        <v>677</v>
      </c>
      <c r="D729" s="5" t="s">
        <v>21</v>
      </c>
      <c r="E729" s="5" t="s">
        <v>22</v>
      </c>
      <c r="F729" s="5" t="s">
        <v>23</v>
      </c>
      <c r="G729" t="s">
        <v>2163</v>
      </c>
      <c r="H729" s="5" t="s">
        <v>3676</v>
      </c>
      <c r="I729" s="5" t="s">
        <v>679</v>
      </c>
      <c r="J729" s="5" t="s">
        <v>680</v>
      </c>
      <c r="K729" s="5" t="s">
        <v>73</v>
      </c>
      <c r="L729">
        <v>1</v>
      </c>
      <c r="M729">
        <v>12.2</v>
      </c>
      <c r="N729" s="8">
        <v>0</v>
      </c>
      <c r="O729" s="8">
        <v>12.2</v>
      </c>
      <c r="P729" s="8">
        <v>0.61</v>
      </c>
      <c r="Q729" s="10">
        <v>10</v>
      </c>
      <c r="R729" s="10">
        <v>5</v>
      </c>
      <c r="S729" s="8">
        <v>27.81</v>
      </c>
      <c r="T729">
        <v>39</v>
      </c>
      <c r="U729" t="str">
        <f t="shared" si="11"/>
        <v>Saturday</v>
      </c>
    </row>
    <row r="730" spans="1:21" x14ac:dyDescent="0.3">
      <c r="A730" s="5" t="s">
        <v>2164</v>
      </c>
      <c r="B730" s="3" t="s">
        <v>3721</v>
      </c>
      <c r="C730" s="5" t="s">
        <v>682</v>
      </c>
      <c r="D730" s="5" t="s">
        <v>21</v>
      </c>
      <c r="E730" s="5" t="s">
        <v>36</v>
      </c>
      <c r="F730" s="5" t="s">
        <v>23</v>
      </c>
      <c r="G730" t="s">
        <v>2165</v>
      </c>
      <c r="H730" s="5" t="s">
        <v>3675</v>
      </c>
      <c r="I730" s="5" t="s">
        <v>684</v>
      </c>
      <c r="J730" s="5" t="s">
        <v>685</v>
      </c>
      <c r="K730" s="5" t="s">
        <v>40</v>
      </c>
      <c r="L730">
        <v>3</v>
      </c>
      <c r="M730">
        <v>64.349999999999994</v>
      </c>
      <c r="N730" s="8">
        <v>3.22</v>
      </c>
      <c r="O730" s="8">
        <v>189.83</v>
      </c>
      <c r="P730" s="8">
        <v>9.49</v>
      </c>
      <c r="Q730" s="10">
        <v>30</v>
      </c>
      <c r="R730" s="10">
        <v>10</v>
      </c>
      <c r="S730" s="8">
        <v>239.32</v>
      </c>
      <c r="T730">
        <v>16</v>
      </c>
      <c r="U730" t="str">
        <f t="shared" si="11"/>
        <v>Tuesday</v>
      </c>
    </row>
    <row r="731" spans="1:21" x14ac:dyDescent="0.3">
      <c r="A731" s="5" t="s">
        <v>2166</v>
      </c>
      <c r="B731" s="3" t="s">
        <v>3731</v>
      </c>
      <c r="C731" s="5" t="s">
        <v>687</v>
      </c>
      <c r="D731" s="5" t="s">
        <v>21</v>
      </c>
      <c r="E731" s="5" t="s">
        <v>112</v>
      </c>
      <c r="F731" s="5" t="s">
        <v>37</v>
      </c>
      <c r="G731" t="s">
        <v>2167</v>
      </c>
      <c r="H731" s="5" t="s">
        <v>3673</v>
      </c>
      <c r="I731" s="5" t="s">
        <v>689</v>
      </c>
      <c r="J731" s="5" t="s">
        <v>690</v>
      </c>
      <c r="K731" s="5" t="s">
        <v>103</v>
      </c>
      <c r="L731">
        <v>4</v>
      </c>
      <c r="M731">
        <v>249.9</v>
      </c>
      <c r="N731" s="8">
        <v>0</v>
      </c>
      <c r="O731" s="8">
        <v>999.6</v>
      </c>
      <c r="P731" s="8">
        <v>49.98</v>
      </c>
      <c r="Q731" s="10">
        <v>10</v>
      </c>
      <c r="R731" s="10">
        <v>20</v>
      </c>
      <c r="S731" s="8">
        <v>1079.58</v>
      </c>
      <c r="T731">
        <v>36</v>
      </c>
      <c r="U731" t="str">
        <f t="shared" si="11"/>
        <v>Monday</v>
      </c>
    </row>
    <row r="732" spans="1:21" x14ac:dyDescent="0.3">
      <c r="A732" s="5" t="s">
        <v>2168</v>
      </c>
      <c r="B732" s="3" t="s">
        <v>3695</v>
      </c>
      <c r="C732" s="5" t="s">
        <v>692</v>
      </c>
      <c r="D732" s="5" t="s">
        <v>21</v>
      </c>
      <c r="E732" s="5" t="s">
        <v>22</v>
      </c>
      <c r="F732" s="5" t="s">
        <v>37</v>
      </c>
      <c r="G732" t="s">
        <v>2169</v>
      </c>
      <c r="H732" s="5" t="s">
        <v>3673</v>
      </c>
      <c r="I732" s="5" t="s">
        <v>694</v>
      </c>
      <c r="J732" s="5" t="s">
        <v>695</v>
      </c>
      <c r="K732" s="5" t="s">
        <v>22</v>
      </c>
      <c r="L732">
        <v>1</v>
      </c>
      <c r="M732">
        <v>175.18</v>
      </c>
      <c r="N732" s="8">
        <v>26.28</v>
      </c>
      <c r="O732" s="8">
        <v>148.9</v>
      </c>
      <c r="P732" s="8">
        <v>7.45</v>
      </c>
      <c r="Q732" s="10">
        <v>30</v>
      </c>
      <c r="R732" s="10">
        <v>15</v>
      </c>
      <c r="S732" s="8">
        <v>201.35</v>
      </c>
      <c r="T732">
        <v>16</v>
      </c>
      <c r="U732" t="str">
        <f t="shared" si="11"/>
        <v>Thursday</v>
      </c>
    </row>
    <row r="733" spans="1:21" x14ac:dyDescent="0.3">
      <c r="A733" s="5" t="s">
        <v>2170</v>
      </c>
      <c r="B733" s="3" t="s">
        <v>3722</v>
      </c>
      <c r="C733" s="5" t="s">
        <v>697</v>
      </c>
      <c r="D733" s="5" t="s">
        <v>82</v>
      </c>
      <c r="E733" s="5" t="s">
        <v>83</v>
      </c>
      <c r="F733" s="5" t="s">
        <v>42</v>
      </c>
      <c r="G733" t="s">
        <v>2171</v>
      </c>
      <c r="H733" s="5" t="s">
        <v>3676</v>
      </c>
      <c r="I733" s="5" t="s">
        <v>699</v>
      </c>
      <c r="J733" s="5" t="s">
        <v>700</v>
      </c>
      <c r="K733" s="5" t="s">
        <v>45</v>
      </c>
      <c r="L733">
        <v>3</v>
      </c>
      <c r="M733">
        <v>54.53</v>
      </c>
      <c r="N733" s="8">
        <v>2.73</v>
      </c>
      <c r="O733" s="8">
        <v>160.86000000000001</v>
      </c>
      <c r="P733" s="8">
        <v>8.0399999999999991</v>
      </c>
      <c r="Q733" s="10">
        <v>10</v>
      </c>
      <c r="R733" s="10">
        <v>5</v>
      </c>
      <c r="S733" s="8">
        <v>183.9</v>
      </c>
      <c r="T733">
        <v>24.67</v>
      </c>
      <c r="U733" t="str">
        <f t="shared" si="11"/>
        <v>Friday</v>
      </c>
    </row>
    <row r="734" spans="1:21" x14ac:dyDescent="0.3">
      <c r="A734" s="5" t="s">
        <v>2172</v>
      </c>
      <c r="B734" s="3" t="s">
        <v>3701</v>
      </c>
      <c r="C734" s="5" t="s">
        <v>702</v>
      </c>
      <c r="D734" s="5" t="s">
        <v>21</v>
      </c>
      <c r="E734" s="5" t="s">
        <v>76</v>
      </c>
      <c r="F734" s="5" t="s">
        <v>23</v>
      </c>
      <c r="G734" t="s">
        <v>2173</v>
      </c>
      <c r="H734" s="5" t="s">
        <v>3675</v>
      </c>
      <c r="I734" s="5" t="s">
        <v>704</v>
      </c>
      <c r="J734" s="5" t="s">
        <v>705</v>
      </c>
      <c r="K734" s="5" t="s">
        <v>73</v>
      </c>
      <c r="L734">
        <v>3</v>
      </c>
      <c r="M734">
        <v>129.41999999999999</v>
      </c>
      <c r="N734" s="8">
        <v>19.41</v>
      </c>
      <c r="O734" s="8">
        <v>368.85</v>
      </c>
      <c r="P734" s="8">
        <v>18.440000000000001</v>
      </c>
      <c r="Q734" s="10">
        <v>30</v>
      </c>
      <c r="R734" s="10">
        <v>15</v>
      </c>
      <c r="S734" s="8">
        <v>432.29</v>
      </c>
      <c r="T734">
        <v>35</v>
      </c>
      <c r="U734" t="str">
        <f t="shared" si="11"/>
        <v>Tuesday</v>
      </c>
    </row>
    <row r="735" spans="1:21" x14ac:dyDescent="0.3">
      <c r="A735" s="5" t="s">
        <v>2174</v>
      </c>
      <c r="B735" s="3" t="s">
        <v>3720</v>
      </c>
      <c r="C735" s="5" t="s">
        <v>707</v>
      </c>
      <c r="D735" s="5" t="s">
        <v>21</v>
      </c>
      <c r="E735" s="5" t="s">
        <v>76</v>
      </c>
      <c r="F735" s="5" t="s">
        <v>37</v>
      </c>
      <c r="G735" t="s">
        <v>2175</v>
      </c>
      <c r="H735" s="5" t="s">
        <v>3673</v>
      </c>
      <c r="I735" s="5" t="s">
        <v>709</v>
      </c>
      <c r="J735" s="5" t="s">
        <v>710</v>
      </c>
      <c r="K735" s="5" t="s">
        <v>73</v>
      </c>
      <c r="L735">
        <v>5</v>
      </c>
      <c r="M735">
        <v>27.43</v>
      </c>
      <c r="N735" s="8">
        <v>0</v>
      </c>
      <c r="O735" s="8">
        <v>137.15</v>
      </c>
      <c r="P735" s="8">
        <v>6.86</v>
      </c>
      <c r="Q735" s="10">
        <v>20</v>
      </c>
      <c r="R735" s="10">
        <v>20</v>
      </c>
      <c r="S735" s="8">
        <v>184.01</v>
      </c>
      <c r="T735">
        <v>37</v>
      </c>
      <c r="U735" t="str">
        <f t="shared" si="11"/>
        <v>Monday</v>
      </c>
    </row>
    <row r="736" spans="1:21" x14ac:dyDescent="0.3">
      <c r="A736" s="5" t="s">
        <v>2176</v>
      </c>
      <c r="B736" s="3" t="s">
        <v>3729</v>
      </c>
      <c r="C736" s="5" t="s">
        <v>712</v>
      </c>
      <c r="D736" s="5" t="s">
        <v>106</v>
      </c>
      <c r="E736" s="5" t="s">
        <v>83</v>
      </c>
      <c r="F736" s="5" t="s">
        <v>37</v>
      </c>
      <c r="G736" t="s">
        <v>2177</v>
      </c>
      <c r="H736" s="5" t="s">
        <v>100</v>
      </c>
      <c r="I736" s="5" t="s">
        <v>714</v>
      </c>
      <c r="J736" s="5" t="s">
        <v>715</v>
      </c>
      <c r="K736" s="5" t="s">
        <v>28</v>
      </c>
      <c r="L736">
        <v>3</v>
      </c>
      <c r="M736">
        <v>181.67</v>
      </c>
      <c r="N736" s="8">
        <v>18.170000000000002</v>
      </c>
      <c r="O736" s="8">
        <v>526.84</v>
      </c>
      <c r="P736" s="8">
        <v>26.34</v>
      </c>
      <c r="Q736" s="10">
        <v>20</v>
      </c>
      <c r="R736" s="10">
        <v>15</v>
      </c>
      <c r="S736" s="8">
        <v>588.18000000000006</v>
      </c>
      <c r="T736">
        <v>18</v>
      </c>
      <c r="U736" t="str">
        <f t="shared" si="11"/>
        <v>Monday</v>
      </c>
    </row>
    <row r="737" spans="1:21" x14ac:dyDescent="0.3">
      <c r="A737" s="5" t="s">
        <v>2178</v>
      </c>
      <c r="B737" s="3" t="s">
        <v>3700</v>
      </c>
      <c r="C737" s="5" t="s">
        <v>717</v>
      </c>
      <c r="D737" s="5" t="s">
        <v>21</v>
      </c>
      <c r="E737" s="5" t="s">
        <v>22</v>
      </c>
      <c r="F737" s="5" t="s">
        <v>23</v>
      </c>
      <c r="G737" t="s">
        <v>2179</v>
      </c>
      <c r="H737" s="5" t="s">
        <v>3674</v>
      </c>
      <c r="I737" s="5" t="s">
        <v>719</v>
      </c>
      <c r="J737" s="5" t="s">
        <v>720</v>
      </c>
      <c r="K737" s="5" t="s">
        <v>145</v>
      </c>
      <c r="L737">
        <v>1</v>
      </c>
      <c r="M737">
        <v>59.34</v>
      </c>
      <c r="N737" s="8">
        <v>0</v>
      </c>
      <c r="O737" s="8">
        <v>59.34</v>
      </c>
      <c r="P737" s="8">
        <v>2.97</v>
      </c>
      <c r="Q737" s="10">
        <v>10</v>
      </c>
      <c r="R737" s="10">
        <v>10</v>
      </c>
      <c r="S737" s="8">
        <v>82.31</v>
      </c>
      <c r="T737">
        <v>30</v>
      </c>
      <c r="U737" t="str">
        <f t="shared" si="11"/>
        <v>Saturday</v>
      </c>
    </row>
    <row r="738" spans="1:21" x14ac:dyDescent="0.3">
      <c r="A738" s="5" t="s">
        <v>2180</v>
      </c>
      <c r="B738" s="3" t="s">
        <v>3692</v>
      </c>
      <c r="C738" s="5" t="s">
        <v>722</v>
      </c>
      <c r="D738" s="5" t="s">
        <v>21</v>
      </c>
      <c r="E738" s="5" t="s">
        <v>76</v>
      </c>
      <c r="F738" s="5" t="s">
        <v>23</v>
      </c>
      <c r="G738" t="s">
        <v>2181</v>
      </c>
      <c r="H738" s="5" t="s">
        <v>3673</v>
      </c>
      <c r="I738" s="5" t="s">
        <v>724</v>
      </c>
      <c r="J738" s="5" t="s">
        <v>725</v>
      </c>
      <c r="K738" s="5" t="s">
        <v>45</v>
      </c>
      <c r="L738">
        <v>1</v>
      </c>
      <c r="M738">
        <v>111.47</v>
      </c>
      <c r="N738" s="8">
        <v>5.57</v>
      </c>
      <c r="O738" s="8">
        <v>105.9</v>
      </c>
      <c r="P738" s="8">
        <v>5.3</v>
      </c>
      <c r="Q738" s="10">
        <v>20</v>
      </c>
      <c r="R738" s="10">
        <v>20</v>
      </c>
      <c r="S738" s="8">
        <v>151.19999999999999</v>
      </c>
      <c r="T738">
        <v>39</v>
      </c>
      <c r="U738" t="str">
        <f t="shared" si="11"/>
        <v>Wednesday</v>
      </c>
    </row>
    <row r="739" spans="1:21" x14ac:dyDescent="0.3">
      <c r="A739" s="5" t="s">
        <v>2182</v>
      </c>
      <c r="B739" s="3" t="s">
        <v>3734</v>
      </c>
      <c r="C739" s="5" t="s">
        <v>727</v>
      </c>
      <c r="D739" s="5" t="s">
        <v>21</v>
      </c>
      <c r="E739" s="5" t="s">
        <v>69</v>
      </c>
      <c r="F739" s="5" t="s">
        <v>23</v>
      </c>
      <c r="G739" t="s">
        <v>2183</v>
      </c>
      <c r="H739" s="5" t="s">
        <v>3676</v>
      </c>
      <c r="I739" s="5" t="s">
        <v>729</v>
      </c>
      <c r="J739" s="5" t="s">
        <v>730</v>
      </c>
      <c r="K739" s="5" t="s">
        <v>45</v>
      </c>
      <c r="L739">
        <v>3</v>
      </c>
      <c r="M739">
        <v>148.36000000000001</v>
      </c>
      <c r="N739" s="8">
        <v>7.42</v>
      </c>
      <c r="O739" s="8">
        <v>437.66</v>
      </c>
      <c r="P739" s="8">
        <v>21.88</v>
      </c>
      <c r="Q739" s="10">
        <v>0</v>
      </c>
      <c r="R739" s="10">
        <v>20</v>
      </c>
      <c r="S739" s="8">
        <v>479.54</v>
      </c>
      <c r="T739">
        <v>28</v>
      </c>
      <c r="U739" t="str">
        <f t="shared" si="11"/>
        <v>Monday</v>
      </c>
    </row>
    <row r="740" spans="1:21" x14ac:dyDescent="0.3">
      <c r="A740" s="5" t="s">
        <v>2184</v>
      </c>
      <c r="B740" s="3" t="s">
        <v>3703</v>
      </c>
      <c r="C740" s="5" t="s">
        <v>732</v>
      </c>
      <c r="D740" s="5" t="s">
        <v>82</v>
      </c>
      <c r="E740" s="5" t="s">
        <v>83</v>
      </c>
      <c r="F740" s="5" t="s">
        <v>23</v>
      </c>
      <c r="G740" t="s">
        <v>2185</v>
      </c>
      <c r="H740" s="5" t="s">
        <v>3675</v>
      </c>
      <c r="I740" s="5" t="s">
        <v>734</v>
      </c>
      <c r="J740" s="5" t="s">
        <v>735</v>
      </c>
      <c r="K740" s="5" t="s">
        <v>145</v>
      </c>
      <c r="L740">
        <v>2</v>
      </c>
      <c r="M740">
        <v>79.5</v>
      </c>
      <c r="N740" s="8">
        <v>7.95</v>
      </c>
      <c r="O740" s="8">
        <v>151.05000000000001</v>
      </c>
      <c r="P740" s="8">
        <v>7.55</v>
      </c>
      <c r="Q740" s="10">
        <v>20</v>
      </c>
      <c r="R740" s="10">
        <v>0</v>
      </c>
      <c r="S740" s="8">
        <v>178.6</v>
      </c>
      <c r="T740">
        <v>20</v>
      </c>
      <c r="U740" t="str">
        <f t="shared" si="11"/>
        <v>Friday</v>
      </c>
    </row>
    <row r="741" spans="1:21" x14ac:dyDescent="0.3">
      <c r="A741" s="5" t="s">
        <v>2186</v>
      </c>
      <c r="B741" s="3" t="s">
        <v>3684</v>
      </c>
      <c r="C741" s="5" t="s">
        <v>737</v>
      </c>
      <c r="D741" s="5" t="s">
        <v>21</v>
      </c>
      <c r="E741" s="5" t="s">
        <v>36</v>
      </c>
      <c r="F741" s="5" t="s">
        <v>37</v>
      </c>
      <c r="G741" t="s">
        <v>2187</v>
      </c>
      <c r="H741" s="5" t="s">
        <v>3677</v>
      </c>
      <c r="I741" s="5" t="s">
        <v>739</v>
      </c>
      <c r="J741" s="5" t="s">
        <v>740</v>
      </c>
      <c r="K741" s="5" t="s">
        <v>73</v>
      </c>
      <c r="L741">
        <v>1</v>
      </c>
      <c r="M741">
        <v>211.76</v>
      </c>
      <c r="N741" s="8">
        <v>0</v>
      </c>
      <c r="O741" s="8">
        <v>211.76</v>
      </c>
      <c r="P741" s="8">
        <v>10.59</v>
      </c>
      <c r="Q741" s="10">
        <v>30</v>
      </c>
      <c r="R741" s="10">
        <v>10</v>
      </c>
      <c r="S741" s="8">
        <v>262.35000000000002</v>
      </c>
      <c r="T741">
        <v>24.67</v>
      </c>
      <c r="U741" t="str">
        <f t="shared" si="11"/>
        <v>Sunday</v>
      </c>
    </row>
    <row r="742" spans="1:21" x14ac:dyDescent="0.3">
      <c r="A742" s="5" t="s">
        <v>2188</v>
      </c>
      <c r="B742" s="3" t="s">
        <v>3701</v>
      </c>
      <c r="C742" s="5" t="s">
        <v>742</v>
      </c>
      <c r="D742" s="5" t="s">
        <v>21</v>
      </c>
      <c r="E742" s="5" t="s">
        <v>76</v>
      </c>
      <c r="F742" s="5" t="s">
        <v>42</v>
      </c>
      <c r="G742" t="s">
        <v>2189</v>
      </c>
      <c r="H742" s="5" t="s">
        <v>3677</v>
      </c>
      <c r="I742" s="5" t="s">
        <v>744</v>
      </c>
      <c r="J742" s="5" t="s">
        <v>745</v>
      </c>
      <c r="K742" s="5" t="s">
        <v>28</v>
      </c>
      <c r="L742">
        <v>2</v>
      </c>
      <c r="M742">
        <v>38.67</v>
      </c>
      <c r="N742" s="8">
        <v>0</v>
      </c>
      <c r="O742" s="8">
        <v>77.34</v>
      </c>
      <c r="P742" s="8">
        <v>3.87</v>
      </c>
      <c r="Q742" s="10">
        <v>0</v>
      </c>
      <c r="R742" s="10">
        <v>15</v>
      </c>
      <c r="S742" s="8">
        <v>96.210000000000008</v>
      </c>
      <c r="T742">
        <v>22</v>
      </c>
      <c r="U742" t="str">
        <f t="shared" si="11"/>
        <v>Tuesday</v>
      </c>
    </row>
    <row r="743" spans="1:21" x14ac:dyDescent="0.3">
      <c r="A743" s="5" t="s">
        <v>2190</v>
      </c>
      <c r="B743" s="3" t="s">
        <v>3689</v>
      </c>
      <c r="C743" s="5" t="s">
        <v>747</v>
      </c>
      <c r="D743" s="5" t="s">
        <v>21</v>
      </c>
      <c r="E743" s="5" t="s">
        <v>69</v>
      </c>
      <c r="F743" s="5" t="s">
        <v>42</v>
      </c>
      <c r="G743" t="s">
        <v>2191</v>
      </c>
      <c r="H743" s="5" t="s">
        <v>3673</v>
      </c>
      <c r="I743" s="5" t="s">
        <v>749</v>
      </c>
      <c r="J743" s="5" t="s">
        <v>750</v>
      </c>
      <c r="K743" s="5" t="s">
        <v>196</v>
      </c>
      <c r="L743">
        <v>1</v>
      </c>
      <c r="M743">
        <v>104.12</v>
      </c>
      <c r="N743" s="8">
        <v>15.62</v>
      </c>
      <c r="O743" s="8">
        <v>88.5</v>
      </c>
      <c r="P743" s="8">
        <v>4.42</v>
      </c>
      <c r="Q743" s="10">
        <v>20</v>
      </c>
      <c r="R743" s="10">
        <v>0</v>
      </c>
      <c r="S743" s="8">
        <v>112.92</v>
      </c>
      <c r="T743">
        <v>11</v>
      </c>
      <c r="U743" t="str">
        <f t="shared" si="11"/>
        <v>Wednesday</v>
      </c>
    </row>
    <row r="744" spans="1:21" x14ac:dyDescent="0.3">
      <c r="A744" s="5" t="s">
        <v>2192</v>
      </c>
      <c r="B744" s="3" t="s">
        <v>3699</v>
      </c>
      <c r="C744" s="5" t="s">
        <v>752</v>
      </c>
      <c r="D744" s="5" t="s">
        <v>21</v>
      </c>
      <c r="E744" s="5" t="s">
        <v>76</v>
      </c>
      <c r="F744" s="5" t="s">
        <v>37</v>
      </c>
      <c r="G744" t="s">
        <v>2193</v>
      </c>
      <c r="H744" s="5" t="s">
        <v>3674</v>
      </c>
      <c r="I744" s="5" t="s">
        <v>754</v>
      </c>
      <c r="J744" s="5" t="s">
        <v>755</v>
      </c>
      <c r="K744" s="5" t="s">
        <v>45</v>
      </c>
      <c r="L744">
        <v>3</v>
      </c>
      <c r="M744">
        <v>15.9</v>
      </c>
      <c r="N744" s="8">
        <v>0</v>
      </c>
      <c r="O744" s="8">
        <v>47.7</v>
      </c>
      <c r="P744" s="8">
        <v>2.39</v>
      </c>
      <c r="Q744" s="10">
        <v>30</v>
      </c>
      <c r="R744" s="10">
        <v>5</v>
      </c>
      <c r="S744" s="8">
        <v>85.09</v>
      </c>
      <c r="T744">
        <v>0</v>
      </c>
      <c r="U744" t="str">
        <f t="shared" si="11"/>
        <v>Sunday</v>
      </c>
    </row>
    <row r="745" spans="1:21" x14ac:dyDescent="0.3">
      <c r="A745" s="5" t="s">
        <v>2194</v>
      </c>
      <c r="B745" s="3" t="s">
        <v>3731</v>
      </c>
      <c r="C745" s="5" t="s">
        <v>757</v>
      </c>
      <c r="D745" s="5" t="s">
        <v>21</v>
      </c>
      <c r="E745" s="5" t="s">
        <v>69</v>
      </c>
      <c r="F745" s="5" t="s">
        <v>37</v>
      </c>
      <c r="G745" t="s">
        <v>2195</v>
      </c>
      <c r="H745" s="5" t="s">
        <v>3673</v>
      </c>
      <c r="I745" s="5" t="s">
        <v>759</v>
      </c>
      <c r="J745" s="5" t="s">
        <v>760</v>
      </c>
      <c r="K745" s="5" t="s">
        <v>145</v>
      </c>
      <c r="L745">
        <v>1</v>
      </c>
      <c r="M745">
        <v>151.34</v>
      </c>
      <c r="N745" s="8">
        <v>15.13</v>
      </c>
      <c r="O745" s="8">
        <v>136.21</v>
      </c>
      <c r="P745" s="8">
        <v>6.81</v>
      </c>
      <c r="Q745" s="10">
        <v>10</v>
      </c>
      <c r="R745" s="10">
        <v>10</v>
      </c>
      <c r="S745" s="8">
        <v>163.02000000000001</v>
      </c>
      <c r="T745">
        <v>24</v>
      </c>
      <c r="U745" t="str">
        <f t="shared" si="11"/>
        <v>Monday</v>
      </c>
    </row>
    <row r="746" spans="1:21" x14ac:dyDescent="0.3">
      <c r="A746" s="5" t="s">
        <v>2196</v>
      </c>
      <c r="B746" s="3" t="s">
        <v>3684</v>
      </c>
      <c r="C746" s="5" t="s">
        <v>762</v>
      </c>
      <c r="D746" s="5" t="s">
        <v>21</v>
      </c>
      <c r="E746" s="5" t="s">
        <v>76</v>
      </c>
      <c r="F746" s="5" t="s">
        <v>37</v>
      </c>
      <c r="G746" t="s">
        <v>2197</v>
      </c>
      <c r="H746" s="5" t="s">
        <v>3676</v>
      </c>
      <c r="I746" s="5" t="s">
        <v>764</v>
      </c>
      <c r="J746" s="5" t="s">
        <v>765</v>
      </c>
      <c r="K746" s="5" t="s">
        <v>73</v>
      </c>
      <c r="L746">
        <v>2</v>
      </c>
      <c r="M746">
        <v>117.55</v>
      </c>
      <c r="N746" s="8">
        <v>0</v>
      </c>
      <c r="O746" s="8">
        <v>235.1</v>
      </c>
      <c r="P746" s="8">
        <v>11.76</v>
      </c>
      <c r="Q746" s="10">
        <v>30</v>
      </c>
      <c r="R746" s="10">
        <v>0</v>
      </c>
      <c r="S746" s="8">
        <v>276.86</v>
      </c>
      <c r="T746">
        <v>24.67</v>
      </c>
      <c r="U746" t="str">
        <f t="shared" si="11"/>
        <v>Sunday</v>
      </c>
    </row>
    <row r="747" spans="1:21" x14ac:dyDescent="0.3">
      <c r="A747" s="5" t="s">
        <v>2198</v>
      </c>
      <c r="B747" s="3" t="s">
        <v>3699</v>
      </c>
      <c r="C747" s="5" t="s">
        <v>767</v>
      </c>
      <c r="D747" s="5" t="s">
        <v>21</v>
      </c>
      <c r="E747" s="5" t="s">
        <v>22</v>
      </c>
      <c r="F747" s="5" t="s">
        <v>23</v>
      </c>
      <c r="G747" t="s">
        <v>2199</v>
      </c>
      <c r="H747" s="5" t="s">
        <v>3673</v>
      </c>
      <c r="I747" s="5" t="s">
        <v>769</v>
      </c>
      <c r="J747" s="5" t="s">
        <v>770</v>
      </c>
      <c r="K747" s="5" t="s">
        <v>40</v>
      </c>
      <c r="L747">
        <v>3</v>
      </c>
      <c r="M747">
        <v>153.81</v>
      </c>
      <c r="N747" s="8">
        <v>23.07</v>
      </c>
      <c r="O747" s="8">
        <v>438.36</v>
      </c>
      <c r="P747" s="8">
        <v>21.92</v>
      </c>
      <c r="Q747" s="10">
        <v>0</v>
      </c>
      <c r="R747" s="10">
        <v>5</v>
      </c>
      <c r="S747" s="8">
        <v>465.28</v>
      </c>
      <c r="T747">
        <v>9</v>
      </c>
      <c r="U747" t="str">
        <f t="shared" si="11"/>
        <v>Sunday</v>
      </c>
    </row>
    <row r="748" spans="1:21" x14ac:dyDescent="0.3">
      <c r="A748" s="5" t="s">
        <v>2200</v>
      </c>
      <c r="B748" s="3" t="s">
        <v>3714</v>
      </c>
      <c r="C748" s="5" t="s">
        <v>772</v>
      </c>
      <c r="D748" s="5" t="s">
        <v>21</v>
      </c>
      <c r="E748" s="5" t="s">
        <v>22</v>
      </c>
      <c r="F748" s="5" t="s">
        <v>42</v>
      </c>
      <c r="G748" t="s">
        <v>2201</v>
      </c>
      <c r="H748" s="5" t="s">
        <v>3675</v>
      </c>
      <c r="I748" s="5" t="s">
        <v>774</v>
      </c>
      <c r="J748" s="5" t="s">
        <v>775</v>
      </c>
      <c r="K748" s="5" t="s">
        <v>28</v>
      </c>
      <c r="L748">
        <v>3</v>
      </c>
      <c r="M748">
        <v>205.97</v>
      </c>
      <c r="N748" s="8">
        <v>20.6</v>
      </c>
      <c r="O748" s="8">
        <v>597.30999999999995</v>
      </c>
      <c r="P748" s="8">
        <v>29.87</v>
      </c>
      <c r="Q748" s="10">
        <v>10</v>
      </c>
      <c r="R748" s="10">
        <v>10</v>
      </c>
      <c r="S748" s="8">
        <v>647.17999999999995</v>
      </c>
      <c r="T748">
        <v>10</v>
      </c>
      <c r="U748" t="str">
        <f t="shared" si="11"/>
        <v>Thursday</v>
      </c>
    </row>
    <row r="749" spans="1:21" x14ac:dyDescent="0.3">
      <c r="A749" s="5" t="s">
        <v>2202</v>
      </c>
      <c r="B749" s="3" t="s">
        <v>3713</v>
      </c>
      <c r="C749" s="5" t="s">
        <v>777</v>
      </c>
      <c r="D749" s="5" t="s">
        <v>21</v>
      </c>
      <c r="E749" s="5" t="s">
        <v>69</v>
      </c>
      <c r="F749" s="5" t="s">
        <v>37</v>
      </c>
      <c r="G749" t="s">
        <v>2203</v>
      </c>
      <c r="H749" s="5" t="s">
        <v>3673</v>
      </c>
      <c r="I749" s="5" t="s">
        <v>779</v>
      </c>
      <c r="J749" s="5" t="s">
        <v>780</v>
      </c>
      <c r="K749" s="5" t="s">
        <v>40</v>
      </c>
      <c r="L749">
        <v>3</v>
      </c>
      <c r="M749">
        <v>81.88</v>
      </c>
      <c r="N749" s="8">
        <v>4.09</v>
      </c>
      <c r="O749" s="8">
        <v>241.55</v>
      </c>
      <c r="P749" s="8">
        <v>12.08</v>
      </c>
      <c r="Q749" s="10">
        <v>20</v>
      </c>
      <c r="R749" s="10">
        <v>15</v>
      </c>
      <c r="S749" s="8">
        <v>288.63</v>
      </c>
      <c r="T749">
        <v>19</v>
      </c>
      <c r="U749" t="str">
        <f t="shared" si="11"/>
        <v>Tuesday</v>
      </c>
    </row>
    <row r="750" spans="1:21" x14ac:dyDescent="0.3">
      <c r="A750" s="5" t="s">
        <v>2204</v>
      </c>
      <c r="B750" s="3" t="s">
        <v>3705</v>
      </c>
      <c r="C750" s="5" t="s">
        <v>782</v>
      </c>
      <c r="D750" s="5" t="s">
        <v>21</v>
      </c>
      <c r="E750" s="5" t="s">
        <v>36</v>
      </c>
      <c r="F750" s="5" t="s">
        <v>37</v>
      </c>
      <c r="G750" t="s">
        <v>2205</v>
      </c>
      <c r="H750" s="5" t="s">
        <v>3673</v>
      </c>
      <c r="I750" s="5" t="s">
        <v>784</v>
      </c>
      <c r="J750" s="5" t="s">
        <v>785</v>
      </c>
      <c r="K750" s="5" t="s">
        <v>103</v>
      </c>
      <c r="L750">
        <v>2</v>
      </c>
      <c r="M750">
        <v>99.37</v>
      </c>
      <c r="N750" s="8">
        <v>4.97</v>
      </c>
      <c r="O750" s="8">
        <v>193.77</v>
      </c>
      <c r="P750" s="8">
        <v>9.69</v>
      </c>
      <c r="Q750" s="10">
        <v>20</v>
      </c>
      <c r="R750" s="10">
        <v>5</v>
      </c>
      <c r="S750" s="8">
        <v>228.46</v>
      </c>
      <c r="T750">
        <v>30</v>
      </c>
      <c r="U750" t="str">
        <f t="shared" si="11"/>
        <v>Tuesday</v>
      </c>
    </row>
    <row r="751" spans="1:21" x14ac:dyDescent="0.3">
      <c r="A751" s="5" t="s">
        <v>2206</v>
      </c>
      <c r="B751" s="3" t="s">
        <v>3717</v>
      </c>
      <c r="C751" s="5" t="s">
        <v>787</v>
      </c>
      <c r="D751" s="5" t="s">
        <v>21</v>
      </c>
      <c r="E751" s="5" t="s">
        <v>112</v>
      </c>
      <c r="F751" s="5" t="s">
        <v>42</v>
      </c>
      <c r="G751" t="s">
        <v>2207</v>
      </c>
      <c r="H751" s="5" t="s">
        <v>3673</v>
      </c>
      <c r="I751" s="5" t="s">
        <v>789</v>
      </c>
      <c r="J751" s="5" t="s">
        <v>790</v>
      </c>
      <c r="K751" s="5" t="s">
        <v>196</v>
      </c>
      <c r="L751">
        <v>2</v>
      </c>
      <c r="M751">
        <v>119.28</v>
      </c>
      <c r="N751" s="8">
        <v>5.96</v>
      </c>
      <c r="O751" s="8">
        <v>232.6</v>
      </c>
      <c r="P751" s="8">
        <v>11.63</v>
      </c>
      <c r="Q751" s="10">
        <v>0</v>
      </c>
      <c r="R751" s="10">
        <v>10</v>
      </c>
      <c r="S751" s="8">
        <v>254.23</v>
      </c>
      <c r="T751">
        <v>24.67</v>
      </c>
      <c r="U751" t="str">
        <f t="shared" si="11"/>
        <v>Tuesday</v>
      </c>
    </row>
    <row r="752" spans="1:21" x14ac:dyDescent="0.3">
      <c r="A752" s="5" t="s">
        <v>2208</v>
      </c>
      <c r="B752" s="3" t="s">
        <v>3728</v>
      </c>
      <c r="C752" s="5" t="s">
        <v>792</v>
      </c>
      <c r="D752" s="5" t="s">
        <v>21</v>
      </c>
      <c r="E752" s="5" t="s">
        <v>22</v>
      </c>
      <c r="F752" s="5" t="s">
        <v>42</v>
      </c>
      <c r="G752" t="s">
        <v>2209</v>
      </c>
      <c r="H752" s="5" t="s">
        <v>3673</v>
      </c>
      <c r="I752" s="5" t="s">
        <v>794</v>
      </c>
      <c r="J752" s="5" t="s">
        <v>795</v>
      </c>
      <c r="K752" s="5" t="s">
        <v>196</v>
      </c>
      <c r="L752">
        <v>5</v>
      </c>
      <c r="M752">
        <v>285.04000000000002</v>
      </c>
      <c r="N752" s="8">
        <v>0</v>
      </c>
      <c r="O752" s="8">
        <v>1425.2</v>
      </c>
      <c r="P752" s="8">
        <v>71.260000000000005</v>
      </c>
      <c r="Q752" s="10">
        <v>30</v>
      </c>
      <c r="R752" s="10">
        <v>15</v>
      </c>
      <c r="S752" s="8">
        <v>1541.46</v>
      </c>
      <c r="T752">
        <v>24.67</v>
      </c>
      <c r="U752" t="str">
        <f t="shared" si="11"/>
        <v>Friday</v>
      </c>
    </row>
    <row r="753" spans="1:21" x14ac:dyDescent="0.3">
      <c r="A753" s="5" t="s">
        <v>2210</v>
      </c>
      <c r="B753" s="3" t="s">
        <v>3679</v>
      </c>
      <c r="C753" s="5" t="s">
        <v>797</v>
      </c>
      <c r="D753" s="5" t="s">
        <v>82</v>
      </c>
      <c r="E753" s="5" t="s">
        <v>83</v>
      </c>
      <c r="F753" s="5" t="s">
        <v>37</v>
      </c>
      <c r="G753" t="s">
        <v>2211</v>
      </c>
      <c r="H753" s="5" t="s">
        <v>100</v>
      </c>
      <c r="I753" s="5" t="s">
        <v>799</v>
      </c>
      <c r="J753" s="5" t="s">
        <v>800</v>
      </c>
      <c r="K753" s="5" t="s">
        <v>40</v>
      </c>
      <c r="L753">
        <v>1</v>
      </c>
      <c r="M753">
        <v>72.11</v>
      </c>
      <c r="N753" s="8">
        <v>3.61</v>
      </c>
      <c r="O753" s="8">
        <v>68.5</v>
      </c>
      <c r="P753" s="8">
        <v>3.43</v>
      </c>
      <c r="Q753" s="10">
        <v>30</v>
      </c>
      <c r="R753" s="10">
        <v>5</v>
      </c>
      <c r="S753" s="8">
        <v>106.93</v>
      </c>
      <c r="T753">
        <v>26</v>
      </c>
      <c r="U753" t="str">
        <f t="shared" si="11"/>
        <v>Friday</v>
      </c>
    </row>
    <row r="754" spans="1:21" x14ac:dyDescent="0.3">
      <c r="A754" s="5" t="s">
        <v>2212</v>
      </c>
      <c r="B754" s="3" t="s">
        <v>3684</v>
      </c>
      <c r="C754" s="5" t="s">
        <v>802</v>
      </c>
      <c r="D754" s="5" t="s">
        <v>21</v>
      </c>
      <c r="E754" s="5" t="s">
        <v>112</v>
      </c>
      <c r="F754" s="5" t="s">
        <v>23</v>
      </c>
      <c r="G754" t="s">
        <v>2213</v>
      </c>
      <c r="H754" s="5" t="s">
        <v>3673</v>
      </c>
      <c r="I754" s="5" t="s">
        <v>804</v>
      </c>
      <c r="J754" s="5" t="s">
        <v>805</v>
      </c>
      <c r="K754" s="5" t="s">
        <v>73</v>
      </c>
      <c r="L754">
        <v>1</v>
      </c>
      <c r="M754">
        <v>2.3199999999999998</v>
      </c>
      <c r="N754" s="8">
        <v>0.12</v>
      </c>
      <c r="O754" s="8">
        <v>2.2000000000000002</v>
      </c>
      <c r="P754" s="8">
        <v>0.11</v>
      </c>
      <c r="Q754" s="10">
        <v>30</v>
      </c>
      <c r="R754" s="10">
        <v>20</v>
      </c>
      <c r="S754" s="8">
        <v>52.31</v>
      </c>
      <c r="T754">
        <v>19</v>
      </c>
      <c r="U754" t="str">
        <f t="shared" si="11"/>
        <v>Sunday</v>
      </c>
    </row>
    <row r="755" spans="1:21" x14ac:dyDescent="0.3">
      <c r="A755" s="5" t="s">
        <v>2214</v>
      </c>
      <c r="B755" s="3" t="s">
        <v>3683</v>
      </c>
      <c r="C755" s="5" t="s">
        <v>807</v>
      </c>
      <c r="D755" s="5" t="s">
        <v>21</v>
      </c>
      <c r="E755" s="5" t="s">
        <v>36</v>
      </c>
      <c r="F755" s="5" t="s">
        <v>42</v>
      </c>
      <c r="G755" t="s">
        <v>2215</v>
      </c>
      <c r="H755" s="5" t="s">
        <v>3676</v>
      </c>
      <c r="I755" s="5" t="s">
        <v>809</v>
      </c>
      <c r="J755" s="5" t="s">
        <v>810</v>
      </c>
      <c r="K755" s="5" t="s">
        <v>145</v>
      </c>
      <c r="L755">
        <v>1</v>
      </c>
      <c r="M755">
        <v>3.05</v>
      </c>
      <c r="N755" s="8">
        <v>0</v>
      </c>
      <c r="O755" s="8">
        <v>3.05</v>
      </c>
      <c r="P755" s="8">
        <v>0.15</v>
      </c>
      <c r="Q755" s="10">
        <v>10</v>
      </c>
      <c r="R755" s="10">
        <v>0</v>
      </c>
      <c r="S755" s="8">
        <v>13.2</v>
      </c>
      <c r="T755">
        <v>24</v>
      </c>
      <c r="U755" t="str">
        <f t="shared" si="11"/>
        <v>Thursday</v>
      </c>
    </row>
    <row r="756" spans="1:21" x14ac:dyDescent="0.3">
      <c r="A756" s="5" t="s">
        <v>2216</v>
      </c>
      <c r="B756" s="3" t="s">
        <v>3708</v>
      </c>
      <c r="C756" s="5" t="s">
        <v>812</v>
      </c>
      <c r="D756" s="5" t="s">
        <v>21</v>
      </c>
      <c r="E756" s="5" t="s">
        <v>112</v>
      </c>
      <c r="F756" s="5" t="s">
        <v>42</v>
      </c>
      <c r="G756" t="s">
        <v>2217</v>
      </c>
      <c r="H756" s="5" t="s">
        <v>3677</v>
      </c>
      <c r="I756" s="5" t="s">
        <v>814</v>
      </c>
      <c r="J756" s="5" t="s">
        <v>815</v>
      </c>
      <c r="K756" s="5" t="s">
        <v>34</v>
      </c>
      <c r="L756">
        <v>2</v>
      </c>
      <c r="M756">
        <v>21.74</v>
      </c>
      <c r="N756" s="8">
        <v>0</v>
      </c>
      <c r="O756" s="8">
        <v>43.48</v>
      </c>
      <c r="P756" s="8">
        <v>2.17</v>
      </c>
      <c r="Q756" s="10">
        <v>30</v>
      </c>
      <c r="R756" s="10">
        <v>20</v>
      </c>
      <c r="S756" s="8">
        <v>95.65</v>
      </c>
      <c r="T756">
        <v>26</v>
      </c>
      <c r="U756" t="str">
        <f t="shared" si="11"/>
        <v>Sunday</v>
      </c>
    </row>
    <row r="757" spans="1:21" x14ac:dyDescent="0.3">
      <c r="A757" s="5" t="s">
        <v>2218</v>
      </c>
      <c r="B757" s="3" t="s">
        <v>3706</v>
      </c>
      <c r="C757" s="5" t="s">
        <v>817</v>
      </c>
      <c r="D757" s="5" t="s">
        <v>21</v>
      </c>
      <c r="E757" s="5" t="s">
        <v>22</v>
      </c>
      <c r="F757" s="5" t="s">
        <v>37</v>
      </c>
      <c r="G757" t="s">
        <v>2219</v>
      </c>
      <c r="H757" s="5" t="s">
        <v>3674</v>
      </c>
      <c r="I757" s="5" t="s">
        <v>819</v>
      </c>
      <c r="J757" s="5" t="s">
        <v>820</v>
      </c>
      <c r="K757" s="5" t="s">
        <v>196</v>
      </c>
      <c r="L757">
        <v>4</v>
      </c>
      <c r="M757">
        <v>6.34</v>
      </c>
      <c r="N757" s="8">
        <v>0</v>
      </c>
      <c r="O757" s="8">
        <v>25.36</v>
      </c>
      <c r="P757" s="8">
        <v>1.27</v>
      </c>
      <c r="Q757" s="10">
        <v>10</v>
      </c>
      <c r="R757" s="10">
        <v>10</v>
      </c>
      <c r="S757" s="8">
        <v>46.63</v>
      </c>
      <c r="T757">
        <v>15</v>
      </c>
      <c r="U757" t="str">
        <f t="shared" si="11"/>
        <v>Thursday</v>
      </c>
    </row>
    <row r="758" spans="1:21" x14ac:dyDescent="0.3">
      <c r="A758" s="5" t="s">
        <v>2220</v>
      </c>
      <c r="B758" s="3" t="s">
        <v>3688</v>
      </c>
      <c r="C758" s="5" t="s">
        <v>822</v>
      </c>
      <c r="D758" s="5" t="s">
        <v>21</v>
      </c>
      <c r="E758" s="5" t="s">
        <v>76</v>
      </c>
      <c r="F758" s="5" t="s">
        <v>37</v>
      </c>
      <c r="G758" t="s">
        <v>2221</v>
      </c>
      <c r="H758" s="5" t="s">
        <v>3673</v>
      </c>
      <c r="I758" s="5" t="s">
        <v>824</v>
      </c>
      <c r="J758" s="5" t="s">
        <v>825</v>
      </c>
      <c r="K758" s="5" t="s">
        <v>145</v>
      </c>
      <c r="L758">
        <v>4</v>
      </c>
      <c r="M758">
        <v>101.87</v>
      </c>
      <c r="N758" s="8">
        <v>10.19</v>
      </c>
      <c r="O758" s="8">
        <v>397.29</v>
      </c>
      <c r="P758" s="8">
        <v>19.86</v>
      </c>
      <c r="Q758" s="10">
        <v>10</v>
      </c>
      <c r="R758" s="10">
        <v>20</v>
      </c>
      <c r="S758" s="8">
        <v>447.15</v>
      </c>
      <c r="T758">
        <v>1</v>
      </c>
      <c r="U758" t="str">
        <f t="shared" si="11"/>
        <v>Saturday</v>
      </c>
    </row>
    <row r="759" spans="1:21" x14ac:dyDescent="0.3">
      <c r="A759" s="5" t="s">
        <v>2222</v>
      </c>
      <c r="B759" s="3" t="s">
        <v>3733</v>
      </c>
      <c r="C759" s="5" t="s">
        <v>827</v>
      </c>
      <c r="D759" s="5" t="s">
        <v>106</v>
      </c>
      <c r="E759" s="5" t="s">
        <v>83</v>
      </c>
      <c r="F759" s="5" t="s">
        <v>42</v>
      </c>
      <c r="G759" t="s">
        <v>2223</v>
      </c>
      <c r="H759" s="5" t="s">
        <v>3676</v>
      </c>
      <c r="I759" s="5" t="s">
        <v>828</v>
      </c>
      <c r="J759" s="5" t="s">
        <v>829</v>
      </c>
      <c r="K759" s="5" t="s">
        <v>103</v>
      </c>
      <c r="L759">
        <v>3</v>
      </c>
      <c r="M759">
        <v>150.44999999999999</v>
      </c>
      <c r="N759" s="8">
        <v>7.52</v>
      </c>
      <c r="O759" s="8">
        <v>443.83</v>
      </c>
      <c r="P759" s="8">
        <v>22.19</v>
      </c>
      <c r="Q759" s="10">
        <v>10</v>
      </c>
      <c r="R759" s="10">
        <v>0</v>
      </c>
      <c r="S759" s="8">
        <v>476.02</v>
      </c>
      <c r="T759">
        <v>15</v>
      </c>
      <c r="U759" t="str">
        <f t="shared" si="11"/>
        <v>Sunday</v>
      </c>
    </row>
    <row r="760" spans="1:21" x14ac:dyDescent="0.3">
      <c r="A760" s="5" t="s">
        <v>2224</v>
      </c>
      <c r="B760" s="3" t="s">
        <v>3721</v>
      </c>
      <c r="C760" s="5" t="s">
        <v>831</v>
      </c>
      <c r="D760" s="5" t="s">
        <v>21</v>
      </c>
      <c r="E760" s="5" t="s">
        <v>36</v>
      </c>
      <c r="F760" s="5" t="s">
        <v>37</v>
      </c>
      <c r="G760" t="s">
        <v>2225</v>
      </c>
      <c r="H760" s="5" t="s">
        <v>3673</v>
      </c>
      <c r="I760" s="5" t="s">
        <v>832</v>
      </c>
      <c r="J760" s="5" t="s">
        <v>833</v>
      </c>
      <c r="K760" s="5" t="s">
        <v>145</v>
      </c>
      <c r="L760">
        <v>1</v>
      </c>
      <c r="M760">
        <v>44.31</v>
      </c>
      <c r="N760" s="8">
        <v>6.65</v>
      </c>
      <c r="O760" s="8">
        <v>37.659999999999997</v>
      </c>
      <c r="P760" s="8">
        <v>1.88</v>
      </c>
      <c r="Q760" s="10">
        <v>10</v>
      </c>
      <c r="R760" s="10">
        <v>10</v>
      </c>
      <c r="S760" s="8">
        <v>59.540000000000013</v>
      </c>
      <c r="T760">
        <v>24.67</v>
      </c>
      <c r="U760" t="str">
        <f t="shared" si="11"/>
        <v>Tuesday</v>
      </c>
    </row>
    <row r="761" spans="1:21" x14ac:dyDescent="0.3">
      <c r="A761" s="5" t="s">
        <v>2226</v>
      </c>
      <c r="B761" s="3" t="s">
        <v>3699</v>
      </c>
      <c r="C761" s="5" t="s">
        <v>835</v>
      </c>
      <c r="D761" s="5" t="s">
        <v>21</v>
      </c>
      <c r="E761" s="5" t="s">
        <v>22</v>
      </c>
      <c r="F761" s="5" t="s">
        <v>37</v>
      </c>
      <c r="G761" t="s">
        <v>2227</v>
      </c>
      <c r="H761" s="5" t="s">
        <v>3674</v>
      </c>
      <c r="I761" s="5" t="s">
        <v>837</v>
      </c>
      <c r="J761" s="5" t="s">
        <v>838</v>
      </c>
      <c r="K761" s="5" t="s">
        <v>103</v>
      </c>
      <c r="L761">
        <v>4</v>
      </c>
      <c r="M761">
        <v>66.150000000000006</v>
      </c>
      <c r="N761" s="8">
        <v>9.92</v>
      </c>
      <c r="O761" s="8">
        <v>254.68</v>
      </c>
      <c r="P761" s="8">
        <v>12.73</v>
      </c>
      <c r="Q761" s="10">
        <v>0</v>
      </c>
      <c r="R761" s="10">
        <v>10</v>
      </c>
      <c r="S761" s="8">
        <v>277.41000000000003</v>
      </c>
      <c r="T761">
        <v>11</v>
      </c>
      <c r="U761" t="str">
        <f t="shared" si="11"/>
        <v>Sunday</v>
      </c>
    </row>
    <row r="762" spans="1:21" x14ac:dyDescent="0.3">
      <c r="A762" s="5" t="s">
        <v>2228</v>
      </c>
      <c r="B762" s="3" t="s">
        <v>3700</v>
      </c>
      <c r="C762" s="5" t="s">
        <v>840</v>
      </c>
      <c r="D762" s="5" t="s">
        <v>106</v>
      </c>
      <c r="E762" s="5" t="s">
        <v>83</v>
      </c>
      <c r="F762" s="5" t="s">
        <v>42</v>
      </c>
      <c r="G762" t="s">
        <v>2229</v>
      </c>
      <c r="H762" s="5" t="s">
        <v>3676</v>
      </c>
      <c r="I762" s="5" t="s">
        <v>842</v>
      </c>
      <c r="J762" s="5" t="s">
        <v>843</v>
      </c>
      <c r="K762" s="5" t="s">
        <v>34</v>
      </c>
      <c r="L762">
        <v>3</v>
      </c>
      <c r="M762">
        <v>123.07</v>
      </c>
      <c r="N762" s="8">
        <v>0</v>
      </c>
      <c r="O762" s="8">
        <v>369.21</v>
      </c>
      <c r="P762" s="8">
        <v>18.46</v>
      </c>
      <c r="Q762" s="10">
        <v>30</v>
      </c>
      <c r="R762" s="10">
        <v>10</v>
      </c>
      <c r="S762" s="8">
        <v>427.67</v>
      </c>
      <c r="T762">
        <v>48</v>
      </c>
      <c r="U762" t="str">
        <f t="shared" si="11"/>
        <v>Saturday</v>
      </c>
    </row>
    <row r="763" spans="1:21" x14ac:dyDescent="0.3">
      <c r="A763" s="5" t="s">
        <v>2230</v>
      </c>
      <c r="B763" s="3" t="s">
        <v>3679</v>
      </c>
      <c r="C763" s="5" t="s">
        <v>845</v>
      </c>
      <c r="D763" s="5" t="s">
        <v>106</v>
      </c>
      <c r="E763" s="5" t="s">
        <v>83</v>
      </c>
      <c r="F763" s="5" t="s">
        <v>37</v>
      </c>
      <c r="G763" t="s">
        <v>2231</v>
      </c>
      <c r="H763" s="5" t="s">
        <v>100</v>
      </c>
      <c r="I763" s="5" t="s">
        <v>847</v>
      </c>
      <c r="J763" s="5" t="s">
        <v>848</v>
      </c>
      <c r="K763" s="5" t="s">
        <v>45</v>
      </c>
      <c r="L763">
        <v>2</v>
      </c>
      <c r="M763">
        <v>84.15</v>
      </c>
      <c r="N763" s="8">
        <v>12.62</v>
      </c>
      <c r="O763" s="8">
        <v>155.68</v>
      </c>
      <c r="P763" s="8">
        <v>7.78</v>
      </c>
      <c r="Q763" s="10">
        <v>30</v>
      </c>
      <c r="R763" s="10">
        <v>10</v>
      </c>
      <c r="S763" s="8">
        <v>203.46</v>
      </c>
      <c r="T763">
        <v>35</v>
      </c>
      <c r="U763" t="str">
        <f t="shared" si="11"/>
        <v>Friday</v>
      </c>
    </row>
    <row r="764" spans="1:21" x14ac:dyDescent="0.3">
      <c r="A764" s="5" t="s">
        <v>2232</v>
      </c>
      <c r="B764" s="3" t="s">
        <v>3703</v>
      </c>
      <c r="C764" s="5" t="s">
        <v>850</v>
      </c>
      <c r="D764" s="5" t="s">
        <v>82</v>
      </c>
      <c r="E764" s="5" t="s">
        <v>83</v>
      </c>
      <c r="F764" s="5" t="s">
        <v>42</v>
      </c>
      <c r="G764" t="s">
        <v>2233</v>
      </c>
      <c r="H764" s="5" t="s">
        <v>3677</v>
      </c>
      <c r="I764" s="5" t="s">
        <v>852</v>
      </c>
      <c r="J764" s="5" t="s">
        <v>853</v>
      </c>
      <c r="K764" s="5" t="s">
        <v>145</v>
      </c>
      <c r="L764">
        <v>6</v>
      </c>
      <c r="M764">
        <v>15.14</v>
      </c>
      <c r="N764" s="8">
        <v>0.76</v>
      </c>
      <c r="O764" s="8">
        <v>90.08</v>
      </c>
      <c r="P764" s="8">
        <v>4.5</v>
      </c>
      <c r="Q764" s="10">
        <v>20</v>
      </c>
      <c r="R764" s="10">
        <v>20</v>
      </c>
      <c r="S764" s="8">
        <v>134.58000000000001</v>
      </c>
      <c r="T764">
        <v>28</v>
      </c>
      <c r="U764" t="str">
        <f t="shared" si="11"/>
        <v>Friday</v>
      </c>
    </row>
    <row r="765" spans="1:21" x14ac:dyDescent="0.3">
      <c r="A765" s="5" t="s">
        <v>2234</v>
      </c>
      <c r="B765" s="3" t="s">
        <v>3682</v>
      </c>
      <c r="C765" s="5" t="s">
        <v>855</v>
      </c>
      <c r="D765" s="5" t="s">
        <v>21</v>
      </c>
      <c r="E765" s="5" t="s">
        <v>36</v>
      </c>
      <c r="F765" s="5" t="s">
        <v>37</v>
      </c>
      <c r="G765" t="s">
        <v>2235</v>
      </c>
      <c r="H765" s="5" t="s">
        <v>100</v>
      </c>
      <c r="I765" s="5" t="s">
        <v>857</v>
      </c>
      <c r="J765" s="5" t="s">
        <v>858</v>
      </c>
      <c r="K765" s="5" t="s">
        <v>28</v>
      </c>
      <c r="L765">
        <v>3</v>
      </c>
      <c r="M765">
        <v>86.96</v>
      </c>
      <c r="N765" s="8">
        <v>8.6999999999999993</v>
      </c>
      <c r="O765" s="8">
        <v>252.18</v>
      </c>
      <c r="P765" s="8">
        <v>12.61</v>
      </c>
      <c r="Q765" s="10">
        <v>20</v>
      </c>
      <c r="R765" s="10">
        <v>20</v>
      </c>
      <c r="S765" s="8">
        <v>304.79000000000002</v>
      </c>
      <c r="T765">
        <v>45</v>
      </c>
      <c r="U765" t="str">
        <f t="shared" si="11"/>
        <v>Tuesday</v>
      </c>
    </row>
    <row r="766" spans="1:21" x14ac:dyDescent="0.3">
      <c r="A766" s="5" t="s">
        <v>2236</v>
      </c>
      <c r="B766" s="3" t="s">
        <v>3689</v>
      </c>
      <c r="C766" s="5" t="s">
        <v>860</v>
      </c>
      <c r="D766" s="5" t="s">
        <v>21</v>
      </c>
      <c r="E766" s="5" t="s">
        <v>36</v>
      </c>
      <c r="F766" s="5" t="s">
        <v>37</v>
      </c>
      <c r="G766" t="s">
        <v>2237</v>
      </c>
      <c r="H766" s="5" t="s">
        <v>3673</v>
      </c>
      <c r="I766" s="5" t="s">
        <v>862</v>
      </c>
      <c r="J766" s="5" t="s">
        <v>863</v>
      </c>
      <c r="K766" s="5" t="s">
        <v>73</v>
      </c>
      <c r="L766">
        <v>5</v>
      </c>
      <c r="M766">
        <v>238.22</v>
      </c>
      <c r="N766" s="8">
        <v>35.729999999999997</v>
      </c>
      <c r="O766" s="8">
        <v>1155.3699999999999</v>
      </c>
      <c r="P766" s="8">
        <v>57.77</v>
      </c>
      <c r="Q766" s="10">
        <v>10</v>
      </c>
      <c r="R766" s="10">
        <v>10</v>
      </c>
      <c r="S766" s="8">
        <v>1233.1400000000001</v>
      </c>
      <c r="T766">
        <v>28</v>
      </c>
      <c r="U766" t="str">
        <f t="shared" si="11"/>
        <v>Wednesday</v>
      </c>
    </row>
    <row r="767" spans="1:21" x14ac:dyDescent="0.3">
      <c r="A767" s="5" t="s">
        <v>2238</v>
      </c>
      <c r="B767" s="3" t="s">
        <v>3688</v>
      </c>
      <c r="C767" s="5" t="s">
        <v>865</v>
      </c>
      <c r="D767" s="5" t="s">
        <v>21</v>
      </c>
      <c r="E767" s="5" t="s">
        <v>112</v>
      </c>
      <c r="F767" s="5" t="s">
        <v>23</v>
      </c>
      <c r="G767" t="s">
        <v>2239</v>
      </c>
      <c r="H767" s="5" t="s">
        <v>3674</v>
      </c>
      <c r="I767" s="5" t="s">
        <v>867</v>
      </c>
      <c r="J767" s="5" t="s">
        <v>868</v>
      </c>
      <c r="K767" s="5" t="s">
        <v>196</v>
      </c>
      <c r="L767">
        <v>1</v>
      </c>
      <c r="M767">
        <v>150.51</v>
      </c>
      <c r="N767" s="8">
        <v>7.53</v>
      </c>
      <c r="O767" s="8">
        <v>142.97999999999999</v>
      </c>
      <c r="P767" s="8">
        <v>7.15</v>
      </c>
      <c r="Q767" s="10">
        <v>10</v>
      </c>
      <c r="R767" s="10">
        <v>0</v>
      </c>
      <c r="S767" s="8">
        <v>160.13</v>
      </c>
      <c r="T767">
        <v>41</v>
      </c>
      <c r="U767" t="str">
        <f t="shared" si="11"/>
        <v>Saturday</v>
      </c>
    </row>
    <row r="768" spans="1:21" x14ac:dyDescent="0.3">
      <c r="A768" s="5" t="s">
        <v>2240</v>
      </c>
      <c r="B768" s="3" t="s">
        <v>3685</v>
      </c>
      <c r="C768" s="5" t="s">
        <v>870</v>
      </c>
      <c r="D768" s="5" t="s">
        <v>21</v>
      </c>
      <c r="E768" s="5" t="s">
        <v>69</v>
      </c>
      <c r="F768" s="5" t="s">
        <v>37</v>
      </c>
      <c r="G768" t="s">
        <v>2241</v>
      </c>
      <c r="H768" s="5" t="s">
        <v>3673</v>
      </c>
      <c r="I768" s="5" t="s">
        <v>872</v>
      </c>
      <c r="J768" s="5" t="s">
        <v>873</v>
      </c>
      <c r="K768" s="5" t="s">
        <v>145</v>
      </c>
      <c r="L768">
        <v>2</v>
      </c>
      <c r="M768">
        <v>59.92</v>
      </c>
      <c r="N768" s="8">
        <v>8.99</v>
      </c>
      <c r="O768" s="8">
        <v>110.85</v>
      </c>
      <c r="P768" s="8">
        <v>5.54</v>
      </c>
      <c r="Q768" s="10">
        <v>0</v>
      </c>
      <c r="R768" s="10">
        <v>5</v>
      </c>
      <c r="S768" s="8">
        <v>121.39</v>
      </c>
      <c r="T768">
        <v>24.67</v>
      </c>
      <c r="U768" t="str">
        <f t="shared" si="11"/>
        <v>Thursday</v>
      </c>
    </row>
    <row r="769" spans="1:21" x14ac:dyDescent="0.3">
      <c r="A769" s="5" t="s">
        <v>2242</v>
      </c>
      <c r="B769" s="3" t="s">
        <v>3706</v>
      </c>
      <c r="C769" s="5" t="s">
        <v>875</v>
      </c>
      <c r="D769" s="5" t="s">
        <v>21</v>
      </c>
      <c r="E769" s="5" t="s">
        <v>69</v>
      </c>
      <c r="F769" s="5" t="s">
        <v>42</v>
      </c>
      <c r="G769" t="s">
        <v>2243</v>
      </c>
      <c r="H769" s="5" t="s">
        <v>3673</v>
      </c>
      <c r="I769" s="5" t="s">
        <v>877</v>
      </c>
      <c r="J769" s="5" t="s">
        <v>878</v>
      </c>
      <c r="K769" s="5" t="s">
        <v>196</v>
      </c>
      <c r="L769">
        <v>2</v>
      </c>
      <c r="M769">
        <v>244.07</v>
      </c>
      <c r="N769" s="8">
        <v>0</v>
      </c>
      <c r="O769" s="8">
        <v>488.14</v>
      </c>
      <c r="P769" s="8">
        <v>24.41</v>
      </c>
      <c r="Q769" s="10">
        <v>10</v>
      </c>
      <c r="R769" s="10">
        <v>20</v>
      </c>
      <c r="S769" s="8">
        <v>542.54999999999995</v>
      </c>
      <c r="T769">
        <v>36</v>
      </c>
      <c r="U769" t="str">
        <f t="shared" si="11"/>
        <v>Thursday</v>
      </c>
    </row>
    <row r="770" spans="1:21" x14ac:dyDescent="0.3">
      <c r="A770" s="5" t="s">
        <v>2244</v>
      </c>
      <c r="B770" s="3" t="s">
        <v>3711</v>
      </c>
      <c r="C770" s="5" t="s">
        <v>880</v>
      </c>
      <c r="D770" s="5" t="s">
        <v>82</v>
      </c>
      <c r="E770" s="5" t="s">
        <v>83</v>
      </c>
      <c r="F770" s="5" t="s">
        <v>37</v>
      </c>
      <c r="G770" t="s">
        <v>2245</v>
      </c>
      <c r="H770" s="5" t="s">
        <v>3676</v>
      </c>
      <c r="I770" s="5" t="s">
        <v>882</v>
      </c>
      <c r="J770" s="5" t="s">
        <v>883</v>
      </c>
      <c r="K770" s="5" t="s">
        <v>45</v>
      </c>
      <c r="L770">
        <v>1</v>
      </c>
      <c r="M770">
        <v>164.6</v>
      </c>
      <c r="N770" s="8">
        <v>24.69</v>
      </c>
      <c r="O770" s="8">
        <v>139.91</v>
      </c>
      <c r="P770" s="8">
        <v>7</v>
      </c>
      <c r="Q770" s="10">
        <v>10</v>
      </c>
      <c r="R770" s="10">
        <v>0</v>
      </c>
      <c r="S770" s="8">
        <v>156.91</v>
      </c>
      <c r="T770">
        <v>12</v>
      </c>
      <c r="U770" t="str">
        <f t="shared" si="11"/>
        <v>Wednesday</v>
      </c>
    </row>
    <row r="771" spans="1:21" x14ac:dyDescent="0.3">
      <c r="A771" s="5" t="s">
        <v>2246</v>
      </c>
      <c r="B771" s="3" t="s">
        <v>3678</v>
      </c>
      <c r="C771" s="5" t="s">
        <v>885</v>
      </c>
      <c r="D771" s="5" t="s">
        <v>21</v>
      </c>
      <c r="E771" s="5" t="s">
        <v>76</v>
      </c>
      <c r="F771" s="5" t="s">
        <v>37</v>
      </c>
      <c r="G771" t="s">
        <v>2247</v>
      </c>
      <c r="H771" s="5" t="s">
        <v>100</v>
      </c>
      <c r="I771" s="5" t="s">
        <v>887</v>
      </c>
      <c r="J771" s="5" t="s">
        <v>888</v>
      </c>
      <c r="K771" s="5" t="s">
        <v>28</v>
      </c>
      <c r="L771">
        <v>1</v>
      </c>
      <c r="M771">
        <v>77.150000000000006</v>
      </c>
      <c r="N771" s="8">
        <v>0</v>
      </c>
      <c r="O771" s="8">
        <v>77.150000000000006</v>
      </c>
      <c r="P771" s="8">
        <v>3.86</v>
      </c>
      <c r="Q771" s="10">
        <v>20</v>
      </c>
      <c r="R771" s="10">
        <v>15</v>
      </c>
      <c r="S771" s="8">
        <v>116.01</v>
      </c>
      <c r="T771">
        <v>37</v>
      </c>
      <c r="U771" t="str">
        <f t="shared" ref="U771:U834" si="12">TEXT(B771,"dddd")</f>
        <v>Saturday</v>
      </c>
    </row>
    <row r="772" spans="1:21" x14ac:dyDescent="0.3">
      <c r="A772" s="5" t="s">
        <v>2248</v>
      </c>
      <c r="B772" s="3" t="s">
        <v>3730</v>
      </c>
      <c r="C772" s="5" t="s">
        <v>890</v>
      </c>
      <c r="D772" s="5" t="s">
        <v>21</v>
      </c>
      <c r="E772" s="5" t="s">
        <v>112</v>
      </c>
      <c r="F772" s="5" t="s">
        <v>37</v>
      </c>
      <c r="G772" t="s">
        <v>2249</v>
      </c>
      <c r="H772" s="5" t="s">
        <v>3674</v>
      </c>
      <c r="I772" s="5" t="s">
        <v>892</v>
      </c>
      <c r="J772" s="5" t="s">
        <v>893</v>
      </c>
      <c r="K772" s="5" t="s">
        <v>22</v>
      </c>
      <c r="L772">
        <v>1</v>
      </c>
      <c r="M772">
        <v>57.45</v>
      </c>
      <c r="N772" s="8">
        <v>0</v>
      </c>
      <c r="O772" s="8">
        <v>57.45</v>
      </c>
      <c r="P772" s="8">
        <v>2.87</v>
      </c>
      <c r="Q772" s="10">
        <v>30</v>
      </c>
      <c r="R772" s="10">
        <v>5</v>
      </c>
      <c r="S772" s="8">
        <v>95.32</v>
      </c>
      <c r="T772">
        <v>37</v>
      </c>
      <c r="U772" t="str">
        <f t="shared" si="12"/>
        <v>Friday</v>
      </c>
    </row>
    <row r="773" spans="1:21" x14ac:dyDescent="0.3">
      <c r="A773" s="5" t="s">
        <v>2250</v>
      </c>
      <c r="B773" s="3" t="s">
        <v>3688</v>
      </c>
      <c r="C773" s="5" t="s">
        <v>895</v>
      </c>
      <c r="D773" s="5" t="s">
        <v>21</v>
      </c>
      <c r="E773" s="5" t="s">
        <v>22</v>
      </c>
      <c r="F773" s="5" t="s">
        <v>23</v>
      </c>
      <c r="G773" t="s">
        <v>2251</v>
      </c>
      <c r="H773" s="5" t="s">
        <v>25</v>
      </c>
      <c r="I773" s="5" t="s">
        <v>897</v>
      </c>
      <c r="J773" s="5" t="s">
        <v>898</v>
      </c>
      <c r="K773" s="5" t="s">
        <v>45</v>
      </c>
      <c r="L773">
        <v>1</v>
      </c>
      <c r="M773">
        <v>97.56</v>
      </c>
      <c r="N773" s="8">
        <v>9.76</v>
      </c>
      <c r="O773" s="8">
        <v>87.8</v>
      </c>
      <c r="P773" s="8">
        <v>4.3899999999999997</v>
      </c>
      <c r="Q773" s="10">
        <v>10</v>
      </c>
      <c r="R773" s="10">
        <v>10</v>
      </c>
      <c r="S773" s="8">
        <v>112.19</v>
      </c>
      <c r="T773">
        <v>22</v>
      </c>
      <c r="U773" t="str">
        <f t="shared" si="12"/>
        <v>Saturday</v>
      </c>
    </row>
    <row r="774" spans="1:21" x14ac:dyDescent="0.3">
      <c r="A774" s="5" t="s">
        <v>2252</v>
      </c>
      <c r="B774" s="3" t="s">
        <v>3704</v>
      </c>
      <c r="C774" s="5" t="s">
        <v>900</v>
      </c>
      <c r="D774" s="5" t="s">
        <v>21</v>
      </c>
      <c r="E774" s="5" t="s">
        <v>69</v>
      </c>
      <c r="F774" s="5" t="s">
        <v>42</v>
      </c>
      <c r="G774" t="s">
        <v>2253</v>
      </c>
      <c r="H774" s="5" t="s">
        <v>3677</v>
      </c>
      <c r="I774" s="5" t="s">
        <v>902</v>
      </c>
      <c r="J774" s="5" t="s">
        <v>903</v>
      </c>
      <c r="K774" s="5" t="s">
        <v>73</v>
      </c>
      <c r="L774">
        <v>7</v>
      </c>
      <c r="M774">
        <v>155.36000000000001</v>
      </c>
      <c r="N774" s="8">
        <v>23.3</v>
      </c>
      <c r="O774" s="8">
        <v>1064.22</v>
      </c>
      <c r="P774" s="8">
        <v>53.21</v>
      </c>
      <c r="Q774" s="10">
        <v>10</v>
      </c>
      <c r="R774" s="10">
        <v>5</v>
      </c>
      <c r="S774" s="8">
        <v>1132.43</v>
      </c>
      <c r="T774">
        <v>22</v>
      </c>
      <c r="U774" t="str">
        <f t="shared" si="12"/>
        <v>Tuesday</v>
      </c>
    </row>
    <row r="775" spans="1:21" x14ac:dyDescent="0.3">
      <c r="A775" s="5" t="s">
        <v>2254</v>
      </c>
      <c r="B775" s="3" t="s">
        <v>3683</v>
      </c>
      <c r="C775" s="5" t="s">
        <v>905</v>
      </c>
      <c r="D775" s="5" t="s">
        <v>21</v>
      </c>
      <c r="E775" s="5" t="s">
        <v>112</v>
      </c>
      <c r="F775" s="5" t="s">
        <v>42</v>
      </c>
      <c r="G775" t="s">
        <v>2255</v>
      </c>
      <c r="H775" s="5" t="s">
        <v>3673</v>
      </c>
      <c r="I775" s="5" t="s">
        <v>907</v>
      </c>
      <c r="J775" s="5" t="s">
        <v>908</v>
      </c>
      <c r="K775" s="5" t="s">
        <v>73</v>
      </c>
      <c r="L775">
        <v>1</v>
      </c>
      <c r="M775">
        <v>154.07</v>
      </c>
      <c r="N775" s="8">
        <v>15.41</v>
      </c>
      <c r="O775" s="8">
        <v>138.66</v>
      </c>
      <c r="P775" s="8">
        <v>6.93</v>
      </c>
      <c r="Q775" s="10">
        <v>20</v>
      </c>
      <c r="R775" s="10">
        <v>10</v>
      </c>
      <c r="S775" s="8">
        <v>175.59</v>
      </c>
      <c r="T775">
        <v>24</v>
      </c>
      <c r="U775" t="str">
        <f t="shared" si="12"/>
        <v>Thursday</v>
      </c>
    </row>
    <row r="776" spans="1:21" x14ac:dyDescent="0.3">
      <c r="A776" s="5" t="s">
        <v>2256</v>
      </c>
      <c r="B776" s="3" t="s">
        <v>3678</v>
      </c>
      <c r="C776" s="5" t="s">
        <v>910</v>
      </c>
      <c r="D776" s="5" t="s">
        <v>21</v>
      </c>
      <c r="E776" s="5" t="s">
        <v>69</v>
      </c>
      <c r="F776" s="5" t="s">
        <v>37</v>
      </c>
      <c r="G776" t="s">
        <v>2257</v>
      </c>
      <c r="H776" s="5" t="s">
        <v>25</v>
      </c>
      <c r="I776" s="5" t="s">
        <v>912</v>
      </c>
      <c r="J776" s="5" t="s">
        <v>913</v>
      </c>
      <c r="K776" s="5" t="s">
        <v>73</v>
      </c>
      <c r="L776">
        <v>2</v>
      </c>
      <c r="M776">
        <v>158.43</v>
      </c>
      <c r="N776" s="8">
        <v>7.92</v>
      </c>
      <c r="O776" s="8">
        <v>308.94</v>
      </c>
      <c r="P776" s="8">
        <v>15.45</v>
      </c>
      <c r="Q776" s="10">
        <v>10</v>
      </c>
      <c r="R776" s="10">
        <v>20</v>
      </c>
      <c r="S776" s="8">
        <v>354.39</v>
      </c>
      <c r="T776">
        <v>26</v>
      </c>
      <c r="U776" t="str">
        <f t="shared" si="12"/>
        <v>Saturday</v>
      </c>
    </row>
    <row r="777" spans="1:21" x14ac:dyDescent="0.3">
      <c r="A777" s="5" t="s">
        <v>2258</v>
      </c>
      <c r="B777" s="3" t="s">
        <v>3717</v>
      </c>
      <c r="C777" s="5" t="s">
        <v>915</v>
      </c>
      <c r="D777" s="5" t="s">
        <v>82</v>
      </c>
      <c r="E777" s="5" t="s">
        <v>83</v>
      </c>
      <c r="F777" s="5" t="s">
        <v>37</v>
      </c>
      <c r="G777" t="s">
        <v>2259</v>
      </c>
      <c r="H777" s="5" t="s">
        <v>3673</v>
      </c>
      <c r="I777" s="5" t="s">
        <v>917</v>
      </c>
      <c r="J777" s="5" t="s">
        <v>918</v>
      </c>
      <c r="K777" s="5" t="s">
        <v>196</v>
      </c>
      <c r="L777">
        <v>1</v>
      </c>
      <c r="M777">
        <v>116.29</v>
      </c>
      <c r="N777" s="8">
        <v>11.63</v>
      </c>
      <c r="O777" s="8">
        <v>104.66</v>
      </c>
      <c r="P777" s="8">
        <v>5.23</v>
      </c>
      <c r="Q777" s="10">
        <v>20</v>
      </c>
      <c r="R777" s="10">
        <v>20</v>
      </c>
      <c r="S777" s="8">
        <v>149.88999999999999</v>
      </c>
      <c r="T777">
        <v>16</v>
      </c>
      <c r="U777" t="str">
        <f t="shared" si="12"/>
        <v>Tuesday</v>
      </c>
    </row>
    <row r="778" spans="1:21" x14ac:dyDescent="0.3">
      <c r="A778" s="5" t="s">
        <v>2260</v>
      </c>
      <c r="B778" s="3" t="s">
        <v>3728</v>
      </c>
      <c r="C778" s="5" t="s">
        <v>920</v>
      </c>
      <c r="D778" s="5" t="s">
        <v>21</v>
      </c>
      <c r="E778" s="5" t="s">
        <v>22</v>
      </c>
      <c r="F778" s="5" t="s">
        <v>23</v>
      </c>
      <c r="G778" t="s">
        <v>2261</v>
      </c>
      <c r="H778" s="5" t="s">
        <v>3674</v>
      </c>
      <c r="I778" s="5" t="s">
        <v>922</v>
      </c>
      <c r="J778" s="5" t="s">
        <v>923</v>
      </c>
      <c r="K778" s="5" t="s">
        <v>56</v>
      </c>
      <c r="L778">
        <v>5</v>
      </c>
      <c r="M778">
        <v>177.5</v>
      </c>
      <c r="N778" s="8">
        <v>26.62</v>
      </c>
      <c r="O778" s="8">
        <v>860.88</v>
      </c>
      <c r="P778" s="8">
        <v>43.04</v>
      </c>
      <c r="Q778" s="10">
        <v>0</v>
      </c>
      <c r="R778" s="10">
        <v>5</v>
      </c>
      <c r="S778" s="8">
        <v>908.92</v>
      </c>
      <c r="T778">
        <v>24.67</v>
      </c>
      <c r="U778" t="str">
        <f t="shared" si="12"/>
        <v>Friday</v>
      </c>
    </row>
    <row r="779" spans="1:21" x14ac:dyDescent="0.3">
      <c r="A779" s="5" t="s">
        <v>2262</v>
      </c>
      <c r="B779" s="3" t="s">
        <v>3683</v>
      </c>
      <c r="C779" s="5" t="s">
        <v>925</v>
      </c>
      <c r="D779" s="5" t="s">
        <v>21</v>
      </c>
      <c r="E779" s="5" t="s">
        <v>112</v>
      </c>
      <c r="F779" s="5" t="s">
        <v>37</v>
      </c>
      <c r="G779" t="s">
        <v>2263</v>
      </c>
      <c r="H779" s="5" t="s">
        <v>3673</v>
      </c>
      <c r="I779" s="5" t="s">
        <v>927</v>
      </c>
      <c r="J779" s="5" t="s">
        <v>928</v>
      </c>
      <c r="K779" s="5" t="s">
        <v>40</v>
      </c>
      <c r="L779">
        <v>3</v>
      </c>
      <c r="M779">
        <v>56.64</v>
      </c>
      <c r="N779" s="8">
        <v>2.83</v>
      </c>
      <c r="O779" s="8">
        <v>167.09</v>
      </c>
      <c r="P779" s="8">
        <v>8.35</v>
      </c>
      <c r="Q779" s="10">
        <v>0</v>
      </c>
      <c r="R779" s="10">
        <v>15</v>
      </c>
      <c r="S779" s="8">
        <v>190.44</v>
      </c>
      <c r="T779">
        <v>24.67</v>
      </c>
      <c r="U779" t="str">
        <f t="shared" si="12"/>
        <v>Thursday</v>
      </c>
    </row>
    <row r="780" spans="1:21" x14ac:dyDescent="0.3">
      <c r="A780" s="5" t="s">
        <v>2264</v>
      </c>
      <c r="B780" s="3" t="s">
        <v>3733</v>
      </c>
      <c r="C780" s="5" t="s">
        <v>930</v>
      </c>
      <c r="D780" s="5" t="s">
        <v>21</v>
      </c>
      <c r="E780" s="5" t="s">
        <v>112</v>
      </c>
      <c r="F780" s="5" t="s">
        <v>42</v>
      </c>
      <c r="G780" t="s">
        <v>2265</v>
      </c>
      <c r="H780" s="5" t="s">
        <v>3675</v>
      </c>
      <c r="I780" s="5" t="s">
        <v>932</v>
      </c>
      <c r="J780" s="5" t="s">
        <v>933</v>
      </c>
      <c r="K780" s="5" t="s">
        <v>45</v>
      </c>
      <c r="L780">
        <v>2</v>
      </c>
      <c r="M780">
        <v>181.18</v>
      </c>
      <c r="N780" s="8">
        <v>18.12</v>
      </c>
      <c r="O780" s="8">
        <v>344.24</v>
      </c>
      <c r="P780" s="8">
        <v>17.21</v>
      </c>
      <c r="Q780" s="10">
        <v>30</v>
      </c>
      <c r="R780" s="10">
        <v>0</v>
      </c>
      <c r="S780" s="8">
        <v>391.45</v>
      </c>
      <c r="T780">
        <v>10</v>
      </c>
      <c r="U780" t="str">
        <f t="shared" si="12"/>
        <v>Sunday</v>
      </c>
    </row>
    <row r="781" spans="1:21" x14ac:dyDescent="0.3">
      <c r="A781" s="5" t="s">
        <v>2266</v>
      </c>
      <c r="B781" s="3" t="s">
        <v>3721</v>
      </c>
      <c r="C781" s="5" t="s">
        <v>935</v>
      </c>
      <c r="D781" s="5" t="s">
        <v>106</v>
      </c>
      <c r="E781" s="5" t="s">
        <v>83</v>
      </c>
      <c r="F781" s="5" t="s">
        <v>42</v>
      </c>
      <c r="G781" t="s">
        <v>2267</v>
      </c>
      <c r="H781" s="5" t="s">
        <v>3674</v>
      </c>
      <c r="I781" s="5" t="s">
        <v>937</v>
      </c>
      <c r="J781" s="5" t="s">
        <v>938</v>
      </c>
      <c r="K781" s="5" t="s">
        <v>196</v>
      </c>
      <c r="L781">
        <v>3</v>
      </c>
      <c r="M781">
        <v>131.63999999999999</v>
      </c>
      <c r="N781" s="8">
        <v>0</v>
      </c>
      <c r="O781" s="8">
        <v>394.92</v>
      </c>
      <c r="P781" s="8">
        <v>19.75</v>
      </c>
      <c r="Q781" s="10">
        <v>30</v>
      </c>
      <c r="R781" s="10">
        <v>10</v>
      </c>
      <c r="S781" s="8">
        <v>454.67</v>
      </c>
      <c r="T781">
        <v>24.67</v>
      </c>
      <c r="U781" t="str">
        <f t="shared" si="12"/>
        <v>Tuesday</v>
      </c>
    </row>
    <row r="782" spans="1:21" x14ac:dyDescent="0.3">
      <c r="A782" s="5" t="s">
        <v>2268</v>
      </c>
      <c r="B782" s="3" t="s">
        <v>3685</v>
      </c>
      <c r="C782" s="5" t="s">
        <v>940</v>
      </c>
      <c r="D782" s="5" t="s">
        <v>21</v>
      </c>
      <c r="E782" s="5" t="s">
        <v>22</v>
      </c>
      <c r="F782" s="5" t="s">
        <v>23</v>
      </c>
      <c r="G782" t="s">
        <v>2269</v>
      </c>
      <c r="H782" s="5" t="s">
        <v>100</v>
      </c>
      <c r="I782" s="5" t="s">
        <v>942</v>
      </c>
      <c r="J782" s="5" t="s">
        <v>943</v>
      </c>
      <c r="K782" s="5" t="s">
        <v>196</v>
      </c>
      <c r="L782">
        <v>1</v>
      </c>
      <c r="M782">
        <v>72.599999999999994</v>
      </c>
      <c r="N782" s="8">
        <v>7.26</v>
      </c>
      <c r="O782" s="8">
        <v>65.339999999999989</v>
      </c>
      <c r="P782" s="8">
        <v>3.27</v>
      </c>
      <c r="Q782" s="10">
        <v>30</v>
      </c>
      <c r="R782" s="10">
        <v>15</v>
      </c>
      <c r="S782" s="8">
        <v>113.61</v>
      </c>
      <c r="T782">
        <v>24.67</v>
      </c>
      <c r="U782" t="str">
        <f t="shared" si="12"/>
        <v>Thursday</v>
      </c>
    </row>
    <row r="783" spans="1:21" x14ac:dyDescent="0.3">
      <c r="A783" s="5" t="s">
        <v>2270</v>
      </c>
      <c r="B783" s="3" t="s">
        <v>3725</v>
      </c>
      <c r="C783" s="5" t="s">
        <v>945</v>
      </c>
      <c r="D783" s="5" t="s">
        <v>21</v>
      </c>
      <c r="E783" s="5" t="s">
        <v>112</v>
      </c>
      <c r="F783" s="5" t="s">
        <v>42</v>
      </c>
      <c r="G783" t="s">
        <v>2271</v>
      </c>
      <c r="H783" s="5" t="s">
        <v>3677</v>
      </c>
      <c r="I783" s="5" t="s">
        <v>947</v>
      </c>
      <c r="J783" s="5" t="s">
        <v>948</v>
      </c>
      <c r="K783" s="5" t="s">
        <v>56</v>
      </c>
      <c r="L783">
        <v>1</v>
      </c>
      <c r="M783">
        <v>56.03</v>
      </c>
      <c r="N783" s="8">
        <v>2.8</v>
      </c>
      <c r="O783" s="8">
        <v>53.23</v>
      </c>
      <c r="P783" s="8">
        <v>2.66</v>
      </c>
      <c r="Q783" s="10">
        <v>20</v>
      </c>
      <c r="R783" s="10">
        <v>0</v>
      </c>
      <c r="S783" s="8">
        <v>75.89</v>
      </c>
      <c r="T783">
        <v>41</v>
      </c>
      <c r="U783" t="str">
        <f t="shared" si="12"/>
        <v>Wednesday</v>
      </c>
    </row>
    <row r="784" spans="1:21" x14ac:dyDescent="0.3">
      <c r="A784" s="5" t="s">
        <v>2272</v>
      </c>
      <c r="B784" s="3" t="s">
        <v>3680</v>
      </c>
      <c r="C784" s="5" t="s">
        <v>950</v>
      </c>
      <c r="D784" s="5" t="s">
        <v>21</v>
      </c>
      <c r="E784" s="5" t="s">
        <v>69</v>
      </c>
      <c r="F784" s="5" t="s">
        <v>37</v>
      </c>
      <c r="G784" t="s">
        <v>2273</v>
      </c>
      <c r="H784" s="5" t="s">
        <v>3673</v>
      </c>
      <c r="I784" s="5" t="s">
        <v>952</v>
      </c>
      <c r="J784" s="5" t="s">
        <v>953</v>
      </c>
      <c r="K784" s="5" t="s">
        <v>40</v>
      </c>
      <c r="L784">
        <v>6</v>
      </c>
      <c r="M784">
        <v>96.68</v>
      </c>
      <c r="N784" s="8">
        <v>0</v>
      </c>
      <c r="O784" s="8">
        <v>580.08000000000004</v>
      </c>
      <c r="P784" s="8">
        <v>29</v>
      </c>
      <c r="Q784" s="10">
        <v>0</v>
      </c>
      <c r="R784" s="10">
        <v>15</v>
      </c>
      <c r="S784" s="8">
        <v>624.08000000000004</v>
      </c>
      <c r="T784">
        <v>28</v>
      </c>
      <c r="U784" t="str">
        <f t="shared" si="12"/>
        <v>Wednesday</v>
      </c>
    </row>
    <row r="785" spans="1:21" x14ac:dyDescent="0.3">
      <c r="A785" s="5" t="s">
        <v>2274</v>
      </c>
      <c r="B785" s="3" t="s">
        <v>3686</v>
      </c>
      <c r="C785" s="5" t="s">
        <v>955</v>
      </c>
      <c r="D785" s="5" t="s">
        <v>21</v>
      </c>
      <c r="E785" s="5" t="s">
        <v>112</v>
      </c>
      <c r="F785" s="5" t="s">
        <v>37</v>
      </c>
      <c r="G785" t="s">
        <v>2275</v>
      </c>
      <c r="H785" s="5" t="s">
        <v>3673</v>
      </c>
      <c r="I785" s="5" t="s">
        <v>957</v>
      </c>
      <c r="J785" s="5" t="s">
        <v>958</v>
      </c>
      <c r="K785" s="5" t="s">
        <v>28</v>
      </c>
      <c r="L785">
        <v>4</v>
      </c>
      <c r="M785">
        <v>176.92</v>
      </c>
      <c r="N785" s="8">
        <v>8.85</v>
      </c>
      <c r="O785" s="8">
        <v>698.82999999999993</v>
      </c>
      <c r="P785" s="8">
        <v>34.94</v>
      </c>
      <c r="Q785" s="10">
        <v>10</v>
      </c>
      <c r="R785" s="10">
        <v>15</v>
      </c>
      <c r="S785" s="8">
        <v>758.77</v>
      </c>
      <c r="T785">
        <v>17</v>
      </c>
      <c r="U785" t="str">
        <f t="shared" si="12"/>
        <v>Saturday</v>
      </c>
    </row>
    <row r="786" spans="1:21" x14ac:dyDescent="0.3">
      <c r="A786" s="5" t="s">
        <v>2276</v>
      </c>
      <c r="B786" s="3" t="s">
        <v>3715</v>
      </c>
      <c r="C786" s="5" t="s">
        <v>960</v>
      </c>
      <c r="D786" s="5" t="s">
        <v>21</v>
      </c>
      <c r="E786" s="5" t="s">
        <v>69</v>
      </c>
      <c r="F786" s="5" t="s">
        <v>23</v>
      </c>
      <c r="G786" t="s">
        <v>2277</v>
      </c>
      <c r="H786" s="5" t="s">
        <v>100</v>
      </c>
      <c r="I786" s="5" t="s">
        <v>962</v>
      </c>
      <c r="J786" s="5" t="s">
        <v>963</v>
      </c>
      <c r="K786" s="5" t="s">
        <v>196</v>
      </c>
      <c r="L786">
        <v>1</v>
      </c>
      <c r="M786">
        <v>24.66</v>
      </c>
      <c r="N786" s="8">
        <v>0</v>
      </c>
      <c r="O786" s="8">
        <v>24.66</v>
      </c>
      <c r="P786" s="8">
        <v>1.23</v>
      </c>
      <c r="Q786" s="10">
        <v>20</v>
      </c>
      <c r="R786" s="10">
        <v>15</v>
      </c>
      <c r="S786" s="8">
        <v>60.89</v>
      </c>
      <c r="T786">
        <v>39</v>
      </c>
      <c r="U786" t="str">
        <f t="shared" si="12"/>
        <v>Saturday</v>
      </c>
    </row>
    <row r="787" spans="1:21" x14ac:dyDescent="0.3">
      <c r="A787" s="5" t="s">
        <v>2278</v>
      </c>
      <c r="B787" s="3" t="s">
        <v>3708</v>
      </c>
      <c r="C787" s="5" t="s">
        <v>965</v>
      </c>
      <c r="D787" s="5" t="s">
        <v>21</v>
      </c>
      <c r="E787" s="5" t="s">
        <v>112</v>
      </c>
      <c r="F787" s="5" t="s">
        <v>37</v>
      </c>
      <c r="G787" t="s">
        <v>2279</v>
      </c>
      <c r="H787" s="5" t="s">
        <v>3673</v>
      </c>
      <c r="I787" s="5" t="s">
        <v>967</v>
      </c>
      <c r="J787" s="5" t="s">
        <v>968</v>
      </c>
      <c r="K787" s="5" t="s">
        <v>34</v>
      </c>
      <c r="L787">
        <v>1</v>
      </c>
      <c r="M787">
        <v>58.18</v>
      </c>
      <c r="N787" s="8">
        <v>2.91</v>
      </c>
      <c r="O787" s="8">
        <v>55.27</v>
      </c>
      <c r="P787" s="8">
        <v>2.76</v>
      </c>
      <c r="Q787" s="10">
        <v>30</v>
      </c>
      <c r="R787" s="10">
        <v>10</v>
      </c>
      <c r="S787" s="8">
        <v>98.03</v>
      </c>
      <c r="T787">
        <v>24.67</v>
      </c>
      <c r="U787" t="str">
        <f t="shared" si="12"/>
        <v>Sunday</v>
      </c>
    </row>
    <row r="788" spans="1:21" x14ac:dyDescent="0.3">
      <c r="A788" s="5" t="s">
        <v>2280</v>
      </c>
      <c r="B788" s="3" t="s">
        <v>3699</v>
      </c>
      <c r="C788" s="5" t="s">
        <v>970</v>
      </c>
      <c r="D788" s="5" t="s">
        <v>21</v>
      </c>
      <c r="E788" s="5" t="s">
        <v>22</v>
      </c>
      <c r="F788" s="5" t="s">
        <v>3671</v>
      </c>
      <c r="G788" t="s">
        <v>2281</v>
      </c>
      <c r="H788" s="5" t="s">
        <v>100</v>
      </c>
      <c r="I788" s="5" t="s">
        <v>972</v>
      </c>
      <c r="J788" s="5" t="s">
        <v>973</v>
      </c>
      <c r="K788" s="5" t="s">
        <v>28</v>
      </c>
      <c r="L788">
        <v>4</v>
      </c>
      <c r="M788">
        <v>4.28</v>
      </c>
      <c r="N788" s="8">
        <v>0</v>
      </c>
      <c r="O788" s="8">
        <v>17.12</v>
      </c>
      <c r="P788" s="8">
        <v>0.86</v>
      </c>
      <c r="Q788" s="10">
        <v>10</v>
      </c>
      <c r="R788" s="10">
        <v>5</v>
      </c>
      <c r="S788" s="8">
        <v>32.979999999999997</v>
      </c>
      <c r="T788">
        <v>48</v>
      </c>
      <c r="U788" t="str">
        <f t="shared" si="12"/>
        <v>Sunday</v>
      </c>
    </row>
    <row r="789" spans="1:21" x14ac:dyDescent="0.3">
      <c r="A789" s="5" t="s">
        <v>2282</v>
      </c>
      <c r="B789" s="3" t="s">
        <v>3714</v>
      </c>
      <c r="C789" s="5" t="s">
        <v>975</v>
      </c>
      <c r="D789" s="5" t="s">
        <v>21</v>
      </c>
      <c r="E789" s="5" t="s">
        <v>69</v>
      </c>
      <c r="F789" s="5" t="s">
        <v>37</v>
      </c>
      <c r="G789" t="s">
        <v>2283</v>
      </c>
      <c r="H789" s="5" t="s">
        <v>3673</v>
      </c>
      <c r="I789" s="5" t="s">
        <v>977</v>
      </c>
      <c r="J789" s="5" t="s">
        <v>978</v>
      </c>
      <c r="K789" s="5" t="s">
        <v>103</v>
      </c>
      <c r="L789">
        <v>1</v>
      </c>
      <c r="M789">
        <v>123.67</v>
      </c>
      <c r="N789" s="8">
        <v>6.18</v>
      </c>
      <c r="O789" s="8">
        <v>117.49</v>
      </c>
      <c r="P789" s="8">
        <v>5.87</v>
      </c>
      <c r="Q789" s="10">
        <v>30</v>
      </c>
      <c r="R789" s="10">
        <v>5</v>
      </c>
      <c r="S789" s="8">
        <v>158.36000000000001</v>
      </c>
      <c r="T789">
        <v>25</v>
      </c>
      <c r="U789" t="str">
        <f t="shared" si="12"/>
        <v>Thursday</v>
      </c>
    </row>
    <row r="790" spans="1:21" x14ac:dyDescent="0.3">
      <c r="A790" s="5" t="s">
        <v>2284</v>
      </c>
      <c r="B790" s="3" t="s">
        <v>3727</v>
      </c>
      <c r="C790" s="5" t="s">
        <v>980</v>
      </c>
      <c r="D790" s="5" t="s">
        <v>106</v>
      </c>
      <c r="E790" s="5" t="s">
        <v>83</v>
      </c>
      <c r="F790" s="5" t="s">
        <v>42</v>
      </c>
      <c r="G790" t="s">
        <v>2285</v>
      </c>
      <c r="H790" s="5" t="s">
        <v>3675</v>
      </c>
      <c r="I790" s="5" t="s">
        <v>982</v>
      </c>
      <c r="J790" s="5" t="s">
        <v>983</v>
      </c>
      <c r="K790" s="5" t="s">
        <v>45</v>
      </c>
      <c r="L790">
        <v>1</v>
      </c>
      <c r="M790">
        <v>160.47</v>
      </c>
      <c r="N790" s="8">
        <v>8.02</v>
      </c>
      <c r="O790" s="8">
        <v>152.44999999999999</v>
      </c>
      <c r="P790" s="8">
        <v>7.62</v>
      </c>
      <c r="Q790" s="10">
        <v>0</v>
      </c>
      <c r="R790" s="10">
        <v>10</v>
      </c>
      <c r="S790" s="8">
        <v>170.07</v>
      </c>
      <c r="T790">
        <v>28</v>
      </c>
      <c r="U790" t="str">
        <f t="shared" si="12"/>
        <v>Friday</v>
      </c>
    </row>
    <row r="791" spans="1:21" x14ac:dyDescent="0.3">
      <c r="A791" s="5" t="s">
        <v>2286</v>
      </c>
      <c r="B791" s="3" t="s">
        <v>3683</v>
      </c>
      <c r="C791" s="5" t="s">
        <v>985</v>
      </c>
      <c r="D791" s="5" t="s">
        <v>21</v>
      </c>
      <c r="E791" s="5" t="s">
        <v>69</v>
      </c>
      <c r="F791" s="5" t="s">
        <v>37</v>
      </c>
      <c r="G791" t="s">
        <v>2287</v>
      </c>
      <c r="H791" s="5" t="s">
        <v>3674</v>
      </c>
      <c r="I791" s="5" t="s">
        <v>987</v>
      </c>
      <c r="J791" s="5" t="s">
        <v>988</v>
      </c>
      <c r="K791" s="5" t="s">
        <v>45</v>
      </c>
      <c r="L791">
        <v>2</v>
      </c>
      <c r="M791">
        <v>11.21</v>
      </c>
      <c r="N791" s="8">
        <v>0.56000000000000005</v>
      </c>
      <c r="O791" s="8">
        <v>21.86</v>
      </c>
      <c r="P791" s="8">
        <v>1.0900000000000001</v>
      </c>
      <c r="Q791" s="10">
        <v>30</v>
      </c>
      <c r="R791" s="10">
        <v>15</v>
      </c>
      <c r="S791" s="8">
        <v>67.95</v>
      </c>
      <c r="T791">
        <v>14</v>
      </c>
      <c r="U791" t="str">
        <f t="shared" si="12"/>
        <v>Thursday</v>
      </c>
    </row>
    <row r="792" spans="1:21" x14ac:dyDescent="0.3">
      <c r="A792" s="5" t="s">
        <v>2288</v>
      </c>
      <c r="B792" s="3" t="s">
        <v>3694</v>
      </c>
      <c r="C792" s="5" t="s">
        <v>990</v>
      </c>
      <c r="D792" s="5" t="s">
        <v>21</v>
      </c>
      <c r="E792" s="5" t="s">
        <v>69</v>
      </c>
      <c r="F792" s="5" t="s">
        <v>42</v>
      </c>
      <c r="G792" t="s">
        <v>2289</v>
      </c>
      <c r="H792" s="5" t="s">
        <v>3675</v>
      </c>
      <c r="I792" s="5" t="s">
        <v>992</v>
      </c>
      <c r="J792" s="5" t="s">
        <v>993</v>
      </c>
      <c r="K792" s="5" t="s">
        <v>22</v>
      </c>
      <c r="L792">
        <v>1</v>
      </c>
      <c r="M792">
        <v>184.92</v>
      </c>
      <c r="N792" s="8">
        <v>18.489999999999998</v>
      </c>
      <c r="O792" s="8">
        <v>166.43</v>
      </c>
      <c r="P792" s="8">
        <v>8.32</v>
      </c>
      <c r="Q792" s="10">
        <v>30</v>
      </c>
      <c r="R792" s="10">
        <v>15</v>
      </c>
      <c r="S792" s="8">
        <v>219.75</v>
      </c>
      <c r="T792">
        <v>26</v>
      </c>
      <c r="U792" t="str">
        <f t="shared" si="12"/>
        <v>Thursday</v>
      </c>
    </row>
    <row r="793" spans="1:21" x14ac:dyDescent="0.3">
      <c r="A793" s="5" t="s">
        <v>2290</v>
      </c>
      <c r="B793" s="3" t="s">
        <v>3722</v>
      </c>
      <c r="C793" s="5" t="s">
        <v>995</v>
      </c>
      <c r="D793" s="5" t="s">
        <v>82</v>
      </c>
      <c r="E793" s="5" t="s">
        <v>83</v>
      </c>
      <c r="F793" s="5" t="s">
        <v>37</v>
      </c>
      <c r="G793" t="s">
        <v>2291</v>
      </c>
      <c r="H793" s="5" t="s">
        <v>3673</v>
      </c>
      <c r="I793" s="5" t="s">
        <v>997</v>
      </c>
      <c r="J793" s="5" t="s">
        <v>998</v>
      </c>
      <c r="K793" s="5" t="s">
        <v>45</v>
      </c>
      <c r="L793">
        <v>4</v>
      </c>
      <c r="M793">
        <v>153.58000000000001</v>
      </c>
      <c r="N793" s="8">
        <v>15.36</v>
      </c>
      <c r="O793" s="8">
        <v>598.96</v>
      </c>
      <c r="P793" s="8">
        <v>29.95</v>
      </c>
      <c r="Q793" s="10">
        <v>10</v>
      </c>
      <c r="R793" s="10">
        <v>5</v>
      </c>
      <c r="S793" s="8">
        <v>643.91000000000008</v>
      </c>
      <c r="T793">
        <v>26</v>
      </c>
      <c r="U793" t="str">
        <f t="shared" si="12"/>
        <v>Friday</v>
      </c>
    </row>
    <row r="794" spans="1:21" x14ac:dyDescent="0.3">
      <c r="A794" s="5" t="s">
        <v>2292</v>
      </c>
      <c r="B794" s="3" t="s">
        <v>3696</v>
      </c>
      <c r="C794" s="5" t="s">
        <v>1000</v>
      </c>
      <c r="D794" s="5" t="s">
        <v>21</v>
      </c>
      <c r="E794" s="5" t="s">
        <v>36</v>
      </c>
      <c r="F794" s="5" t="s">
        <v>42</v>
      </c>
      <c r="G794" t="s">
        <v>2293</v>
      </c>
      <c r="H794" s="5" t="s">
        <v>3673</v>
      </c>
      <c r="I794" s="5" t="s">
        <v>1002</v>
      </c>
      <c r="J794" s="5" t="s">
        <v>1003</v>
      </c>
      <c r="K794" s="5" t="s">
        <v>28</v>
      </c>
      <c r="L794">
        <v>4</v>
      </c>
      <c r="M794">
        <v>164.08</v>
      </c>
      <c r="N794" s="8">
        <v>16.41</v>
      </c>
      <c r="O794" s="8">
        <v>639.91000000000008</v>
      </c>
      <c r="P794" s="8">
        <v>32</v>
      </c>
      <c r="Q794" s="10">
        <v>30</v>
      </c>
      <c r="R794" s="10">
        <v>15</v>
      </c>
      <c r="S794" s="8">
        <v>716.91000000000008</v>
      </c>
      <c r="T794">
        <v>20</v>
      </c>
      <c r="U794" t="str">
        <f t="shared" si="12"/>
        <v>Friday</v>
      </c>
    </row>
    <row r="795" spans="1:21" x14ac:dyDescent="0.3">
      <c r="A795" s="5" t="s">
        <v>2294</v>
      </c>
      <c r="B795" s="3" t="s">
        <v>3713</v>
      </c>
      <c r="C795" s="5" t="s">
        <v>1005</v>
      </c>
      <c r="D795" s="5" t="s">
        <v>21</v>
      </c>
      <c r="E795" s="5" t="s">
        <v>36</v>
      </c>
      <c r="F795" s="5" t="s">
        <v>42</v>
      </c>
      <c r="G795" t="s">
        <v>2295</v>
      </c>
      <c r="H795" s="5" t="s">
        <v>3676</v>
      </c>
      <c r="I795" s="5" t="s">
        <v>1007</v>
      </c>
      <c r="J795" s="5" t="s">
        <v>1008</v>
      </c>
      <c r="K795" s="5" t="s">
        <v>73</v>
      </c>
      <c r="L795">
        <v>1</v>
      </c>
      <c r="M795">
        <v>142.91999999999999</v>
      </c>
      <c r="N795" s="8">
        <v>21.44</v>
      </c>
      <c r="O795" s="8">
        <v>121.48</v>
      </c>
      <c r="P795" s="8">
        <v>6.07</v>
      </c>
      <c r="Q795" s="10">
        <v>10</v>
      </c>
      <c r="R795" s="10">
        <v>10</v>
      </c>
      <c r="S795" s="8">
        <v>147.55000000000001</v>
      </c>
      <c r="T795">
        <v>16</v>
      </c>
      <c r="U795" t="str">
        <f t="shared" si="12"/>
        <v>Tuesday</v>
      </c>
    </row>
    <row r="796" spans="1:21" x14ac:dyDescent="0.3">
      <c r="A796" s="5" t="s">
        <v>2296</v>
      </c>
      <c r="B796" s="3" t="s">
        <v>3737</v>
      </c>
      <c r="C796" s="5" t="s">
        <v>1010</v>
      </c>
      <c r="D796" s="5" t="s">
        <v>21</v>
      </c>
      <c r="E796" s="5" t="s">
        <v>69</v>
      </c>
      <c r="F796" s="5" t="s">
        <v>42</v>
      </c>
      <c r="G796" t="s">
        <v>2297</v>
      </c>
      <c r="H796" s="5" t="s">
        <v>3675</v>
      </c>
      <c r="I796" s="5" t="s">
        <v>1012</v>
      </c>
      <c r="J796" s="5" t="s">
        <v>1013</v>
      </c>
      <c r="K796" s="5" t="s">
        <v>34</v>
      </c>
      <c r="L796">
        <v>1</v>
      </c>
      <c r="M796">
        <v>141.09</v>
      </c>
      <c r="N796" s="8">
        <v>14.11</v>
      </c>
      <c r="O796" s="8">
        <v>126.98</v>
      </c>
      <c r="P796" s="8">
        <v>6.35</v>
      </c>
      <c r="Q796" s="10">
        <v>30</v>
      </c>
      <c r="R796" s="10">
        <v>20</v>
      </c>
      <c r="S796" s="8">
        <v>183.33</v>
      </c>
      <c r="T796">
        <v>15</v>
      </c>
      <c r="U796" t="str">
        <f t="shared" si="12"/>
        <v>Saturday</v>
      </c>
    </row>
    <row r="797" spans="1:21" x14ac:dyDescent="0.3">
      <c r="A797" s="5" t="s">
        <v>2298</v>
      </c>
      <c r="B797" s="3" t="s">
        <v>3734</v>
      </c>
      <c r="C797" s="5" t="s">
        <v>1015</v>
      </c>
      <c r="D797" s="5" t="s">
        <v>21</v>
      </c>
      <c r="E797" s="5" t="s">
        <v>69</v>
      </c>
      <c r="F797" s="5" t="s">
        <v>42</v>
      </c>
      <c r="G797" t="s">
        <v>2299</v>
      </c>
      <c r="H797" s="5" t="s">
        <v>3674</v>
      </c>
      <c r="I797" s="5" t="s">
        <v>1017</v>
      </c>
      <c r="J797" s="5" t="s">
        <v>1018</v>
      </c>
      <c r="K797" s="5" t="s">
        <v>73</v>
      </c>
      <c r="L797">
        <v>2</v>
      </c>
      <c r="M797">
        <v>197.42</v>
      </c>
      <c r="N797" s="8">
        <v>19.739999999999998</v>
      </c>
      <c r="O797" s="8">
        <v>375.1</v>
      </c>
      <c r="P797" s="8">
        <v>18.75</v>
      </c>
      <c r="Q797" s="10">
        <v>20</v>
      </c>
      <c r="R797" s="10">
        <v>20</v>
      </c>
      <c r="S797" s="8">
        <v>433.85</v>
      </c>
      <c r="T797">
        <v>32</v>
      </c>
      <c r="U797" t="str">
        <f t="shared" si="12"/>
        <v>Monday</v>
      </c>
    </row>
    <row r="798" spans="1:21" x14ac:dyDescent="0.3">
      <c r="A798" s="5" t="s">
        <v>2300</v>
      </c>
      <c r="B798" s="3" t="s">
        <v>3690</v>
      </c>
      <c r="C798" s="5" t="s">
        <v>1020</v>
      </c>
      <c r="D798" s="5" t="s">
        <v>21</v>
      </c>
      <c r="E798" s="5" t="s">
        <v>36</v>
      </c>
      <c r="F798" s="5" t="s">
        <v>42</v>
      </c>
      <c r="G798" t="s">
        <v>2301</v>
      </c>
      <c r="H798" s="5" t="s">
        <v>3673</v>
      </c>
      <c r="I798" s="5" t="s">
        <v>1022</v>
      </c>
      <c r="J798" s="5" t="s">
        <v>1023</v>
      </c>
      <c r="K798" s="5" t="s">
        <v>45</v>
      </c>
      <c r="L798">
        <v>3</v>
      </c>
      <c r="M798">
        <v>106.55</v>
      </c>
      <c r="N798" s="8">
        <v>10.66</v>
      </c>
      <c r="O798" s="8">
        <v>308.99</v>
      </c>
      <c r="P798" s="8">
        <v>15.45</v>
      </c>
      <c r="Q798" s="10">
        <v>0</v>
      </c>
      <c r="R798" s="10">
        <v>10</v>
      </c>
      <c r="S798" s="8">
        <v>334.43999999999988</v>
      </c>
      <c r="T798">
        <v>26</v>
      </c>
      <c r="U798" t="str">
        <f t="shared" si="12"/>
        <v>Sunday</v>
      </c>
    </row>
    <row r="799" spans="1:21" x14ac:dyDescent="0.3">
      <c r="A799" s="5" t="s">
        <v>2302</v>
      </c>
      <c r="B799" s="3" t="s">
        <v>3704</v>
      </c>
      <c r="C799" s="5" t="s">
        <v>1025</v>
      </c>
      <c r="D799" s="5" t="s">
        <v>21</v>
      </c>
      <c r="E799" s="5" t="s">
        <v>112</v>
      </c>
      <c r="F799" s="5" t="s">
        <v>23</v>
      </c>
      <c r="G799" t="s">
        <v>2303</v>
      </c>
      <c r="H799" s="5" t="s">
        <v>3673</v>
      </c>
      <c r="I799" s="5" t="s">
        <v>1027</v>
      </c>
      <c r="J799" s="5" t="s">
        <v>1028</v>
      </c>
      <c r="K799" s="5" t="s">
        <v>103</v>
      </c>
      <c r="L799">
        <v>3</v>
      </c>
      <c r="M799">
        <v>82.32</v>
      </c>
      <c r="N799" s="8">
        <v>12.35</v>
      </c>
      <c r="O799" s="8">
        <v>234.61</v>
      </c>
      <c r="P799" s="8">
        <v>11.73</v>
      </c>
      <c r="Q799" s="10">
        <v>10</v>
      </c>
      <c r="R799" s="10">
        <v>0</v>
      </c>
      <c r="S799" s="8">
        <v>256.33999999999997</v>
      </c>
      <c r="T799">
        <v>35</v>
      </c>
      <c r="U799" t="str">
        <f t="shared" si="12"/>
        <v>Tuesday</v>
      </c>
    </row>
    <row r="800" spans="1:21" x14ac:dyDescent="0.3">
      <c r="A800" s="5" t="s">
        <v>2304</v>
      </c>
      <c r="B800" s="3" t="s">
        <v>3714</v>
      </c>
      <c r="C800" s="5" t="s">
        <v>1030</v>
      </c>
      <c r="D800" s="5" t="s">
        <v>21</v>
      </c>
      <c r="E800" s="5" t="s">
        <v>36</v>
      </c>
      <c r="F800" s="5" t="s">
        <v>42</v>
      </c>
      <c r="G800" t="s">
        <v>2305</v>
      </c>
      <c r="H800" s="5" t="s">
        <v>3673</v>
      </c>
      <c r="I800" s="5" t="s">
        <v>26</v>
      </c>
      <c r="J800" s="5" t="s">
        <v>27</v>
      </c>
      <c r="K800" s="5" t="s">
        <v>45</v>
      </c>
      <c r="L800">
        <v>3</v>
      </c>
      <c r="M800">
        <v>65.33</v>
      </c>
      <c r="N800" s="8">
        <v>0</v>
      </c>
      <c r="O800" s="8">
        <v>195.99</v>
      </c>
      <c r="P800" s="8">
        <v>9.8000000000000007</v>
      </c>
      <c r="Q800" s="10">
        <v>20</v>
      </c>
      <c r="R800" s="10">
        <v>20</v>
      </c>
      <c r="S800" s="8">
        <v>245.79</v>
      </c>
      <c r="T800">
        <v>9</v>
      </c>
      <c r="U800" t="str">
        <f t="shared" si="12"/>
        <v>Thursday</v>
      </c>
    </row>
    <row r="801" spans="1:21" x14ac:dyDescent="0.3">
      <c r="A801" s="5" t="s">
        <v>2306</v>
      </c>
      <c r="B801" s="3" t="s">
        <v>3718</v>
      </c>
      <c r="C801" s="5" t="s">
        <v>1033</v>
      </c>
      <c r="D801" s="5" t="s">
        <v>21</v>
      </c>
      <c r="E801" s="5" t="s">
        <v>76</v>
      </c>
      <c r="F801" s="5" t="s">
        <v>42</v>
      </c>
      <c r="G801" t="s">
        <v>2307</v>
      </c>
      <c r="H801" s="5" t="s">
        <v>25</v>
      </c>
      <c r="I801" s="5" t="s">
        <v>32</v>
      </c>
      <c r="J801" s="5" t="s">
        <v>33</v>
      </c>
      <c r="K801" s="5" t="s">
        <v>196</v>
      </c>
      <c r="L801">
        <v>1</v>
      </c>
      <c r="M801">
        <v>103.97</v>
      </c>
      <c r="N801" s="8">
        <v>15.6</v>
      </c>
      <c r="O801" s="8">
        <v>88.37</v>
      </c>
      <c r="P801" s="8">
        <v>4.42</v>
      </c>
      <c r="Q801" s="10">
        <v>0</v>
      </c>
      <c r="R801" s="10">
        <v>20</v>
      </c>
      <c r="S801" s="8">
        <v>112.79</v>
      </c>
      <c r="T801">
        <v>29</v>
      </c>
      <c r="U801" t="str">
        <f t="shared" si="12"/>
        <v>Wednesday</v>
      </c>
    </row>
    <row r="802" spans="1:21" x14ac:dyDescent="0.3">
      <c r="A802" s="5" t="s">
        <v>2308</v>
      </c>
      <c r="B802" s="3" t="s">
        <v>3702</v>
      </c>
      <c r="C802" s="5" t="s">
        <v>1036</v>
      </c>
      <c r="D802" s="5" t="s">
        <v>21</v>
      </c>
      <c r="E802" s="5" t="s">
        <v>69</v>
      </c>
      <c r="F802" s="5" t="s">
        <v>37</v>
      </c>
      <c r="G802" t="s">
        <v>2309</v>
      </c>
      <c r="H802" s="5" t="s">
        <v>25</v>
      </c>
      <c r="I802" s="5" t="s">
        <v>38</v>
      </c>
      <c r="J802" s="5" t="s">
        <v>39</v>
      </c>
      <c r="K802" s="5" t="s">
        <v>45</v>
      </c>
      <c r="L802">
        <v>3</v>
      </c>
      <c r="M802">
        <v>74.47</v>
      </c>
      <c r="N802" s="8">
        <v>7.45</v>
      </c>
      <c r="O802" s="8">
        <v>215.96</v>
      </c>
      <c r="P802" s="8">
        <v>10.8</v>
      </c>
      <c r="Q802" s="10">
        <v>20</v>
      </c>
      <c r="R802" s="10">
        <v>5</v>
      </c>
      <c r="S802" s="8">
        <v>251.76</v>
      </c>
      <c r="T802">
        <v>21</v>
      </c>
      <c r="U802" t="str">
        <f t="shared" si="12"/>
        <v>Monday</v>
      </c>
    </row>
    <row r="803" spans="1:21" x14ac:dyDescent="0.3">
      <c r="A803" s="5" t="s">
        <v>2310</v>
      </c>
      <c r="B803" s="3" t="s">
        <v>3683</v>
      </c>
      <c r="C803" s="5" t="s">
        <v>1039</v>
      </c>
      <c r="D803" s="5" t="s">
        <v>21</v>
      </c>
      <c r="E803" s="5" t="s">
        <v>69</v>
      </c>
      <c r="F803" s="5" t="s">
        <v>42</v>
      </c>
      <c r="G803" t="s">
        <v>2311</v>
      </c>
      <c r="H803" s="5" t="s">
        <v>3677</v>
      </c>
      <c r="I803" s="5" t="s">
        <v>43</v>
      </c>
      <c r="J803" s="5" t="s">
        <v>44</v>
      </c>
      <c r="K803" s="5" t="s">
        <v>45</v>
      </c>
      <c r="L803">
        <v>4</v>
      </c>
      <c r="M803">
        <v>138.75</v>
      </c>
      <c r="N803" s="8">
        <v>6.94</v>
      </c>
      <c r="O803" s="8">
        <v>548.05999999999995</v>
      </c>
      <c r="P803" s="8">
        <v>27.4</v>
      </c>
      <c r="Q803" s="10">
        <v>10</v>
      </c>
      <c r="R803" s="10">
        <v>0</v>
      </c>
      <c r="S803" s="8">
        <v>585.45999999999992</v>
      </c>
      <c r="T803">
        <v>29</v>
      </c>
      <c r="U803" t="str">
        <f t="shared" si="12"/>
        <v>Thursday</v>
      </c>
    </row>
    <row r="804" spans="1:21" x14ac:dyDescent="0.3">
      <c r="A804" s="5" t="s">
        <v>2312</v>
      </c>
      <c r="B804" s="3" t="s">
        <v>3693</v>
      </c>
      <c r="C804" s="5" t="s">
        <v>1042</v>
      </c>
      <c r="D804" s="5" t="s">
        <v>21</v>
      </c>
      <c r="E804" s="5" t="s">
        <v>22</v>
      </c>
      <c r="F804" s="5" t="s">
        <v>23</v>
      </c>
      <c r="G804" t="s">
        <v>2313</v>
      </c>
      <c r="H804" s="5" t="s">
        <v>3676</v>
      </c>
      <c r="I804" s="5" t="s">
        <v>49</v>
      </c>
      <c r="J804" s="5" t="s">
        <v>50</v>
      </c>
      <c r="K804" s="5" t="s">
        <v>40</v>
      </c>
      <c r="L804">
        <v>3</v>
      </c>
      <c r="M804">
        <v>128.51</v>
      </c>
      <c r="N804" s="8">
        <v>19.28</v>
      </c>
      <c r="O804" s="8">
        <v>366.25</v>
      </c>
      <c r="P804" s="8">
        <v>18.309999999999999</v>
      </c>
      <c r="Q804" s="10">
        <v>30</v>
      </c>
      <c r="R804" s="10">
        <v>10</v>
      </c>
      <c r="S804" s="8">
        <v>424.56</v>
      </c>
      <c r="T804">
        <v>21</v>
      </c>
      <c r="U804" t="str">
        <f t="shared" si="12"/>
        <v>Thursday</v>
      </c>
    </row>
    <row r="805" spans="1:21" x14ac:dyDescent="0.3">
      <c r="A805" s="5" t="s">
        <v>2314</v>
      </c>
      <c r="B805" s="3" t="s">
        <v>3733</v>
      </c>
      <c r="C805" s="5" t="s">
        <v>1045</v>
      </c>
      <c r="D805" s="5" t="s">
        <v>21</v>
      </c>
      <c r="E805" s="5" t="s">
        <v>112</v>
      </c>
      <c r="F805" s="5" t="s">
        <v>42</v>
      </c>
      <c r="G805" t="s">
        <v>2315</v>
      </c>
      <c r="H805" s="5" t="s">
        <v>100</v>
      </c>
      <c r="I805" s="5" t="s">
        <v>54</v>
      </c>
      <c r="J805" s="5" t="s">
        <v>55</v>
      </c>
      <c r="K805" s="5" t="s">
        <v>34</v>
      </c>
      <c r="L805">
        <v>2</v>
      </c>
      <c r="M805">
        <v>129.63</v>
      </c>
      <c r="N805" s="8">
        <v>6.48</v>
      </c>
      <c r="O805" s="8">
        <v>252.78</v>
      </c>
      <c r="P805" s="8">
        <v>12.64</v>
      </c>
      <c r="Q805" s="10">
        <v>10</v>
      </c>
      <c r="R805" s="10">
        <v>0</v>
      </c>
      <c r="S805" s="8">
        <v>275.42</v>
      </c>
      <c r="T805">
        <v>24.67</v>
      </c>
      <c r="U805" t="str">
        <f t="shared" si="12"/>
        <v>Sunday</v>
      </c>
    </row>
    <row r="806" spans="1:21" x14ac:dyDescent="0.3">
      <c r="A806" s="5" t="s">
        <v>2316</v>
      </c>
      <c r="B806" s="3" t="s">
        <v>3725</v>
      </c>
      <c r="C806" s="5" t="s">
        <v>1048</v>
      </c>
      <c r="D806" s="5" t="s">
        <v>21</v>
      </c>
      <c r="E806" s="5" t="s">
        <v>22</v>
      </c>
      <c r="F806" s="5" t="s">
        <v>23</v>
      </c>
      <c r="G806" t="s">
        <v>2317</v>
      </c>
      <c r="H806" s="5" t="s">
        <v>100</v>
      </c>
      <c r="I806" s="5" t="s">
        <v>60</v>
      </c>
      <c r="J806" s="5" t="s">
        <v>61</v>
      </c>
      <c r="K806" s="5" t="s">
        <v>28</v>
      </c>
      <c r="L806">
        <v>7</v>
      </c>
      <c r="M806">
        <v>179.39</v>
      </c>
      <c r="N806" s="8">
        <v>17.940000000000001</v>
      </c>
      <c r="O806" s="8">
        <v>1237.79</v>
      </c>
      <c r="P806" s="8">
        <v>61.89</v>
      </c>
      <c r="Q806" s="10">
        <v>0</v>
      </c>
      <c r="R806" s="10">
        <v>0</v>
      </c>
      <c r="S806" s="8">
        <v>1299.68</v>
      </c>
      <c r="T806">
        <v>18</v>
      </c>
      <c r="U806" t="str">
        <f t="shared" si="12"/>
        <v>Wednesday</v>
      </c>
    </row>
    <row r="807" spans="1:21" x14ac:dyDescent="0.3">
      <c r="A807" s="5" t="s">
        <v>2318</v>
      </c>
      <c r="B807" s="3" t="s">
        <v>3712</v>
      </c>
      <c r="C807" s="5" t="s">
        <v>1051</v>
      </c>
      <c r="D807" s="5" t="s">
        <v>21</v>
      </c>
      <c r="E807" s="5" t="s">
        <v>22</v>
      </c>
      <c r="F807" s="5" t="s">
        <v>23</v>
      </c>
      <c r="G807" t="s">
        <v>2319</v>
      </c>
      <c r="H807" s="5" t="s">
        <v>25</v>
      </c>
      <c r="I807" s="5" t="s">
        <v>65</v>
      </c>
      <c r="J807" s="5" t="s">
        <v>66</v>
      </c>
      <c r="K807" s="5" t="s">
        <v>45</v>
      </c>
      <c r="L807">
        <v>5</v>
      </c>
      <c r="M807">
        <v>44.53</v>
      </c>
      <c r="N807" s="8">
        <v>2.23</v>
      </c>
      <c r="O807" s="8">
        <v>220.42</v>
      </c>
      <c r="P807" s="8">
        <v>11.02</v>
      </c>
      <c r="Q807" s="10">
        <v>0</v>
      </c>
      <c r="R807" s="10">
        <v>0</v>
      </c>
      <c r="S807" s="8">
        <v>231.44</v>
      </c>
      <c r="T807">
        <v>34</v>
      </c>
      <c r="U807" t="str">
        <f t="shared" si="12"/>
        <v>Thursday</v>
      </c>
    </row>
    <row r="808" spans="1:21" x14ac:dyDescent="0.3">
      <c r="A808" s="5" t="s">
        <v>2320</v>
      </c>
      <c r="B808" s="3" t="s">
        <v>3696</v>
      </c>
      <c r="C808" s="5" t="s">
        <v>1054</v>
      </c>
      <c r="D808" s="5" t="s">
        <v>82</v>
      </c>
      <c r="E808" s="5" t="s">
        <v>83</v>
      </c>
      <c r="F808" s="5" t="s">
        <v>23</v>
      </c>
      <c r="G808" t="s">
        <v>2321</v>
      </c>
      <c r="H808" s="5" t="s">
        <v>25</v>
      </c>
      <c r="I808" s="5" t="s">
        <v>71</v>
      </c>
      <c r="J808" s="5" t="s">
        <v>72</v>
      </c>
      <c r="K808" s="5" t="s">
        <v>73</v>
      </c>
      <c r="L808">
        <v>1</v>
      </c>
      <c r="M808">
        <v>144.12</v>
      </c>
      <c r="N808" s="8">
        <v>7.21</v>
      </c>
      <c r="O808" s="8">
        <v>136.91</v>
      </c>
      <c r="P808" s="8">
        <v>6.85</v>
      </c>
      <c r="Q808" s="10">
        <v>20</v>
      </c>
      <c r="R808" s="10">
        <v>20</v>
      </c>
      <c r="S808" s="8">
        <v>183.76</v>
      </c>
      <c r="T808">
        <v>17</v>
      </c>
      <c r="U808" t="str">
        <f t="shared" si="12"/>
        <v>Friday</v>
      </c>
    </row>
    <row r="809" spans="1:21" x14ac:dyDescent="0.3">
      <c r="A809" s="5" t="s">
        <v>2322</v>
      </c>
      <c r="B809" s="3" t="s">
        <v>3684</v>
      </c>
      <c r="C809" s="5" t="s">
        <v>1057</v>
      </c>
      <c r="D809" s="5" t="s">
        <v>21</v>
      </c>
      <c r="E809" s="5" t="s">
        <v>69</v>
      </c>
      <c r="F809" s="5" t="s">
        <v>37</v>
      </c>
      <c r="G809" t="s">
        <v>2323</v>
      </c>
      <c r="H809" s="5" t="s">
        <v>3673</v>
      </c>
      <c r="I809" s="5" t="s">
        <v>78</v>
      </c>
      <c r="J809" s="5" t="s">
        <v>79</v>
      </c>
      <c r="K809" s="5" t="s">
        <v>103</v>
      </c>
      <c r="L809">
        <v>1</v>
      </c>
      <c r="M809">
        <v>169.21</v>
      </c>
      <c r="N809" s="8">
        <v>16.920000000000002</v>
      </c>
      <c r="O809" s="8">
        <v>152.29</v>
      </c>
      <c r="P809" s="8">
        <v>7.61</v>
      </c>
      <c r="Q809" s="10">
        <v>0</v>
      </c>
      <c r="R809" s="10">
        <v>5</v>
      </c>
      <c r="S809" s="8">
        <v>164.9</v>
      </c>
      <c r="T809">
        <v>10</v>
      </c>
      <c r="U809" t="str">
        <f t="shared" si="12"/>
        <v>Sunday</v>
      </c>
    </row>
    <row r="810" spans="1:21" x14ac:dyDescent="0.3">
      <c r="A810" s="5" t="s">
        <v>2324</v>
      </c>
      <c r="B810" s="3" t="s">
        <v>3681</v>
      </c>
      <c r="C810" s="5" t="s">
        <v>1060</v>
      </c>
      <c r="D810" s="5" t="s">
        <v>106</v>
      </c>
      <c r="E810" s="5" t="s">
        <v>83</v>
      </c>
      <c r="F810" s="5" t="s">
        <v>37</v>
      </c>
      <c r="G810" t="s">
        <v>2325</v>
      </c>
      <c r="H810" s="5" t="s">
        <v>100</v>
      </c>
      <c r="I810" s="5" t="s">
        <v>85</v>
      </c>
      <c r="J810" s="5" t="s">
        <v>86</v>
      </c>
      <c r="K810" s="5" t="s">
        <v>145</v>
      </c>
      <c r="L810">
        <v>5</v>
      </c>
      <c r="M810">
        <v>107.78</v>
      </c>
      <c r="N810" s="8">
        <v>10.78</v>
      </c>
      <c r="O810" s="8">
        <v>528.12</v>
      </c>
      <c r="P810" s="8">
        <v>26.41</v>
      </c>
      <c r="Q810" s="10">
        <v>30</v>
      </c>
      <c r="R810" s="10">
        <v>5</v>
      </c>
      <c r="S810" s="8">
        <v>589.53</v>
      </c>
      <c r="T810">
        <v>43</v>
      </c>
      <c r="U810" t="str">
        <f t="shared" si="12"/>
        <v>Wednesday</v>
      </c>
    </row>
    <row r="811" spans="1:21" x14ac:dyDescent="0.3">
      <c r="A811" s="5" t="s">
        <v>2326</v>
      </c>
      <c r="B811" s="3" t="s">
        <v>3729</v>
      </c>
      <c r="C811" s="5" t="s">
        <v>1063</v>
      </c>
      <c r="D811" s="5" t="s">
        <v>21</v>
      </c>
      <c r="E811" s="5" t="s">
        <v>112</v>
      </c>
      <c r="F811" s="5" t="s">
        <v>37</v>
      </c>
      <c r="G811" t="s">
        <v>2327</v>
      </c>
      <c r="H811" s="5" t="s">
        <v>25</v>
      </c>
      <c r="I811" s="5" t="s">
        <v>90</v>
      </c>
      <c r="J811" s="5" t="s">
        <v>91</v>
      </c>
      <c r="K811" s="5" t="s">
        <v>103</v>
      </c>
      <c r="L811">
        <v>1</v>
      </c>
      <c r="M811">
        <v>96.39</v>
      </c>
      <c r="N811" s="8">
        <v>9.64</v>
      </c>
      <c r="O811" s="8">
        <v>86.75</v>
      </c>
      <c r="P811" s="8">
        <v>4.34</v>
      </c>
      <c r="Q811" s="10">
        <v>20</v>
      </c>
      <c r="R811" s="10">
        <v>15</v>
      </c>
      <c r="S811" s="8">
        <v>126.09</v>
      </c>
      <c r="T811">
        <v>35</v>
      </c>
      <c r="U811" t="str">
        <f t="shared" si="12"/>
        <v>Monday</v>
      </c>
    </row>
    <row r="812" spans="1:21" x14ac:dyDescent="0.3">
      <c r="A812" s="5" t="s">
        <v>2328</v>
      </c>
      <c r="B812" s="3" t="s">
        <v>3730</v>
      </c>
      <c r="C812" s="5" t="s">
        <v>1066</v>
      </c>
      <c r="D812" s="5" t="s">
        <v>21</v>
      </c>
      <c r="E812" s="5" t="s">
        <v>112</v>
      </c>
      <c r="F812" s="5" t="s">
        <v>42</v>
      </c>
      <c r="G812" t="s">
        <v>2329</v>
      </c>
      <c r="H812" s="5" t="s">
        <v>3674</v>
      </c>
      <c r="I812" s="5" t="s">
        <v>95</v>
      </c>
      <c r="J812" s="5" t="s">
        <v>96</v>
      </c>
      <c r="K812" s="5" t="s">
        <v>45</v>
      </c>
      <c r="L812">
        <v>5</v>
      </c>
      <c r="M812">
        <v>125.47</v>
      </c>
      <c r="N812" s="8">
        <v>12.55</v>
      </c>
      <c r="O812" s="8">
        <v>614.80000000000007</v>
      </c>
      <c r="P812" s="8">
        <v>30.74</v>
      </c>
      <c r="Q812" s="10">
        <v>30</v>
      </c>
      <c r="R812" s="10">
        <v>15</v>
      </c>
      <c r="S812" s="8">
        <v>690.54000000000008</v>
      </c>
      <c r="T812">
        <v>43</v>
      </c>
      <c r="U812" t="str">
        <f t="shared" si="12"/>
        <v>Friday</v>
      </c>
    </row>
    <row r="813" spans="1:21" x14ac:dyDescent="0.3">
      <c r="A813" s="5" t="s">
        <v>2330</v>
      </c>
      <c r="B813" s="3" t="s">
        <v>3732</v>
      </c>
      <c r="C813" s="5" t="s">
        <v>1069</v>
      </c>
      <c r="D813" s="5" t="s">
        <v>21</v>
      </c>
      <c r="E813" s="5" t="s">
        <v>22</v>
      </c>
      <c r="F813" s="5" t="s">
        <v>23</v>
      </c>
      <c r="G813" t="s">
        <v>2331</v>
      </c>
      <c r="H813" s="5" t="s">
        <v>100</v>
      </c>
      <c r="I813" s="5" t="s">
        <v>101</v>
      </c>
      <c r="J813" s="5" t="s">
        <v>102</v>
      </c>
      <c r="K813" s="5" t="s">
        <v>145</v>
      </c>
      <c r="L813">
        <v>5</v>
      </c>
      <c r="M813">
        <v>110.9</v>
      </c>
      <c r="N813" s="8">
        <v>16.64</v>
      </c>
      <c r="O813" s="8">
        <v>537.86</v>
      </c>
      <c r="P813" s="8">
        <v>26.89</v>
      </c>
      <c r="Q813" s="10">
        <v>10</v>
      </c>
      <c r="R813" s="10">
        <v>0</v>
      </c>
      <c r="S813" s="8">
        <v>574.75</v>
      </c>
      <c r="T813">
        <v>24.67</v>
      </c>
      <c r="U813" t="str">
        <f t="shared" si="12"/>
        <v>Wednesday</v>
      </c>
    </row>
    <row r="814" spans="1:21" x14ac:dyDescent="0.3">
      <c r="A814" s="5" t="s">
        <v>2332</v>
      </c>
      <c r="B814" s="3" t="s">
        <v>3692</v>
      </c>
      <c r="C814" s="5" t="s">
        <v>1072</v>
      </c>
      <c r="D814" s="5" t="s">
        <v>21</v>
      </c>
      <c r="E814" s="5" t="s">
        <v>69</v>
      </c>
      <c r="F814" s="5" t="s">
        <v>37</v>
      </c>
      <c r="G814" t="s">
        <v>2333</v>
      </c>
      <c r="H814" s="5" t="s">
        <v>3676</v>
      </c>
      <c r="I814" s="5" t="s">
        <v>108</v>
      </c>
      <c r="J814" s="5" t="s">
        <v>109</v>
      </c>
      <c r="K814" s="5" t="s">
        <v>103</v>
      </c>
      <c r="L814">
        <v>1</v>
      </c>
      <c r="M814">
        <v>138.88</v>
      </c>
      <c r="N814" s="8">
        <v>13.89</v>
      </c>
      <c r="O814" s="8">
        <v>124.99</v>
      </c>
      <c r="P814" s="8">
        <v>6.25</v>
      </c>
      <c r="Q814" s="10">
        <v>30</v>
      </c>
      <c r="R814" s="10">
        <v>20</v>
      </c>
      <c r="S814" s="8">
        <v>181.24</v>
      </c>
      <c r="T814">
        <v>43</v>
      </c>
      <c r="U814" t="str">
        <f t="shared" si="12"/>
        <v>Wednesday</v>
      </c>
    </row>
    <row r="815" spans="1:21" x14ac:dyDescent="0.3">
      <c r="A815" s="5" t="s">
        <v>2334</v>
      </c>
      <c r="B815" s="3" t="s">
        <v>3679</v>
      </c>
      <c r="C815" s="5" t="s">
        <v>1075</v>
      </c>
      <c r="D815" s="5" t="s">
        <v>21</v>
      </c>
      <c r="E815" s="5" t="s">
        <v>76</v>
      </c>
      <c r="F815" s="5" t="s">
        <v>23</v>
      </c>
      <c r="G815" t="s">
        <v>2335</v>
      </c>
      <c r="H815" s="5" t="s">
        <v>3674</v>
      </c>
      <c r="I815" s="5" t="s">
        <v>114</v>
      </c>
      <c r="J815" s="5" t="s">
        <v>115</v>
      </c>
      <c r="K815" s="5" t="s">
        <v>73</v>
      </c>
      <c r="L815">
        <v>2</v>
      </c>
      <c r="M815">
        <v>172.33</v>
      </c>
      <c r="N815" s="8">
        <v>0</v>
      </c>
      <c r="O815" s="8">
        <v>344.66</v>
      </c>
      <c r="P815" s="8">
        <v>17.23</v>
      </c>
      <c r="Q815" s="10">
        <v>0</v>
      </c>
      <c r="R815" s="10">
        <v>15</v>
      </c>
      <c r="S815" s="8">
        <v>376.89</v>
      </c>
      <c r="T815">
        <v>21</v>
      </c>
      <c r="U815" t="str">
        <f t="shared" si="12"/>
        <v>Friday</v>
      </c>
    </row>
    <row r="816" spans="1:21" x14ac:dyDescent="0.3">
      <c r="A816" s="5" t="s">
        <v>2336</v>
      </c>
      <c r="B816" s="3" t="s">
        <v>3722</v>
      </c>
      <c r="C816" s="5" t="s">
        <v>1078</v>
      </c>
      <c r="D816" s="5" t="s">
        <v>21</v>
      </c>
      <c r="E816" s="5" t="s">
        <v>69</v>
      </c>
      <c r="F816" s="5" t="s">
        <v>23</v>
      </c>
      <c r="G816" t="s">
        <v>2337</v>
      </c>
      <c r="H816" s="5" t="s">
        <v>3676</v>
      </c>
      <c r="I816" s="5" t="s">
        <v>119</v>
      </c>
      <c r="J816" s="5" t="s">
        <v>120</v>
      </c>
      <c r="K816" s="5" t="s">
        <v>45</v>
      </c>
      <c r="L816">
        <v>2</v>
      </c>
      <c r="M816">
        <v>64.31</v>
      </c>
      <c r="N816" s="8">
        <v>3.22</v>
      </c>
      <c r="O816" s="8">
        <v>125.4</v>
      </c>
      <c r="P816" s="8">
        <v>6.27</v>
      </c>
      <c r="Q816" s="10">
        <v>0</v>
      </c>
      <c r="R816" s="10">
        <v>20</v>
      </c>
      <c r="S816" s="8">
        <v>151.66999999999999</v>
      </c>
      <c r="T816">
        <v>19</v>
      </c>
      <c r="U816" t="str">
        <f t="shared" si="12"/>
        <v>Friday</v>
      </c>
    </row>
    <row r="817" spans="1:21" x14ac:dyDescent="0.3">
      <c r="A817" s="5" t="s">
        <v>2338</v>
      </c>
      <c r="B817" s="3" t="s">
        <v>3713</v>
      </c>
      <c r="C817" s="5" t="s">
        <v>1081</v>
      </c>
      <c r="D817" s="5" t="s">
        <v>106</v>
      </c>
      <c r="E817" s="5" t="s">
        <v>83</v>
      </c>
      <c r="F817" s="5" t="s">
        <v>42</v>
      </c>
      <c r="G817" t="s">
        <v>2339</v>
      </c>
      <c r="H817" s="5" t="s">
        <v>3673</v>
      </c>
      <c r="I817" s="5" t="s">
        <v>124</v>
      </c>
      <c r="J817" s="5" t="s">
        <v>125</v>
      </c>
      <c r="K817" s="5" t="s">
        <v>45</v>
      </c>
      <c r="L817">
        <v>2</v>
      </c>
      <c r="M817">
        <v>183.91</v>
      </c>
      <c r="N817" s="8">
        <v>18.39</v>
      </c>
      <c r="O817" s="8">
        <v>349.43</v>
      </c>
      <c r="P817" s="8">
        <v>17.47</v>
      </c>
      <c r="Q817" s="10">
        <v>30</v>
      </c>
      <c r="R817" s="10">
        <v>5</v>
      </c>
      <c r="S817" s="8">
        <v>401.9</v>
      </c>
      <c r="T817">
        <v>24.67</v>
      </c>
      <c r="U817" t="str">
        <f t="shared" si="12"/>
        <v>Tuesday</v>
      </c>
    </row>
    <row r="818" spans="1:21" x14ac:dyDescent="0.3">
      <c r="A818" s="5" t="s">
        <v>2340</v>
      </c>
      <c r="B818" s="3" t="s">
        <v>3700</v>
      </c>
      <c r="C818" s="5" t="s">
        <v>1084</v>
      </c>
      <c r="D818" s="5" t="s">
        <v>21</v>
      </c>
      <c r="E818" s="5" t="s">
        <v>22</v>
      </c>
      <c r="F818" s="5" t="s">
        <v>37</v>
      </c>
      <c r="G818" t="s">
        <v>2341</v>
      </c>
      <c r="H818" s="5" t="s">
        <v>25</v>
      </c>
      <c r="I818" s="5" t="s">
        <v>129</v>
      </c>
      <c r="J818" s="5" t="s">
        <v>130</v>
      </c>
      <c r="K818" s="5" t="s">
        <v>45</v>
      </c>
      <c r="L818">
        <v>5</v>
      </c>
      <c r="M818">
        <v>179.79</v>
      </c>
      <c r="N818" s="8">
        <v>17.98</v>
      </c>
      <c r="O818" s="8">
        <v>880.96999999999991</v>
      </c>
      <c r="P818" s="8">
        <v>44.05</v>
      </c>
      <c r="Q818" s="10">
        <v>20</v>
      </c>
      <c r="R818" s="10">
        <v>20</v>
      </c>
      <c r="S818" s="8">
        <v>965.01999999999987</v>
      </c>
      <c r="T818">
        <v>17</v>
      </c>
      <c r="U818" t="str">
        <f t="shared" si="12"/>
        <v>Saturday</v>
      </c>
    </row>
    <row r="819" spans="1:21" x14ac:dyDescent="0.3">
      <c r="A819" s="5" t="s">
        <v>2342</v>
      </c>
      <c r="B819" s="3" t="s">
        <v>3730</v>
      </c>
      <c r="C819" s="5" t="s">
        <v>1087</v>
      </c>
      <c r="D819" s="5" t="s">
        <v>21</v>
      </c>
      <c r="E819" s="5" t="s">
        <v>36</v>
      </c>
      <c r="F819" s="5" t="s">
        <v>23</v>
      </c>
      <c r="G819" t="s">
        <v>2343</v>
      </c>
      <c r="H819" s="5" t="s">
        <v>25</v>
      </c>
      <c r="I819" s="5" t="s">
        <v>133</v>
      </c>
      <c r="J819" s="5" t="s">
        <v>134</v>
      </c>
      <c r="K819" s="5" t="s">
        <v>28</v>
      </c>
      <c r="L819">
        <v>3</v>
      </c>
      <c r="M819">
        <v>122.37</v>
      </c>
      <c r="N819" s="8">
        <v>12.24</v>
      </c>
      <c r="O819" s="8">
        <v>354.87</v>
      </c>
      <c r="P819" s="8">
        <v>17.739999999999998</v>
      </c>
      <c r="Q819" s="10">
        <v>10</v>
      </c>
      <c r="R819" s="10">
        <v>15</v>
      </c>
      <c r="S819" s="8">
        <v>397.61</v>
      </c>
      <c r="T819">
        <v>26</v>
      </c>
      <c r="U819" t="str">
        <f t="shared" si="12"/>
        <v>Friday</v>
      </c>
    </row>
    <row r="820" spans="1:21" x14ac:dyDescent="0.3">
      <c r="A820" s="5" t="s">
        <v>2344</v>
      </c>
      <c r="B820" s="3" t="s">
        <v>3716</v>
      </c>
      <c r="C820" s="5" t="s">
        <v>1089</v>
      </c>
      <c r="D820" s="5" t="s">
        <v>21</v>
      </c>
      <c r="E820" s="5" t="s">
        <v>76</v>
      </c>
      <c r="F820" s="5" t="s">
        <v>37</v>
      </c>
      <c r="G820" t="s">
        <v>2345</v>
      </c>
      <c r="H820" s="5" t="s">
        <v>3676</v>
      </c>
      <c r="I820" s="5" t="s">
        <v>138</v>
      </c>
      <c r="J820" s="5" t="s">
        <v>139</v>
      </c>
      <c r="K820" s="5" t="s">
        <v>40</v>
      </c>
      <c r="L820">
        <v>1</v>
      </c>
      <c r="M820">
        <v>111.5</v>
      </c>
      <c r="N820" s="8">
        <v>5.58</v>
      </c>
      <c r="O820" s="8">
        <v>105.92</v>
      </c>
      <c r="P820" s="8">
        <v>5.3</v>
      </c>
      <c r="Q820" s="10">
        <v>0</v>
      </c>
      <c r="R820" s="10">
        <v>20</v>
      </c>
      <c r="S820" s="8">
        <v>131.22</v>
      </c>
      <c r="T820">
        <v>12</v>
      </c>
      <c r="U820" t="str">
        <f t="shared" si="12"/>
        <v>Saturday</v>
      </c>
    </row>
    <row r="821" spans="1:21" x14ac:dyDescent="0.3">
      <c r="A821" s="5" t="s">
        <v>2346</v>
      </c>
      <c r="B821" s="3" t="s">
        <v>3689</v>
      </c>
      <c r="C821" s="5" t="s">
        <v>1092</v>
      </c>
      <c r="D821" s="5" t="s">
        <v>21</v>
      </c>
      <c r="E821" s="5" t="s">
        <v>36</v>
      </c>
      <c r="F821" s="5" t="s">
        <v>42</v>
      </c>
      <c r="G821" t="s">
        <v>2347</v>
      </c>
      <c r="H821" s="5" t="s">
        <v>100</v>
      </c>
      <c r="I821" s="5" t="s">
        <v>143</v>
      </c>
      <c r="J821" s="5" t="s">
        <v>144</v>
      </c>
      <c r="K821" s="5" t="s">
        <v>196</v>
      </c>
      <c r="L821">
        <v>1</v>
      </c>
      <c r="M821">
        <v>112.25</v>
      </c>
      <c r="N821" s="8">
        <v>16.84</v>
      </c>
      <c r="O821" s="8">
        <v>95.41</v>
      </c>
      <c r="P821" s="8">
        <v>4.7699999999999996</v>
      </c>
      <c r="Q821" s="10">
        <v>10</v>
      </c>
      <c r="R821" s="10">
        <v>10</v>
      </c>
      <c r="S821" s="8">
        <v>120.18</v>
      </c>
      <c r="T821">
        <v>24.67</v>
      </c>
      <c r="U821" t="str">
        <f t="shared" si="12"/>
        <v>Wednesday</v>
      </c>
    </row>
    <row r="822" spans="1:21" x14ac:dyDescent="0.3">
      <c r="A822" s="5" t="s">
        <v>2348</v>
      </c>
      <c r="B822" s="3" t="s">
        <v>3723</v>
      </c>
      <c r="C822" s="5" t="s">
        <v>1095</v>
      </c>
      <c r="D822" s="5" t="s">
        <v>21</v>
      </c>
      <c r="E822" s="5" t="s">
        <v>69</v>
      </c>
      <c r="F822" s="5" t="s">
        <v>23</v>
      </c>
      <c r="G822" t="s">
        <v>2349</v>
      </c>
      <c r="H822" s="5" t="s">
        <v>3674</v>
      </c>
      <c r="I822" s="5" t="s">
        <v>149</v>
      </c>
      <c r="J822" s="5" t="s">
        <v>150</v>
      </c>
      <c r="K822" s="5" t="s">
        <v>40</v>
      </c>
      <c r="L822">
        <v>3</v>
      </c>
      <c r="M822">
        <v>86.29</v>
      </c>
      <c r="N822" s="8">
        <v>0</v>
      </c>
      <c r="O822" s="8">
        <v>258.87</v>
      </c>
      <c r="P822" s="8">
        <v>12.94</v>
      </c>
      <c r="Q822" s="10">
        <v>0</v>
      </c>
      <c r="R822" s="10">
        <v>20</v>
      </c>
      <c r="S822" s="8">
        <v>291.81</v>
      </c>
      <c r="T822">
        <v>2</v>
      </c>
      <c r="U822" t="str">
        <f t="shared" si="12"/>
        <v>Monday</v>
      </c>
    </row>
    <row r="823" spans="1:21" x14ac:dyDescent="0.3">
      <c r="A823" s="5" t="s">
        <v>2350</v>
      </c>
      <c r="B823" s="3" t="s">
        <v>3697</v>
      </c>
      <c r="C823" s="5" t="s">
        <v>1098</v>
      </c>
      <c r="D823" s="5" t="s">
        <v>21</v>
      </c>
      <c r="E823" s="5" t="s">
        <v>36</v>
      </c>
      <c r="F823" s="5" t="s">
        <v>42</v>
      </c>
      <c r="G823" t="s">
        <v>2351</v>
      </c>
      <c r="H823" s="5" t="s">
        <v>25</v>
      </c>
      <c r="I823" s="5" t="s">
        <v>154</v>
      </c>
      <c r="J823" s="5" t="s">
        <v>155</v>
      </c>
      <c r="K823" s="5" t="s">
        <v>40</v>
      </c>
      <c r="L823">
        <v>7</v>
      </c>
      <c r="M823">
        <v>82.68</v>
      </c>
      <c r="N823" s="8">
        <v>12.4</v>
      </c>
      <c r="O823" s="8">
        <v>566.36</v>
      </c>
      <c r="P823" s="8">
        <v>28.32</v>
      </c>
      <c r="Q823" s="10">
        <v>0</v>
      </c>
      <c r="R823" s="10">
        <v>10</v>
      </c>
      <c r="S823" s="8">
        <v>604.68000000000006</v>
      </c>
      <c r="T823">
        <v>30</v>
      </c>
      <c r="U823" t="str">
        <f t="shared" si="12"/>
        <v>Saturday</v>
      </c>
    </row>
    <row r="824" spans="1:21" x14ac:dyDescent="0.3">
      <c r="A824" s="5" t="s">
        <v>2352</v>
      </c>
      <c r="B824" s="3" t="s">
        <v>3728</v>
      </c>
      <c r="C824" s="5" t="s">
        <v>1101</v>
      </c>
      <c r="D824" s="5" t="s">
        <v>21</v>
      </c>
      <c r="E824" s="5" t="s">
        <v>112</v>
      </c>
      <c r="F824" s="5" t="s">
        <v>37</v>
      </c>
      <c r="G824" t="s">
        <v>2353</v>
      </c>
      <c r="H824" s="5" t="s">
        <v>3673</v>
      </c>
      <c r="I824" s="5" t="s">
        <v>159</v>
      </c>
      <c r="J824" s="5" t="s">
        <v>160</v>
      </c>
      <c r="K824" s="5" t="s">
        <v>73</v>
      </c>
      <c r="L824">
        <v>1</v>
      </c>
      <c r="M824">
        <v>144.19</v>
      </c>
      <c r="N824" s="8">
        <v>14.42</v>
      </c>
      <c r="O824" s="8">
        <v>129.77000000000001</v>
      </c>
      <c r="P824" s="8">
        <v>6.49</v>
      </c>
      <c r="Q824" s="10">
        <v>20</v>
      </c>
      <c r="R824" s="10">
        <v>15</v>
      </c>
      <c r="S824" s="8">
        <v>171.26</v>
      </c>
      <c r="T824">
        <v>33</v>
      </c>
      <c r="U824" t="str">
        <f t="shared" si="12"/>
        <v>Friday</v>
      </c>
    </row>
    <row r="825" spans="1:21" x14ac:dyDescent="0.3">
      <c r="A825" s="5" t="s">
        <v>2354</v>
      </c>
      <c r="B825" s="3" t="s">
        <v>3684</v>
      </c>
      <c r="C825" s="5" t="s">
        <v>1104</v>
      </c>
      <c r="D825" s="5" t="s">
        <v>21</v>
      </c>
      <c r="E825" s="5" t="s">
        <v>36</v>
      </c>
      <c r="F825" s="5" t="s">
        <v>37</v>
      </c>
      <c r="G825" t="s">
        <v>2355</v>
      </c>
      <c r="H825" s="5" t="s">
        <v>3673</v>
      </c>
      <c r="I825" s="5" t="s">
        <v>164</v>
      </c>
      <c r="J825" s="5" t="s">
        <v>165</v>
      </c>
      <c r="K825" s="5" t="s">
        <v>40</v>
      </c>
      <c r="L825">
        <v>1</v>
      </c>
      <c r="M825">
        <v>193.18</v>
      </c>
      <c r="N825" s="8">
        <v>9.66</v>
      </c>
      <c r="O825" s="8">
        <v>183.52</v>
      </c>
      <c r="P825" s="8">
        <v>9.18</v>
      </c>
      <c r="Q825" s="10">
        <v>20</v>
      </c>
      <c r="R825" s="10">
        <v>5</v>
      </c>
      <c r="S825" s="8">
        <v>217.7</v>
      </c>
      <c r="T825">
        <v>32</v>
      </c>
      <c r="U825" t="str">
        <f t="shared" si="12"/>
        <v>Sunday</v>
      </c>
    </row>
    <row r="826" spans="1:21" x14ac:dyDescent="0.3">
      <c r="A826" s="5" t="s">
        <v>2356</v>
      </c>
      <c r="B826" s="3" t="s">
        <v>3694</v>
      </c>
      <c r="C826" s="5" t="s">
        <v>1107</v>
      </c>
      <c r="D826" s="5" t="s">
        <v>21</v>
      </c>
      <c r="E826" s="5" t="s">
        <v>76</v>
      </c>
      <c r="F826" s="5" t="s">
        <v>42</v>
      </c>
      <c r="H826" s="5" t="s">
        <v>3673</v>
      </c>
      <c r="I826" s="5" t="s">
        <v>169</v>
      </c>
      <c r="J826" s="5" t="s">
        <v>170</v>
      </c>
      <c r="K826" s="5" t="s">
        <v>73</v>
      </c>
      <c r="L826">
        <v>2</v>
      </c>
      <c r="M826">
        <v>160.85</v>
      </c>
      <c r="N826" s="8">
        <v>8.0399999999999991</v>
      </c>
      <c r="O826" s="8">
        <v>313.66000000000003</v>
      </c>
      <c r="P826" s="8">
        <v>15.68</v>
      </c>
      <c r="Q826" s="10">
        <v>20</v>
      </c>
      <c r="R826" s="10">
        <v>20</v>
      </c>
      <c r="S826" s="8">
        <v>369.34</v>
      </c>
      <c r="T826">
        <v>20</v>
      </c>
      <c r="U826" t="str">
        <f t="shared" si="12"/>
        <v>Thursday</v>
      </c>
    </row>
    <row r="827" spans="1:21" x14ac:dyDescent="0.3">
      <c r="A827" s="5" t="s">
        <v>2357</v>
      </c>
      <c r="B827" s="3" t="s">
        <v>3724</v>
      </c>
      <c r="C827" s="5" t="s">
        <v>1110</v>
      </c>
      <c r="D827" s="5" t="s">
        <v>21</v>
      </c>
      <c r="E827" s="5" t="s">
        <v>112</v>
      </c>
      <c r="F827" s="5" t="s">
        <v>42</v>
      </c>
      <c r="G827" t="s">
        <v>2358</v>
      </c>
      <c r="H827" s="5" t="s">
        <v>3673</v>
      </c>
      <c r="I827" s="5" t="s">
        <v>174</v>
      </c>
      <c r="J827" s="5" t="s">
        <v>175</v>
      </c>
      <c r="K827" s="5" t="s">
        <v>34</v>
      </c>
      <c r="L827">
        <v>2</v>
      </c>
      <c r="M827">
        <v>97.77</v>
      </c>
      <c r="N827" s="8">
        <v>14.67</v>
      </c>
      <c r="O827" s="8">
        <v>180.87</v>
      </c>
      <c r="P827" s="8">
        <v>9.0399999999999991</v>
      </c>
      <c r="Q827" s="10">
        <v>0</v>
      </c>
      <c r="R827" s="10">
        <v>15</v>
      </c>
      <c r="S827" s="8">
        <v>204.91</v>
      </c>
      <c r="T827">
        <v>11</v>
      </c>
      <c r="U827" t="str">
        <f t="shared" si="12"/>
        <v>Sunday</v>
      </c>
    </row>
    <row r="828" spans="1:21" x14ac:dyDescent="0.3">
      <c r="A828" s="5" t="s">
        <v>2359</v>
      </c>
      <c r="B828" s="3" t="s">
        <v>3678</v>
      </c>
      <c r="C828" s="5" t="s">
        <v>1113</v>
      </c>
      <c r="D828" s="5" t="s">
        <v>106</v>
      </c>
      <c r="E828" s="5" t="s">
        <v>83</v>
      </c>
      <c r="F828" s="5" t="s">
        <v>23</v>
      </c>
      <c r="G828" t="s">
        <v>2360</v>
      </c>
      <c r="H828" s="5" t="s">
        <v>3675</v>
      </c>
      <c r="I828" s="5" t="s">
        <v>179</v>
      </c>
      <c r="J828" s="5" t="s">
        <v>180</v>
      </c>
      <c r="K828" s="5" t="s">
        <v>103</v>
      </c>
      <c r="L828">
        <v>3</v>
      </c>
      <c r="M828">
        <v>160.77000000000001</v>
      </c>
      <c r="N828" s="8">
        <v>8.0399999999999991</v>
      </c>
      <c r="O828" s="8">
        <v>474.27</v>
      </c>
      <c r="P828" s="8">
        <v>23.71</v>
      </c>
      <c r="Q828" s="10">
        <v>30</v>
      </c>
      <c r="R828" s="10">
        <v>15</v>
      </c>
      <c r="S828" s="8">
        <v>542.98</v>
      </c>
      <c r="T828">
        <v>33</v>
      </c>
      <c r="U828" t="str">
        <f t="shared" si="12"/>
        <v>Saturday</v>
      </c>
    </row>
    <row r="829" spans="1:21" x14ac:dyDescent="0.3">
      <c r="A829" s="5" t="s">
        <v>2361</v>
      </c>
      <c r="B829" s="3" t="s">
        <v>3702</v>
      </c>
      <c r="C829" s="5" t="s">
        <v>1116</v>
      </c>
      <c r="D829" s="5" t="s">
        <v>21</v>
      </c>
      <c r="E829" s="5" t="s">
        <v>76</v>
      </c>
      <c r="F829" s="5" t="s">
        <v>37</v>
      </c>
      <c r="G829" t="s">
        <v>2362</v>
      </c>
      <c r="H829" s="5" t="s">
        <v>3673</v>
      </c>
      <c r="I829" s="5" t="s">
        <v>184</v>
      </c>
      <c r="J829" s="5" t="s">
        <v>185</v>
      </c>
      <c r="K829" s="5" t="s">
        <v>28</v>
      </c>
      <c r="L829">
        <v>4</v>
      </c>
      <c r="M829">
        <v>64.569999999999993</v>
      </c>
      <c r="N829" s="8">
        <v>3.23</v>
      </c>
      <c r="O829" s="8">
        <v>255.05</v>
      </c>
      <c r="P829" s="8">
        <v>12.75</v>
      </c>
      <c r="Q829" s="10">
        <v>30</v>
      </c>
      <c r="R829" s="10">
        <v>10</v>
      </c>
      <c r="S829" s="8">
        <v>307.8</v>
      </c>
      <c r="T829">
        <v>24.67</v>
      </c>
      <c r="U829" t="str">
        <f t="shared" si="12"/>
        <v>Monday</v>
      </c>
    </row>
    <row r="830" spans="1:21" x14ac:dyDescent="0.3">
      <c r="A830" s="5" t="s">
        <v>2363</v>
      </c>
      <c r="B830" s="3" t="s">
        <v>3727</v>
      </c>
      <c r="C830" s="5" t="s">
        <v>1119</v>
      </c>
      <c r="D830" s="5" t="s">
        <v>82</v>
      </c>
      <c r="E830" s="5" t="s">
        <v>83</v>
      </c>
      <c r="F830" s="5" t="s">
        <v>37</v>
      </c>
      <c r="G830" t="s">
        <v>2364</v>
      </c>
      <c r="H830" s="5" t="s">
        <v>3673</v>
      </c>
      <c r="I830" s="5" t="s">
        <v>189</v>
      </c>
      <c r="J830" s="5" t="s">
        <v>190</v>
      </c>
      <c r="K830" s="5" t="s">
        <v>28</v>
      </c>
      <c r="L830">
        <v>4</v>
      </c>
      <c r="M830">
        <v>56.11</v>
      </c>
      <c r="N830" s="8">
        <v>5.61</v>
      </c>
      <c r="O830" s="8">
        <v>218.83</v>
      </c>
      <c r="P830" s="8">
        <v>10.94</v>
      </c>
      <c r="Q830" s="10">
        <v>0</v>
      </c>
      <c r="R830" s="10">
        <v>20</v>
      </c>
      <c r="S830" s="8">
        <v>249.77</v>
      </c>
      <c r="T830">
        <v>17</v>
      </c>
      <c r="U830" t="str">
        <f t="shared" si="12"/>
        <v>Friday</v>
      </c>
    </row>
    <row r="831" spans="1:21" x14ac:dyDescent="0.3">
      <c r="A831" s="5" t="s">
        <v>2365</v>
      </c>
      <c r="B831" s="3" t="s">
        <v>3719</v>
      </c>
      <c r="C831" s="5" t="s">
        <v>1122</v>
      </c>
      <c r="D831" s="5" t="s">
        <v>21</v>
      </c>
      <c r="E831" s="5" t="s">
        <v>76</v>
      </c>
      <c r="F831" s="5" t="s">
        <v>23</v>
      </c>
      <c r="G831" t="s">
        <v>2366</v>
      </c>
      <c r="H831" s="5" t="s">
        <v>3676</v>
      </c>
      <c r="I831" s="5" t="s">
        <v>194</v>
      </c>
      <c r="J831" s="5" t="s">
        <v>195</v>
      </c>
      <c r="K831" s="5" t="s">
        <v>73</v>
      </c>
      <c r="L831">
        <v>4</v>
      </c>
      <c r="M831">
        <v>180.09</v>
      </c>
      <c r="N831" s="8">
        <v>27.01</v>
      </c>
      <c r="O831" s="8">
        <v>693.35</v>
      </c>
      <c r="P831" s="8">
        <v>34.67</v>
      </c>
      <c r="Q831" s="10">
        <v>30</v>
      </c>
      <c r="R831" s="10">
        <v>0</v>
      </c>
      <c r="S831" s="8">
        <v>758.02</v>
      </c>
      <c r="T831">
        <v>23</v>
      </c>
      <c r="U831" t="str">
        <f t="shared" si="12"/>
        <v>Sunday</v>
      </c>
    </row>
    <row r="832" spans="1:21" x14ac:dyDescent="0.3">
      <c r="A832" s="5" t="s">
        <v>2367</v>
      </c>
      <c r="B832" s="3" t="s">
        <v>3684</v>
      </c>
      <c r="C832" s="5" t="s">
        <v>1125</v>
      </c>
      <c r="D832" s="5" t="s">
        <v>21</v>
      </c>
      <c r="E832" s="5" t="s">
        <v>76</v>
      </c>
      <c r="F832" s="5" t="s">
        <v>23</v>
      </c>
      <c r="G832" t="s">
        <v>2368</v>
      </c>
      <c r="H832" s="5" t="s">
        <v>3673</v>
      </c>
      <c r="I832" s="5" t="s">
        <v>200</v>
      </c>
      <c r="J832" s="5" t="s">
        <v>201</v>
      </c>
      <c r="K832" s="5" t="s">
        <v>45</v>
      </c>
      <c r="L832">
        <v>2</v>
      </c>
      <c r="M832">
        <v>219.72</v>
      </c>
      <c r="N832" s="8">
        <v>10.99</v>
      </c>
      <c r="O832" s="8">
        <v>428.45</v>
      </c>
      <c r="P832" s="8">
        <v>21.42</v>
      </c>
      <c r="Q832" s="10">
        <v>30</v>
      </c>
      <c r="R832" s="10">
        <v>10</v>
      </c>
      <c r="S832" s="8">
        <v>489.87</v>
      </c>
      <c r="T832">
        <v>21</v>
      </c>
      <c r="U832" t="str">
        <f t="shared" si="12"/>
        <v>Sunday</v>
      </c>
    </row>
    <row r="833" spans="1:21" x14ac:dyDescent="0.3">
      <c r="A833" s="5" t="s">
        <v>2369</v>
      </c>
      <c r="B833" s="3" t="s">
        <v>3678</v>
      </c>
      <c r="C833" s="5" t="s">
        <v>1128</v>
      </c>
      <c r="D833" s="5" t="s">
        <v>21</v>
      </c>
      <c r="E833" s="5" t="s">
        <v>76</v>
      </c>
      <c r="F833" s="5" t="s">
        <v>23</v>
      </c>
      <c r="H833" s="5" t="s">
        <v>25</v>
      </c>
      <c r="I833" s="5" t="s">
        <v>205</v>
      </c>
      <c r="J833" s="5" t="s">
        <v>206</v>
      </c>
      <c r="K833" s="5" t="s">
        <v>103</v>
      </c>
      <c r="L833">
        <v>3</v>
      </c>
      <c r="M833">
        <v>129.97</v>
      </c>
      <c r="N833" s="8">
        <v>0</v>
      </c>
      <c r="O833" s="8">
        <v>389.91</v>
      </c>
      <c r="P833" s="8">
        <v>19.5</v>
      </c>
      <c r="Q833" s="10">
        <v>20</v>
      </c>
      <c r="R833" s="10">
        <v>20</v>
      </c>
      <c r="S833" s="8">
        <v>449.41</v>
      </c>
      <c r="T833">
        <v>22</v>
      </c>
      <c r="U833" t="str">
        <f t="shared" si="12"/>
        <v>Saturday</v>
      </c>
    </row>
    <row r="834" spans="1:21" x14ac:dyDescent="0.3">
      <c r="A834" s="5" t="s">
        <v>2370</v>
      </c>
      <c r="B834" s="3" t="s">
        <v>3691</v>
      </c>
      <c r="C834" s="5" t="s">
        <v>1130</v>
      </c>
      <c r="D834" s="5" t="s">
        <v>21</v>
      </c>
      <c r="E834" s="5" t="s">
        <v>36</v>
      </c>
      <c r="F834" s="5" t="s">
        <v>23</v>
      </c>
      <c r="G834" t="s">
        <v>2371</v>
      </c>
      <c r="H834" s="5" t="s">
        <v>3677</v>
      </c>
      <c r="I834" s="5" t="s">
        <v>210</v>
      </c>
      <c r="J834" s="5" t="s">
        <v>211</v>
      </c>
      <c r="K834" s="5" t="s">
        <v>28</v>
      </c>
      <c r="L834">
        <v>6</v>
      </c>
      <c r="M834">
        <v>119.39</v>
      </c>
      <c r="N834" s="8">
        <v>17.91</v>
      </c>
      <c r="O834" s="8">
        <v>698.43000000000006</v>
      </c>
      <c r="P834" s="8">
        <v>34.92</v>
      </c>
      <c r="Q834" s="10">
        <v>20</v>
      </c>
      <c r="R834" s="10">
        <v>10</v>
      </c>
      <c r="S834" s="8">
        <v>763.35</v>
      </c>
      <c r="T834">
        <v>24.67</v>
      </c>
      <c r="U834" t="str">
        <f t="shared" si="12"/>
        <v>Friday</v>
      </c>
    </row>
    <row r="835" spans="1:21" x14ac:dyDescent="0.3">
      <c r="A835" s="5" t="s">
        <v>2372</v>
      </c>
      <c r="B835" s="3" t="s">
        <v>3730</v>
      </c>
      <c r="C835" s="5" t="s">
        <v>1133</v>
      </c>
      <c r="D835" s="5" t="s">
        <v>21</v>
      </c>
      <c r="E835" s="5" t="s">
        <v>69</v>
      </c>
      <c r="F835" s="5" t="s">
        <v>42</v>
      </c>
      <c r="G835" t="s">
        <v>2373</v>
      </c>
      <c r="H835" s="5" t="s">
        <v>3673</v>
      </c>
      <c r="I835" s="5" t="s">
        <v>215</v>
      </c>
      <c r="J835" s="5" t="s">
        <v>216</v>
      </c>
      <c r="K835" s="5" t="s">
        <v>45</v>
      </c>
      <c r="L835">
        <v>3</v>
      </c>
      <c r="M835">
        <v>71.22</v>
      </c>
      <c r="N835" s="8">
        <v>0</v>
      </c>
      <c r="O835" s="8">
        <v>213.66</v>
      </c>
      <c r="P835" s="8">
        <v>10.68</v>
      </c>
      <c r="Q835" s="10">
        <v>30</v>
      </c>
      <c r="R835" s="10">
        <v>0</v>
      </c>
      <c r="S835" s="8">
        <v>254.34</v>
      </c>
      <c r="T835">
        <v>33</v>
      </c>
      <c r="U835" t="str">
        <f t="shared" ref="U835:U898" si="13">TEXT(B835,"dddd")</f>
        <v>Friday</v>
      </c>
    </row>
    <row r="836" spans="1:21" x14ac:dyDescent="0.3">
      <c r="A836" s="5" t="s">
        <v>2374</v>
      </c>
      <c r="B836" s="3" t="s">
        <v>3734</v>
      </c>
      <c r="C836" s="5" t="s">
        <v>1136</v>
      </c>
      <c r="D836" s="5" t="s">
        <v>21</v>
      </c>
      <c r="E836" s="5" t="s">
        <v>36</v>
      </c>
      <c r="F836" s="5" t="s">
        <v>23</v>
      </c>
      <c r="G836" t="s">
        <v>2375</v>
      </c>
      <c r="H836" s="5" t="s">
        <v>3677</v>
      </c>
      <c r="I836" s="5" t="s">
        <v>220</v>
      </c>
      <c r="J836" s="5" t="s">
        <v>221</v>
      </c>
      <c r="K836" s="5" t="s">
        <v>28</v>
      </c>
      <c r="L836">
        <v>3</v>
      </c>
      <c r="M836">
        <v>86.24</v>
      </c>
      <c r="N836" s="8">
        <v>8.6199999999999992</v>
      </c>
      <c r="O836" s="8">
        <v>250.1</v>
      </c>
      <c r="P836" s="8">
        <v>12.5</v>
      </c>
      <c r="Q836" s="10">
        <v>10</v>
      </c>
      <c r="R836" s="10">
        <v>20</v>
      </c>
      <c r="S836" s="8">
        <v>292.60000000000002</v>
      </c>
      <c r="T836">
        <v>20</v>
      </c>
      <c r="U836" t="str">
        <f t="shared" si="13"/>
        <v>Monday</v>
      </c>
    </row>
    <row r="837" spans="1:21" x14ac:dyDescent="0.3">
      <c r="A837" s="5" t="s">
        <v>2376</v>
      </c>
      <c r="B837" s="3" t="s">
        <v>3718</v>
      </c>
      <c r="C837" s="5" t="s">
        <v>1139</v>
      </c>
      <c r="D837" s="5" t="s">
        <v>21</v>
      </c>
      <c r="E837" s="5" t="s">
        <v>69</v>
      </c>
      <c r="F837" s="5" t="s">
        <v>23</v>
      </c>
      <c r="G837" t="s">
        <v>2377</v>
      </c>
      <c r="H837" s="5" t="s">
        <v>3677</v>
      </c>
      <c r="I837" s="5" t="s">
        <v>225</v>
      </c>
      <c r="J837" s="5" t="s">
        <v>226</v>
      </c>
      <c r="K837" s="5" t="s">
        <v>56</v>
      </c>
      <c r="L837">
        <v>4</v>
      </c>
      <c r="M837">
        <v>159.88</v>
      </c>
      <c r="N837" s="8">
        <v>0</v>
      </c>
      <c r="O837" s="8">
        <v>639.52</v>
      </c>
      <c r="P837" s="8">
        <v>31.98</v>
      </c>
      <c r="Q837" s="10">
        <v>10</v>
      </c>
      <c r="R837" s="10">
        <v>15</v>
      </c>
      <c r="S837" s="8">
        <v>696.5</v>
      </c>
      <c r="T837">
        <v>19</v>
      </c>
      <c r="U837" t="str">
        <f t="shared" si="13"/>
        <v>Wednesday</v>
      </c>
    </row>
    <row r="838" spans="1:21" x14ac:dyDescent="0.3">
      <c r="A838" s="5" t="s">
        <v>2378</v>
      </c>
      <c r="B838" s="3" t="s">
        <v>3705</v>
      </c>
      <c r="C838" s="5" t="s">
        <v>1142</v>
      </c>
      <c r="D838" s="5" t="s">
        <v>21</v>
      </c>
      <c r="E838" s="5" t="s">
        <v>36</v>
      </c>
      <c r="F838" s="5" t="s">
        <v>42</v>
      </c>
      <c r="G838" t="s">
        <v>2379</v>
      </c>
      <c r="H838" s="5" t="s">
        <v>3674</v>
      </c>
      <c r="I838" s="5" t="s">
        <v>230</v>
      </c>
      <c r="J838" s="5" t="s">
        <v>231</v>
      </c>
      <c r="K838" s="5" t="s">
        <v>28</v>
      </c>
      <c r="L838">
        <v>1</v>
      </c>
      <c r="M838">
        <v>72.61</v>
      </c>
      <c r="N838" s="8">
        <v>10.89</v>
      </c>
      <c r="O838" s="8">
        <v>61.72</v>
      </c>
      <c r="P838" s="8">
        <v>3.09</v>
      </c>
      <c r="Q838" s="10">
        <v>20</v>
      </c>
      <c r="R838" s="10">
        <v>15</v>
      </c>
      <c r="S838" s="8">
        <v>99.81</v>
      </c>
      <c r="T838">
        <v>11</v>
      </c>
      <c r="U838" t="str">
        <f t="shared" si="13"/>
        <v>Tuesday</v>
      </c>
    </row>
    <row r="839" spans="1:21" x14ac:dyDescent="0.3">
      <c r="A839" s="5" t="s">
        <v>2380</v>
      </c>
      <c r="B839" s="3" t="s">
        <v>3683</v>
      </c>
      <c r="C839" s="5" t="s">
        <v>1145</v>
      </c>
      <c r="D839" s="5" t="s">
        <v>21</v>
      </c>
      <c r="E839" s="5" t="s">
        <v>69</v>
      </c>
      <c r="F839" s="5" t="s">
        <v>23</v>
      </c>
      <c r="G839" t="s">
        <v>2381</v>
      </c>
      <c r="H839" s="5" t="s">
        <v>3676</v>
      </c>
      <c r="I839" s="5" t="s">
        <v>235</v>
      </c>
      <c r="J839" s="5" t="s">
        <v>236</v>
      </c>
      <c r="K839" s="5" t="s">
        <v>45</v>
      </c>
      <c r="L839">
        <v>3</v>
      </c>
      <c r="M839">
        <v>13.74</v>
      </c>
      <c r="N839" s="8">
        <v>2.06</v>
      </c>
      <c r="O839" s="8">
        <v>39.159999999999997</v>
      </c>
      <c r="P839" s="8">
        <v>1.96</v>
      </c>
      <c r="Q839" s="10">
        <v>0</v>
      </c>
      <c r="R839" s="10">
        <v>10</v>
      </c>
      <c r="S839" s="8">
        <v>51.12</v>
      </c>
      <c r="T839">
        <v>29</v>
      </c>
      <c r="U839" t="str">
        <f t="shared" si="13"/>
        <v>Thursday</v>
      </c>
    </row>
    <row r="840" spans="1:21" x14ac:dyDescent="0.3">
      <c r="A840" s="5" t="s">
        <v>2382</v>
      </c>
      <c r="B840" s="3" t="s">
        <v>3720</v>
      </c>
      <c r="C840" s="5" t="s">
        <v>1148</v>
      </c>
      <c r="D840" s="5" t="s">
        <v>21</v>
      </c>
      <c r="E840" s="5" t="s">
        <v>22</v>
      </c>
      <c r="F840" s="5" t="s">
        <v>37</v>
      </c>
      <c r="H840" s="5" t="s">
        <v>100</v>
      </c>
      <c r="I840" s="5" t="s">
        <v>240</v>
      </c>
      <c r="J840" s="5" t="s">
        <v>241</v>
      </c>
      <c r="K840" s="5" t="s">
        <v>56</v>
      </c>
      <c r="L840">
        <v>3</v>
      </c>
      <c r="M840">
        <v>117.02</v>
      </c>
      <c r="N840" s="8">
        <v>5.85</v>
      </c>
      <c r="O840" s="8">
        <v>345.21</v>
      </c>
      <c r="P840" s="8">
        <v>17.260000000000002</v>
      </c>
      <c r="Q840" s="10">
        <v>0</v>
      </c>
      <c r="R840" s="10">
        <v>0</v>
      </c>
      <c r="S840" s="8">
        <v>362.47</v>
      </c>
      <c r="T840">
        <v>4</v>
      </c>
      <c r="U840" t="str">
        <f t="shared" si="13"/>
        <v>Monday</v>
      </c>
    </row>
    <row r="841" spans="1:21" x14ac:dyDescent="0.3">
      <c r="A841" s="5" t="s">
        <v>2383</v>
      </c>
      <c r="B841" s="3" t="s">
        <v>3705</v>
      </c>
      <c r="C841" s="5" t="s">
        <v>1151</v>
      </c>
      <c r="D841" s="5" t="s">
        <v>82</v>
      </c>
      <c r="E841" s="5" t="s">
        <v>83</v>
      </c>
      <c r="F841" s="5" t="s">
        <v>23</v>
      </c>
      <c r="G841" t="s">
        <v>2384</v>
      </c>
      <c r="H841" s="5" t="s">
        <v>3673</v>
      </c>
      <c r="I841" s="5" t="s">
        <v>245</v>
      </c>
      <c r="J841" s="5" t="s">
        <v>246</v>
      </c>
      <c r="K841" s="5" t="s">
        <v>28</v>
      </c>
      <c r="L841">
        <v>2</v>
      </c>
      <c r="M841">
        <v>110.98</v>
      </c>
      <c r="N841" s="8">
        <v>5.55</v>
      </c>
      <c r="O841" s="8">
        <v>216.41</v>
      </c>
      <c r="P841" s="8">
        <v>10.82</v>
      </c>
      <c r="Q841" s="10">
        <v>10</v>
      </c>
      <c r="R841" s="10">
        <v>10</v>
      </c>
      <c r="S841" s="8">
        <v>247.23</v>
      </c>
      <c r="T841">
        <v>24.67</v>
      </c>
      <c r="U841" t="str">
        <f t="shared" si="13"/>
        <v>Tuesday</v>
      </c>
    </row>
    <row r="842" spans="1:21" x14ac:dyDescent="0.3">
      <c r="A842" s="5" t="s">
        <v>2385</v>
      </c>
      <c r="B842" s="3" t="s">
        <v>3681</v>
      </c>
      <c r="C842" s="5" t="s">
        <v>1154</v>
      </c>
      <c r="D842" s="5" t="s">
        <v>21</v>
      </c>
      <c r="E842" s="5" t="s">
        <v>22</v>
      </c>
      <c r="F842" s="5" t="s">
        <v>23</v>
      </c>
      <c r="G842" t="s">
        <v>2386</v>
      </c>
      <c r="H842" s="5" t="s">
        <v>3673</v>
      </c>
      <c r="I842" s="5" t="s">
        <v>250</v>
      </c>
      <c r="J842" s="5" t="s">
        <v>251</v>
      </c>
      <c r="K842" s="5" t="s">
        <v>45</v>
      </c>
      <c r="L842">
        <v>2</v>
      </c>
      <c r="M842">
        <v>64.77</v>
      </c>
      <c r="N842" s="8">
        <v>6.48</v>
      </c>
      <c r="O842" s="8">
        <v>123.06</v>
      </c>
      <c r="P842" s="8">
        <v>6.15</v>
      </c>
      <c r="Q842" s="10">
        <v>30</v>
      </c>
      <c r="R842" s="10">
        <v>0</v>
      </c>
      <c r="S842" s="8">
        <v>159.21</v>
      </c>
      <c r="T842">
        <v>24.67</v>
      </c>
      <c r="U842" t="str">
        <f t="shared" si="13"/>
        <v>Wednesday</v>
      </c>
    </row>
    <row r="843" spans="1:21" x14ac:dyDescent="0.3">
      <c r="A843" s="5" t="s">
        <v>2387</v>
      </c>
      <c r="B843" s="3" t="s">
        <v>3731</v>
      </c>
      <c r="C843" s="5" t="s">
        <v>1157</v>
      </c>
      <c r="D843" s="5" t="s">
        <v>21</v>
      </c>
      <c r="E843" s="5" t="s">
        <v>112</v>
      </c>
      <c r="F843" s="5" t="s">
        <v>23</v>
      </c>
      <c r="G843" t="s">
        <v>2388</v>
      </c>
      <c r="H843" s="5" t="s">
        <v>25</v>
      </c>
      <c r="I843" s="5" t="s">
        <v>255</v>
      </c>
      <c r="J843" s="5" t="s">
        <v>256</v>
      </c>
      <c r="K843" s="5" t="s">
        <v>103</v>
      </c>
      <c r="L843">
        <v>2</v>
      </c>
      <c r="M843">
        <v>138.97999999999999</v>
      </c>
      <c r="N843" s="8">
        <v>13.9</v>
      </c>
      <c r="O843" s="8">
        <v>264.06</v>
      </c>
      <c r="P843" s="8">
        <v>13.2</v>
      </c>
      <c r="Q843" s="10">
        <v>0</v>
      </c>
      <c r="R843" s="10">
        <v>5</v>
      </c>
      <c r="S843" s="8">
        <v>282.26</v>
      </c>
      <c r="T843">
        <v>16</v>
      </c>
      <c r="U843" t="str">
        <f t="shared" si="13"/>
        <v>Monday</v>
      </c>
    </row>
    <row r="844" spans="1:21" x14ac:dyDescent="0.3">
      <c r="A844" s="5" t="s">
        <v>2389</v>
      </c>
      <c r="B844" s="3" t="s">
        <v>3678</v>
      </c>
      <c r="C844" s="5" t="s">
        <v>1160</v>
      </c>
      <c r="D844" s="5" t="s">
        <v>21</v>
      </c>
      <c r="E844" s="5" t="s">
        <v>69</v>
      </c>
      <c r="F844" s="5" t="s">
        <v>37</v>
      </c>
      <c r="G844" t="s">
        <v>2390</v>
      </c>
      <c r="H844" s="5" t="s">
        <v>3675</v>
      </c>
      <c r="I844" s="5" t="s">
        <v>260</v>
      </c>
      <c r="J844" s="5" t="s">
        <v>261</v>
      </c>
      <c r="K844" s="5" t="s">
        <v>45</v>
      </c>
      <c r="L844">
        <v>3</v>
      </c>
      <c r="M844">
        <v>198.2</v>
      </c>
      <c r="N844" s="8">
        <v>29.73</v>
      </c>
      <c r="O844" s="8">
        <v>564.86999999999989</v>
      </c>
      <c r="P844" s="8">
        <v>28.24</v>
      </c>
      <c r="Q844" s="10">
        <v>10</v>
      </c>
      <c r="R844" s="10">
        <v>10</v>
      </c>
      <c r="S844" s="8">
        <v>613.1099999999999</v>
      </c>
      <c r="T844">
        <v>22</v>
      </c>
      <c r="U844" t="str">
        <f t="shared" si="13"/>
        <v>Saturday</v>
      </c>
    </row>
    <row r="845" spans="1:21" x14ac:dyDescent="0.3">
      <c r="A845" s="5" t="s">
        <v>2391</v>
      </c>
      <c r="B845" s="3" t="s">
        <v>3732</v>
      </c>
      <c r="C845" s="5" t="s">
        <v>1163</v>
      </c>
      <c r="D845" s="5" t="s">
        <v>21</v>
      </c>
      <c r="E845" s="5" t="s">
        <v>36</v>
      </c>
      <c r="F845" s="5" t="s">
        <v>42</v>
      </c>
      <c r="G845" t="s">
        <v>2392</v>
      </c>
      <c r="H845" s="5" t="s">
        <v>3673</v>
      </c>
      <c r="I845" s="5" t="s">
        <v>265</v>
      </c>
      <c r="J845" s="5" t="s">
        <v>266</v>
      </c>
      <c r="K845" s="5" t="s">
        <v>40</v>
      </c>
      <c r="L845">
        <v>3</v>
      </c>
      <c r="M845">
        <v>31.09</v>
      </c>
      <c r="N845" s="8">
        <v>0</v>
      </c>
      <c r="O845" s="8">
        <v>93.27</v>
      </c>
      <c r="P845" s="8">
        <v>4.66</v>
      </c>
      <c r="Q845" s="10">
        <v>10</v>
      </c>
      <c r="R845" s="10">
        <v>15</v>
      </c>
      <c r="S845" s="8">
        <v>122.93</v>
      </c>
      <c r="T845">
        <v>24</v>
      </c>
      <c r="U845" t="str">
        <f t="shared" si="13"/>
        <v>Wednesday</v>
      </c>
    </row>
    <row r="846" spans="1:21" x14ac:dyDescent="0.3">
      <c r="A846" s="5" t="s">
        <v>2393</v>
      </c>
      <c r="B846" s="3" t="s">
        <v>3691</v>
      </c>
      <c r="C846" s="5" t="s">
        <v>1165</v>
      </c>
      <c r="D846" s="5" t="s">
        <v>21</v>
      </c>
      <c r="E846" s="5" t="s">
        <v>22</v>
      </c>
      <c r="F846" s="5" t="s">
        <v>42</v>
      </c>
      <c r="G846" t="s">
        <v>2394</v>
      </c>
      <c r="H846" s="5" t="s">
        <v>100</v>
      </c>
      <c r="I846" s="5" t="s">
        <v>270</v>
      </c>
      <c r="J846" s="5" t="s">
        <v>271</v>
      </c>
      <c r="K846" s="5" t="s">
        <v>45</v>
      </c>
      <c r="L846">
        <v>2</v>
      </c>
      <c r="M846">
        <v>132.72999999999999</v>
      </c>
      <c r="N846" s="8">
        <v>19.91</v>
      </c>
      <c r="O846" s="8">
        <v>245.55</v>
      </c>
      <c r="P846" s="8">
        <v>12.28</v>
      </c>
      <c r="Q846" s="10">
        <v>0</v>
      </c>
      <c r="R846" s="10">
        <v>10</v>
      </c>
      <c r="S846" s="8">
        <v>267.83</v>
      </c>
      <c r="T846">
        <v>35</v>
      </c>
      <c r="U846" t="str">
        <f t="shared" si="13"/>
        <v>Friday</v>
      </c>
    </row>
    <row r="847" spans="1:21" x14ac:dyDescent="0.3">
      <c r="A847" s="5" t="s">
        <v>2395</v>
      </c>
      <c r="B847" s="3" t="s">
        <v>3734</v>
      </c>
      <c r="C847" s="5" t="s">
        <v>1168</v>
      </c>
      <c r="D847" s="5" t="s">
        <v>106</v>
      </c>
      <c r="E847" s="5" t="s">
        <v>83</v>
      </c>
      <c r="F847" s="5" t="s">
        <v>42</v>
      </c>
      <c r="G847" t="s">
        <v>2396</v>
      </c>
      <c r="H847" s="5" t="s">
        <v>100</v>
      </c>
      <c r="I847" s="5" t="s">
        <v>275</v>
      </c>
      <c r="J847" s="5" t="s">
        <v>276</v>
      </c>
      <c r="K847" s="5" t="s">
        <v>40</v>
      </c>
      <c r="L847">
        <v>3</v>
      </c>
      <c r="M847">
        <v>175.96</v>
      </c>
      <c r="N847" s="8">
        <v>0</v>
      </c>
      <c r="O847" s="8">
        <v>527.88</v>
      </c>
      <c r="P847" s="8">
        <v>26.39</v>
      </c>
      <c r="Q847" s="10">
        <v>30</v>
      </c>
      <c r="R847" s="10">
        <v>15</v>
      </c>
      <c r="S847" s="8">
        <v>599.27</v>
      </c>
      <c r="T847">
        <v>24.67</v>
      </c>
      <c r="U847" t="str">
        <f t="shared" si="13"/>
        <v>Monday</v>
      </c>
    </row>
    <row r="848" spans="1:21" x14ac:dyDescent="0.3">
      <c r="A848" s="5" t="s">
        <v>2397</v>
      </c>
      <c r="B848" s="3" t="s">
        <v>3705</v>
      </c>
      <c r="C848" s="5" t="s">
        <v>1171</v>
      </c>
      <c r="D848" s="5" t="s">
        <v>106</v>
      </c>
      <c r="E848" s="5" t="s">
        <v>83</v>
      </c>
      <c r="F848" s="5" t="s">
        <v>42</v>
      </c>
      <c r="G848" t="s">
        <v>2398</v>
      </c>
      <c r="H848" s="5" t="s">
        <v>100</v>
      </c>
      <c r="I848" s="5" t="s">
        <v>280</v>
      </c>
      <c r="J848" s="5" t="s">
        <v>281</v>
      </c>
      <c r="K848" s="5" t="s">
        <v>145</v>
      </c>
      <c r="L848">
        <v>1</v>
      </c>
      <c r="M848">
        <v>66.430000000000007</v>
      </c>
      <c r="N848" s="8">
        <v>6.64</v>
      </c>
      <c r="O848" s="8">
        <v>59.790000000000013</v>
      </c>
      <c r="P848" s="8">
        <v>2.99</v>
      </c>
      <c r="Q848" s="10">
        <v>10</v>
      </c>
      <c r="R848" s="10">
        <v>0</v>
      </c>
      <c r="S848" s="8">
        <v>72.78</v>
      </c>
      <c r="T848">
        <v>30</v>
      </c>
      <c r="U848" t="str">
        <f t="shared" si="13"/>
        <v>Tuesday</v>
      </c>
    </row>
    <row r="849" spans="1:21" x14ac:dyDescent="0.3">
      <c r="A849" s="5" t="s">
        <v>2399</v>
      </c>
      <c r="B849" s="3" t="s">
        <v>3711</v>
      </c>
      <c r="C849" s="5" t="s">
        <v>1174</v>
      </c>
      <c r="D849" s="5" t="s">
        <v>21</v>
      </c>
      <c r="E849" s="5" t="s">
        <v>22</v>
      </c>
      <c r="F849" s="5" t="s">
        <v>37</v>
      </c>
      <c r="G849" t="s">
        <v>2400</v>
      </c>
      <c r="H849" s="5" t="s">
        <v>100</v>
      </c>
      <c r="I849" s="5" t="s">
        <v>285</v>
      </c>
      <c r="J849" s="5" t="s">
        <v>286</v>
      </c>
      <c r="K849" s="5" t="s">
        <v>28</v>
      </c>
      <c r="L849">
        <v>5</v>
      </c>
      <c r="M849">
        <v>120.98</v>
      </c>
      <c r="N849" s="8">
        <v>6.05</v>
      </c>
      <c r="O849" s="8">
        <v>598.85</v>
      </c>
      <c r="P849" s="8">
        <v>29.94</v>
      </c>
      <c r="Q849" s="10">
        <v>10</v>
      </c>
      <c r="R849" s="10">
        <v>10</v>
      </c>
      <c r="S849" s="8">
        <v>648.79000000000008</v>
      </c>
      <c r="T849">
        <v>42</v>
      </c>
      <c r="U849" t="str">
        <f t="shared" si="13"/>
        <v>Wednesday</v>
      </c>
    </row>
    <row r="850" spans="1:21" x14ac:dyDescent="0.3">
      <c r="A850" s="5" t="s">
        <v>2401</v>
      </c>
      <c r="B850" s="3" t="s">
        <v>3697</v>
      </c>
      <c r="C850" s="5" t="s">
        <v>1177</v>
      </c>
      <c r="D850" s="5" t="s">
        <v>106</v>
      </c>
      <c r="E850" s="5" t="s">
        <v>83</v>
      </c>
      <c r="F850" s="5" t="s">
        <v>42</v>
      </c>
      <c r="G850" t="s">
        <v>2402</v>
      </c>
      <c r="H850" s="5" t="s">
        <v>3674</v>
      </c>
      <c r="I850" s="5" t="s">
        <v>290</v>
      </c>
      <c r="J850" s="5" t="s">
        <v>291</v>
      </c>
      <c r="K850" s="5" t="s">
        <v>56</v>
      </c>
      <c r="L850">
        <v>1</v>
      </c>
      <c r="M850">
        <v>68.61</v>
      </c>
      <c r="N850" s="8">
        <v>0</v>
      </c>
      <c r="O850" s="8">
        <v>68.61</v>
      </c>
      <c r="P850" s="8">
        <v>3.43</v>
      </c>
      <c r="Q850" s="10">
        <v>0</v>
      </c>
      <c r="R850" s="10">
        <v>5</v>
      </c>
      <c r="S850" s="8">
        <v>77.040000000000006</v>
      </c>
      <c r="T850">
        <v>24.67</v>
      </c>
      <c r="U850" t="str">
        <f t="shared" si="13"/>
        <v>Saturday</v>
      </c>
    </row>
    <row r="851" spans="1:21" x14ac:dyDescent="0.3">
      <c r="A851" s="5" t="s">
        <v>2403</v>
      </c>
      <c r="B851" s="3" t="s">
        <v>3701</v>
      </c>
      <c r="C851" s="5" t="s">
        <v>1180</v>
      </c>
      <c r="D851" s="5" t="s">
        <v>106</v>
      </c>
      <c r="E851" s="5" t="s">
        <v>83</v>
      </c>
      <c r="F851" s="5" t="s">
        <v>23</v>
      </c>
      <c r="G851" t="s">
        <v>2404</v>
      </c>
      <c r="H851" s="5" t="s">
        <v>3673</v>
      </c>
      <c r="I851" s="5" t="s">
        <v>295</v>
      </c>
      <c r="J851" s="5" t="s">
        <v>296</v>
      </c>
      <c r="K851" s="5" t="s">
        <v>28</v>
      </c>
      <c r="L851">
        <v>3</v>
      </c>
      <c r="M851">
        <v>97.03</v>
      </c>
      <c r="N851" s="8">
        <v>4.8499999999999996</v>
      </c>
      <c r="O851" s="8">
        <v>286.24</v>
      </c>
      <c r="P851" s="8">
        <v>14.31</v>
      </c>
      <c r="Q851" s="10">
        <v>0</v>
      </c>
      <c r="R851" s="10">
        <v>10</v>
      </c>
      <c r="S851" s="8">
        <v>310.55</v>
      </c>
      <c r="T851">
        <v>23</v>
      </c>
      <c r="U851" t="str">
        <f t="shared" si="13"/>
        <v>Tuesday</v>
      </c>
    </row>
    <row r="852" spans="1:21" x14ac:dyDescent="0.3">
      <c r="A852" s="5" t="s">
        <v>2405</v>
      </c>
      <c r="B852" s="3" t="s">
        <v>3700</v>
      </c>
      <c r="C852" s="5" t="s">
        <v>1183</v>
      </c>
      <c r="D852" s="5" t="s">
        <v>106</v>
      </c>
      <c r="E852" s="5" t="s">
        <v>83</v>
      </c>
      <c r="F852" s="5" t="s">
        <v>37</v>
      </c>
      <c r="G852" t="s">
        <v>2406</v>
      </c>
      <c r="H852" s="5" t="s">
        <v>3673</v>
      </c>
      <c r="I852" s="5" t="s">
        <v>300</v>
      </c>
      <c r="J852" s="5" t="s">
        <v>301</v>
      </c>
      <c r="K852" s="5" t="s">
        <v>28</v>
      </c>
      <c r="L852">
        <v>4</v>
      </c>
      <c r="M852">
        <v>111.95</v>
      </c>
      <c r="N852" s="8">
        <v>0</v>
      </c>
      <c r="O852" s="8">
        <v>447.8</v>
      </c>
      <c r="P852" s="8">
        <v>22.39</v>
      </c>
      <c r="Q852" s="10">
        <v>20</v>
      </c>
      <c r="R852" s="10">
        <v>20</v>
      </c>
      <c r="S852" s="8">
        <v>510.19</v>
      </c>
      <c r="T852">
        <v>37</v>
      </c>
      <c r="U852" t="str">
        <f t="shared" si="13"/>
        <v>Saturday</v>
      </c>
    </row>
    <row r="853" spans="1:21" x14ac:dyDescent="0.3">
      <c r="A853" s="5" t="s">
        <v>2407</v>
      </c>
      <c r="B853" s="3" t="s">
        <v>3736</v>
      </c>
      <c r="C853" s="5" t="s">
        <v>1186</v>
      </c>
      <c r="D853" s="5" t="s">
        <v>21</v>
      </c>
      <c r="E853" s="5" t="s">
        <v>76</v>
      </c>
      <c r="F853" s="5" t="s">
        <v>23</v>
      </c>
      <c r="G853" t="s">
        <v>2408</v>
      </c>
      <c r="H853" s="5" t="s">
        <v>100</v>
      </c>
      <c r="I853" s="5" t="s">
        <v>305</v>
      </c>
      <c r="J853" s="5" t="s">
        <v>306</v>
      </c>
      <c r="K853" s="5" t="s">
        <v>73</v>
      </c>
      <c r="L853">
        <v>3</v>
      </c>
      <c r="M853">
        <v>117.31</v>
      </c>
      <c r="N853" s="8">
        <v>0</v>
      </c>
      <c r="O853" s="8">
        <v>351.93</v>
      </c>
      <c r="P853" s="8">
        <v>17.600000000000001</v>
      </c>
      <c r="Q853" s="10">
        <v>30</v>
      </c>
      <c r="R853" s="10">
        <v>10</v>
      </c>
      <c r="S853" s="8">
        <v>409.53</v>
      </c>
      <c r="T853">
        <v>26</v>
      </c>
      <c r="U853" t="str">
        <f t="shared" si="13"/>
        <v>Tuesday</v>
      </c>
    </row>
    <row r="854" spans="1:21" x14ac:dyDescent="0.3">
      <c r="A854" s="5" t="s">
        <v>2409</v>
      </c>
      <c r="B854" s="3" t="s">
        <v>3698</v>
      </c>
      <c r="C854" s="5" t="s">
        <v>1189</v>
      </c>
      <c r="D854" s="5" t="s">
        <v>21</v>
      </c>
      <c r="E854" s="5" t="s">
        <v>36</v>
      </c>
      <c r="F854" s="5" t="s">
        <v>37</v>
      </c>
      <c r="G854" t="s">
        <v>2410</v>
      </c>
      <c r="H854" s="5" t="s">
        <v>3677</v>
      </c>
      <c r="I854" s="5" t="s">
        <v>310</v>
      </c>
      <c r="J854" s="5" t="s">
        <v>311</v>
      </c>
      <c r="K854" s="5" t="s">
        <v>73</v>
      </c>
      <c r="L854">
        <v>5</v>
      </c>
      <c r="M854">
        <v>31.44</v>
      </c>
      <c r="N854" s="8">
        <v>0</v>
      </c>
      <c r="O854" s="8">
        <v>157.19999999999999</v>
      </c>
      <c r="P854" s="8">
        <v>7.86</v>
      </c>
      <c r="Q854" s="10">
        <v>0</v>
      </c>
      <c r="R854" s="10">
        <v>15</v>
      </c>
      <c r="S854" s="8">
        <v>180.06</v>
      </c>
      <c r="T854">
        <v>17</v>
      </c>
      <c r="U854" t="str">
        <f t="shared" si="13"/>
        <v>Sunday</v>
      </c>
    </row>
    <row r="855" spans="1:21" x14ac:dyDescent="0.3">
      <c r="A855" s="5" t="s">
        <v>2411</v>
      </c>
      <c r="B855" s="3" t="s">
        <v>3696</v>
      </c>
      <c r="C855" s="5" t="s">
        <v>1192</v>
      </c>
      <c r="D855" s="5" t="s">
        <v>21</v>
      </c>
      <c r="E855" s="5" t="s">
        <v>22</v>
      </c>
      <c r="F855" s="5" t="s">
        <v>37</v>
      </c>
      <c r="G855" t="s">
        <v>2412</v>
      </c>
      <c r="H855" s="5" t="s">
        <v>3673</v>
      </c>
      <c r="I855" s="5" t="s">
        <v>315</v>
      </c>
      <c r="J855" s="5" t="s">
        <v>316</v>
      </c>
      <c r="K855" s="5" t="s">
        <v>28</v>
      </c>
      <c r="L855">
        <v>7</v>
      </c>
      <c r="M855">
        <v>190.91</v>
      </c>
      <c r="N855" s="8">
        <v>19.09</v>
      </c>
      <c r="O855" s="8">
        <v>1317.28</v>
      </c>
      <c r="P855" s="8">
        <v>65.86</v>
      </c>
      <c r="Q855" s="10">
        <v>10</v>
      </c>
      <c r="R855" s="10">
        <v>20</v>
      </c>
      <c r="S855" s="8">
        <v>1413.14</v>
      </c>
      <c r="T855">
        <v>29</v>
      </c>
      <c r="U855" t="str">
        <f t="shared" si="13"/>
        <v>Friday</v>
      </c>
    </row>
    <row r="856" spans="1:21" x14ac:dyDescent="0.3">
      <c r="A856" s="5" t="s">
        <v>2413</v>
      </c>
      <c r="B856" s="3" t="s">
        <v>3688</v>
      </c>
      <c r="C856" s="5" t="s">
        <v>1195</v>
      </c>
      <c r="D856" s="5" t="s">
        <v>21</v>
      </c>
      <c r="E856" s="5" t="s">
        <v>22</v>
      </c>
      <c r="F856" s="5" t="s">
        <v>37</v>
      </c>
      <c r="G856" t="s">
        <v>2414</v>
      </c>
      <c r="H856" s="5" t="s">
        <v>3676</v>
      </c>
      <c r="I856" s="5" t="s">
        <v>320</v>
      </c>
      <c r="J856" s="5" t="s">
        <v>321</v>
      </c>
      <c r="K856" s="5" t="s">
        <v>28</v>
      </c>
      <c r="L856">
        <v>6</v>
      </c>
      <c r="M856">
        <v>160.93</v>
      </c>
      <c r="N856" s="8">
        <v>16.09</v>
      </c>
      <c r="O856" s="8">
        <v>949.49</v>
      </c>
      <c r="P856" s="8">
        <v>47.47</v>
      </c>
      <c r="Q856" s="10">
        <v>30</v>
      </c>
      <c r="R856" s="10">
        <v>10</v>
      </c>
      <c r="S856" s="8">
        <v>1036.96</v>
      </c>
      <c r="T856">
        <v>15</v>
      </c>
      <c r="U856" t="str">
        <f t="shared" si="13"/>
        <v>Saturday</v>
      </c>
    </row>
    <row r="857" spans="1:21" x14ac:dyDescent="0.3">
      <c r="A857" s="5" t="s">
        <v>2415</v>
      </c>
      <c r="B857" s="3" t="s">
        <v>3723</v>
      </c>
      <c r="C857" s="5" t="s">
        <v>1198</v>
      </c>
      <c r="D857" s="5" t="s">
        <v>82</v>
      </c>
      <c r="E857" s="5" t="s">
        <v>83</v>
      </c>
      <c r="F857" s="5" t="s">
        <v>23</v>
      </c>
      <c r="G857" t="s">
        <v>2416</v>
      </c>
      <c r="H857" s="5" t="s">
        <v>25</v>
      </c>
      <c r="I857" s="5" t="s">
        <v>325</v>
      </c>
      <c r="J857" s="5" t="s">
        <v>326</v>
      </c>
      <c r="K857" s="5" t="s">
        <v>22</v>
      </c>
      <c r="L857">
        <v>2</v>
      </c>
      <c r="M857">
        <v>150.81</v>
      </c>
      <c r="N857" s="8">
        <v>0</v>
      </c>
      <c r="O857" s="8">
        <v>301.62</v>
      </c>
      <c r="P857" s="8">
        <v>15.08</v>
      </c>
      <c r="Q857" s="10">
        <v>30</v>
      </c>
      <c r="R857" s="10">
        <v>20</v>
      </c>
      <c r="S857" s="8">
        <v>366.7</v>
      </c>
      <c r="T857">
        <v>43</v>
      </c>
      <c r="U857" t="str">
        <f t="shared" si="13"/>
        <v>Monday</v>
      </c>
    </row>
    <row r="858" spans="1:21" x14ac:dyDescent="0.3">
      <c r="A858" s="5" t="s">
        <v>2417</v>
      </c>
      <c r="B858" s="3" t="s">
        <v>3683</v>
      </c>
      <c r="C858" s="5" t="s">
        <v>1201</v>
      </c>
      <c r="D858" s="5" t="s">
        <v>82</v>
      </c>
      <c r="E858" s="5" t="s">
        <v>83</v>
      </c>
      <c r="F858" s="5" t="s">
        <v>23</v>
      </c>
      <c r="G858" t="s">
        <v>2418</v>
      </c>
      <c r="H858" s="5" t="s">
        <v>25</v>
      </c>
      <c r="I858" s="5" t="s">
        <v>329</v>
      </c>
      <c r="J858" s="5" t="s">
        <v>330</v>
      </c>
      <c r="K858" s="5" t="s">
        <v>22</v>
      </c>
      <c r="L858">
        <v>3</v>
      </c>
      <c r="M858">
        <v>132.87</v>
      </c>
      <c r="N858" s="8">
        <v>13.29</v>
      </c>
      <c r="O858" s="8">
        <v>385.32</v>
      </c>
      <c r="P858" s="8">
        <v>19.27</v>
      </c>
      <c r="Q858" s="10">
        <v>10</v>
      </c>
      <c r="R858" s="10">
        <v>20</v>
      </c>
      <c r="S858" s="8">
        <v>434.59</v>
      </c>
      <c r="T858">
        <v>36</v>
      </c>
      <c r="U858" t="str">
        <f t="shared" si="13"/>
        <v>Thursday</v>
      </c>
    </row>
    <row r="859" spans="1:21" x14ac:dyDescent="0.3">
      <c r="A859" s="5" t="s">
        <v>2419</v>
      </c>
      <c r="B859" s="3" t="s">
        <v>3694</v>
      </c>
      <c r="C859" s="5" t="s">
        <v>1204</v>
      </c>
      <c r="D859" s="5" t="s">
        <v>21</v>
      </c>
      <c r="E859" s="5" t="s">
        <v>22</v>
      </c>
      <c r="F859" s="5" t="s">
        <v>42</v>
      </c>
      <c r="G859" t="s">
        <v>2420</v>
      </c>
      <c r="H859" s="5" t="s">
        <v>100</v>
      </c>
      <c r="I859" s="5" t="s">
        <v>334</v>
      </c>
      <c r="J859" s="5" t="s">
        <v>335</v>
      </c>
      <c r="K859" s="5" t="s">
        <v>196</v>
      </c>
      <c r="L859">
        <v>6</v>
      </c>
      <c r="M859">
        <v>216.38</v>
      </c>
      <c r="N859" s="8">
        <v>21.64</v>
      </c>
      <c r="O859" s="8">
        <v>1276.6400000000001</v>
      </c>
      <c r="P859" s="8">
        <v>63.83</v>
      </c>
      <c r="Q859" s="10">
        <v>30</v>
      </c>
      <c r="R859" s="10">
        <v>0</v>
      </c>
      <c r="S859" s="8">
        <v>1370.47</v>
      </c>
      <c r="T859">
        <v>26</v>
      </c>
      <c r="U859" t="str">
        <f t="shared" si="13"/>
        <v>Thursday</v>
      </c>
    </row>
    <row r="860" spans="1:21" x14ac:dyDescent="0.3">
      <c r="A860" s="5" t="s">
        <v>2421</v>
      </c>
      <c r="B860" s="3" t="s">
        <v>3730</v>
      </c>
      <c r="C860" s="5" t="s">
        <v>1207</v>
      </c>
      <c r="D860" s="5" t="s">
        <v>21</v>
      </c>
      <c r="E860" s="5" t="s">
        <v>112</v>
      </c>
      <c r="F860" s="5" t="s">
        <v>42</v>
      </c>
      <c r="G860" t="s">
        <v>2422</v>
      </c>
      <c r="H860" s="5" t="s">
        <v>3676</v>
      </c>
      <c r="I860" s="5" t="s">
        <v>339</v>
      </c>
      <c r="J860" s="5" t="s">
        <v>340</v>
      </c>
      <c r="K860" s="5" t="s">
        <v>145</v>
      </c>
      <c r="L860">
        <v>5</v>
      </c>
      <c r="M860">
        <v>111.3</v>
      </c>
      <c r="N860" s="8">
        <v>5.57</v>
      </c>
      <c r="O860" s="8">
        <v>550.92999999999995</v>
      </c>
      <c r="P860" s="8">
        <v>27.55</v>
      </c>
      <c r="Q860" s="10">
        <v>30</v>
      </c>
      <c r="R860" s="10">
        <v>5</v>
      </c>
      <c r="S860" s="8">
        <v>613.4799999999999</v>
      </c>
      <c r="T860">
        <v>28</v>
      </c>
      <c r="U860" t="str">
        <f t="shared" si="13"/>
        <v>Friday</v>
      </c>
    </row>
    <row r="861" spans="1:21" x14ac:dyDescent="0.3">
      <c r="A861" s="5" t="s">
        <v>2423</v>
      </c>
      <c r="B861" s="3" t="s">
        <v>3735</v>
      </c>
      <c r="C861" s="5" t="s">
        <v>1210</v>
      </c>
      <c r="D861" s="5" t="s">
        <v>21</v>
      </c>
      <c r="E861" s="5" t="s">
        <v>112</v>
      </c>
      <c r="F861" s="5" t="s">
        <v>37</v>
      </c>
      <c r="G861" t="s">
        <v>2424</v>
      </c>
      <c r="H861" s="5" t="s">
        <v>3676</v>
      </c>
      <c r="I861" s="5" t="s">
        <v>344</v>
      </c>
      <c r="J861" s="5" t="s">
        <v>345</v>
      </c>
      <c r="K861" s="5" t="s">
        <v>34</v>
      </c>
      <c r="L861">
        <v>1</v>
      </c>
      <c r="M861">
        <v>197.76</v>
      </c>
      <c r="N861" s="8">
        <v>19.78</v>
      </c>
      <c r="O861" s="8">
        <v>177.98</v>
      </c>
      <c r="P861" s="8">
        <v>8.9</v>
      </c>
      <c r="Q861" s="10">
        <v>10</v>
      </c>
      <c r="R861" s="10">
        <v>10</v>
      </c>
      <c r="S861" s="8">
        <v>206.88</v>
      </c>
      <c r="T861">
        <v>13</v>
      </c>
      <c r="U861" t="str">
        <f t="shared" si="13"/>
        <v>Saturday</v>
      </c>
    </row>
    <row r="862" spans="1:21" x14ac:dyDescent="0.3">
      <c r="A862" s="5" t="s">
        <v>2425</v>
      </c>
      <c r="B862" s="3" t="s">
        <v>3730</v>
      </c>
      <c r="C862" s="5" t="s">
        <v>1213</v>
      </c>
      <c r="D862" s="5" t="s">
        <v>21</v>
      </c>
      <c r="E862" s="5" t="s">
        <v>36</v>
      </c>
      <c r="F862" s="5" t="s">
        <v>37</v>
      </c>
      <c r="G862" t="s">
        <v>2426</v>
      </c>
      <c r="H862" s="5" t="s">
        <v>3674</v>
      </c>
      <c r="I862" s="5" t="s">
        <v>349</v>
      </c>
      <c r="J862" s="5" t="s">
        <v>350</v>
      </c>
      <c r="K862" s="5" t="s">
        <v>45</v>
      </c>
      <c r="L862">
        <v>1</v>
      </c>
      <c r="M862">
        <v>188.82</v>
      </c>
      <c r="N862" s="8">
        <v>18.88</v>
      </c>
      <c r="O862" s="8">
        <v>169.94</v>
      </c>
      <c r="P862" s="8">
        <v>8.5</v>
      </c>
      <c r="Q862" s="10">
        <v>30</v>
      </c>
      <c r="R862" s="10">
        <v>15</v>
      </c>
      <c r="S862" s="8">
        <v>223.44</v>
      </c>
      <c r="T862">
        <v>16</v>
      </c>
      <c r="U862" t="str">
        <f t="shared" si="13"/>
        <v>Friday</v>
      </c>
    </row>
    <row r="863" spans="1:21" x14ac:dyDescent="0.3">
      <c r="A863" s="5" t="s">
        <v>2427</v>
      </c>
      <c r="B863" s="3" t="s">
        <v>3708</v>
      </c>
      <c r="C863" s="5" t="s">
        <v>1216</v>
      </c>
      <c r="D863" s="5" t="s">
        <v>21</v>
      </c>
      <c r="E863" s="5" t="s">
        <v>76</v>
      </c>
      <c r="F863" s="5" t="s">
        <v>23</v>
      </c>
      <c r="G863" t="s">
        <v>2428</v>
      </c>
      <c r="H863" s="5" t="s">
        <v>100</v>
      </c>
      <c r="I863" s="5" t="s">
        <v>354</v>
      </c>
      <c r="J863" s="5" t="s">
        <v>355</v>
      </c>
      <c r="K863" s="5" t="s">
        <v>28</v>
      </c>
      <c r="L863">
        <v>5</v>
      </c>
      <c r="M863">
        <v>76.56</v>
      </c>
      <c r="N863" s="8">
        <v>11.48</v>
      </c>
      <c r="O863" s="8">
        <v>371.32</v>
      </c>
      <c r="P863" s="8">
        <v>18.57</v>
      </c>
      <c r="Q863" s="10">
        <v>0</v>
      </c>
      <c r="R863" s="10">
        <v>10</v>
      </c>
      <c r="S863" s="8">
        <v>399.89</v>
      </c>
      <c r="T863">
        <v>23</v>
      </c>
      <c r="U863" t="str">
        <f t="shared" si="13"/>
        <v>Sunday</v>
      </c>
    </row>
    <row r="864" spans="1:21" x14ac:dyDescent="0.3">
      <c r="A864" s="5" t="s">
        <v>2429</v>
      </c>
      <c r="B864" s="3" t="s">
        <v>3682</v>
      </c>
      <c r="C864" s="5" t="s">
        <v>1219</v>
      </c>
      <c r="D864" s="5" t="s">
        <v>82</v>
      </c>
      <c r="E864" s="5" t="s">
        <v>83</v>
      </c>
      <c r="F864" s="5" t="s">
        <v>42</v>
      </c>
      <c r="G864" t="s">
        <v>2430</v>
      </c>
      <c r="H864" s="5" t="s">
        <v>3673</v>
      </c>
      <c r="I864" s="5" t="s">
        <v>359</v>
      </c>
      <c r="J864" s="5" t="s">
        <v>360</v>
      </c>
      <c r="K864" s="5" t="s">
        <v>145</v>
      </c>
      <c r="L864">
        <v>1</v>
      </c>
      <c r="M864">
        <v>104.16</v>
      </c>
      <c r="N864" s="8">
        <v>15.62</v>
      </c>
      <c r="O864" s="8">
        <v>88.539999999999992</v>
      </c>
      <c r="P864" s="8">
        <v>4.43</v>
      </c>
      <c r="Q864" s="10">
        <v>10</v>
      </c>
      <c r="R864" s="10">
        <v>20</v>
      </c>
      <c r="S864" s="8">
        <v>122.97</v>
      </c>
      <c r="T864">
        <v>21</v>
      </c>
      <c r="U864" t="str">
        <f t="shared" si="13"/>
        <v>Tuesday</v>
      </c>
    </row>
    <row r="865" spans="1:21" x14ac:dyDescent="0.3">
      <c r="A865" s="5" t="s">
        <v>2431</v>
      </c>
      <c r="B865" s="3" t="s">
        <v>3706</v>
      </c>
      <c r="C865" s="5" t="s">
        <v>1222</v>
      </c>
      <c r="D865" s="5" t="s">
        <v>21</v>
      </c>
      <c r="E865" s="5" t="s">
        <v>69</v>
      </c>
      <c r="F865" s="5" t="s">
        <v>42</v>
      </c>
      <c r="G865" t="s">
        <v>2432</v>
      </c>
      <c r="H865" s="5" t="s">
        <v>3677</v>
      </c>
      <c r="I865" s="5" t="s">
        <v>364</v>
      </c>
      <c r="J865" s="5" t="s">
        <v>365</v>
      </c>
      <c r="K865" s="5" t="s">
        <v>40</v>
      </c>
      <c r="L865">
        <v>5</v>
      </c>
      <c r="M865">
        <v>97.69</v>
      </c>
      <c r="N865" s="8">
        <v>9.77</v>
      </c>
      <c r="O865" s="8">
        <v>478.68</v>
      </c>
      <c r="P865" s="8">
        <v>23.93</v>
      </c>
      <c r="Q865" s="10">
        <v>0</v>
      </c>
      <c r="R865" s="10">
        <v>5</v>
      </c>
      <c r="S865" s="8">
        <v>507.61</v>
      </c>
      <c r="T865">
        <v>17</v>
      </c>
      <c r="U865" t="str">
        <f t="shared" si="13"/>
        <v>Thursday</v>
      </c>
    </row>
    <row r="866" spans="1:21" x14ac:dyDescent="0.3">
      <c r="A866" s="5" t="s">
        <v>2433</v>
      </c>
      <c r="B866" s="3" t="s">
        <v>3724</v>
      </c>
      <c r="C866" s="5" t="s">
        <v>1225</v>
      </c>
      <c r="D866" s="5" t="s">
        <v>21</v>
      </c>
      <c r="E866" s="5" t="s">
        <v>36</v>
      </c>
      <c r="F866" s="5" t="s">
        <v>42</v>
      </c>
      <c r="G866" t="s">
        <v>2434</v>
      </c>
      <c r="H866" s="5" t="s">
        <v>3676</v>
      </c>
      <c r="I866" s="5" t="s">
        <v>369</v>
      </c>
      <c r="J866" s="5" t="s">
        <v>370</v>
      </c>
      <c r="K866" s="5" t="s">
        <v>40</v>
      </c>
      <c r="L866">
        <v>4</v>
      </c>
      <c r="M866">
        <v>71.569999999999993</v>
      </c>
      <c r="N866" s="8">
        <v>3.58</v>
      </c>
      <c r="O866" s="8">
        <v>282.7</v>
      </c>
      <c r="P866" s="8">
        <v>14.13</v>
      </c>
      <c r="Q866" s="10">
        <v>20</v>
      </c>
      <c r="R866" s="10">
        <v>5</v>
      </c>
      <c r="S866" s="8">
        <v>321.83</v>
      </c>
      <c r="T866">
        <v>7</v>
      </c>
      <c r="U866" t="str">
        <f t="shared" si="13"/>
        <v>Sunday</v>
      </c>
    </row>
    <row r="867" spans="1:21" x14ac:dyDescent="0.3">
      <c r="A867" s="5" t="s">
        <v>2435</v>
      </c>
      <c r="B867" s="3" t="s">
        <v>3682</v>
      </c>
      <c r="C867" s="5" t="s">
        <v>1228</v>
      </c>
      <c r="D867" s="5" t="s">
        <v>21</v>
      </c>
      <c r="E867" s="5" t="s">
        <v>22</v>
      </c>
      <c r="F867" s="5" t="s">
        <v>42</v>
      </c>
      <c r="G867" t="s">
        <v>2436</v>
      </c>
      <c r="H867" s="5" t="s">
        <v>3676</v>
      </c>
      <c r="I867" s="5" t="s">
        <v>374</v>
      </c>
      <c r="J867" s="5" t="s">
        <v>375</v>
      </c>
      <c r="K867" s="5" t="s">
        <v>28</v>
      </c>
      <c r="L867">
        <v>2</v>
      </c>
      <c r="M867">
        <v>36.590000000000003</v>
      </c>
      <c r="N867" s="8">
        <v>1.83</v>
      </c>
      <c r="O867" s="8">
        <v>71.350000000000009</v>
      </c>
      <c r="P867" s="8">
        <v>3.57</v>
      </c>
      <c r="Q867" s="10">
        <v>20</v>
      </c>
      <c r="R867" s="10">
        <v>0</v>
      </c>
      <c r="S867" s="8">
        <v>94.92</v>
      </c>
      <c r="T867">
        <v>26</v>
      </c>
      <c r="U867" t="str">
        <f t="shared" si="13"/>
        <v>Tuesday</v>
      </c>
    </row>
    <row r="868" spans="1:21" x14ac:dyDescent="0.3">
      <c r="A868" s="5" t="s">
        <v>2437</v>
      </c>
      <c r="B868" s="3" t="s">
        <v>3686</v>
      </c>
      <c r="C868" s="5" t="s">
        <v>1231</v>
      </c>
      <c r="D868" s="5" t="s">
        <v>21</v>
      </c>
      <c r="E868" s="5" t="s">
        <v>22</v>
      </c>
      <c r="F868" s="5" t="s">
        <v>23</v>
      </c>
      <c r="H868" s="5" t="s">
        <v>3673</v>
      </c>
      <c r="I868" s="5" t="s">
        <v>379</v>
      </c>
      <c r="J868" s="5" t="s">
        <v>380</v>
      </c>
      <c r="K868" s="5" t="s">
        <v>196</v>
      </c>
      <c r="L868">
        <v>2</v>
      </c>
      <c r="M868">
        <v>155.74</v>
      </c>
      <c r="N868" s="8">
        <v>15.57</v>
      </c>
      <c r="O868" s="8">
        <v>295.91000000000003</v>
      </c>
      <c r="P868" s="8">
        <v>14.8</v>
      </c>
      <c r="Q868" s="10">
        <v>30</v>
      </c>
      <c r="R868" s="10">
        <v>0</v>
      </c>
      <c r="S868" s="8">
        <v>340.71</v>
      </c>
      <c r="T868">
        <v>25</v>
      </c>
      <c r="U868" t="str">
        <f t="shared" si="13"/>
        <v>Saturday</v>
      </c>
    </row>
    <row r="869" spans="1:21" x14ac:dyDescent="0.3">
      <c r="A869" s="5" t="s">
        <v>2438</v>
      </c>
      <c r="B869" s="3" t="s">
        <v>3697</v>
      </c>
      <c r="C869" s="5" t="s">
        <v>1234</v>
      </c>
      <c r="D869" s="5" t="s">
        <v>21</v>
      </c>
      <c r="E869" s="5" t="s">
        <v>76</v>
      </c>
      <c r="F869" s="5" t="s">
        <v>23</v>
      </c>
      <c r="G869" t="s">
        <v>2439</v>
      </c>
      <c r="H869" s="5" t="s">
        <v>3673</v>
      </c>
      <c r="I869" s="5" t="s">
        <v>383</v>
      </c>
      <c r="J869" s="5" t="s">
        <v>384</v>
      </c>
      <c r="K869" s="5" t="s">
        <v>73</v>
      </c>
      <c r="L869">
        <v>2</v>
      </c>
      <c r="M869">
        <v>220.29</v>
      </c>
      <c r="N869" s="8">
        <v>22.03</v>
      </c>
      <c r="O869" s="8">
        <v>418.55</v>
      </c>
      <c r="P869" s="8">
        <v>20.93</v>
      </c>
      <c r="Q869" s="10">
        <v>30</v>
      </c>
      <c r="R869" s="10">
        <v>5</v>
      </c>
      <c r="S869" s="8">
        <v>474.48</v>
      </c>
      <c r="T869">
        <v>42</v>
      </c>
      <c r="U869" t="str">
        <f t="shared" si="13"/>
        <v>Saturday</v>
      </c>
    </row>
    <row r="870" spans="1:21" x14ac:dyDescent="0.3">
      <c r="A870" s="5" t="s">
        <v>2440</v>
      </c>
      <c r="B870" s="3" t="s">
        <v>3712</v>
      </c>
      <c r="C870" s="5" t="s">
        <v>1237</v>
      </c>
      <c r="D870" s="5" t="s">
        <v>21</v>
      </c>
      <c r="E870" s="5" t="s">
        <v>112</v>
      </c>
      <c r="F870" s="5" t="s">
        <v>37</v>
      </c>
      <c r="G870" t="s">
        <v>2441</v>
      </c>
      <c r="H870" s="5" t="s">
        <v>3675</v>
      </c>
      <c r="I870" s="5" t="s">
        <v>388</v>
      </c>
      <c r="J870" s="5" t="s">
        <v>389</v>
      </c>
      <c r="K870" s="5" t="s">
        <v>45</v>
      </c>
      <c r="L870">
        <v>2</v>
      </c>
      <c r="M870">
        <v>0.66</v>
      </c>
      <c r="N870" s="8">
        <v>0.1</v>
      </c>
      <c r="O870" s="8">
        <v>1.22</v>
      </c>
      <c r="P870" s="8">
        <v>0.06</v>
      </c>
      <c r="Q870" s="10">
        <v>30</v>
      </c>
      <c r="R870" s="10">
        <v>5</v>
      </c>
      <c r="S870" s="8">
        <v>36.28</v>
      </c>
      <c r="T870">
        <v>28</v>
      </c>
      <c r="U870" t="str">
        <f t="shared" si="13"/>
        <v>Thursday</v>
      </c>
    </row>
    <row r="871" spans="1:21" x14ac:dyDescent="0.3">
      <c r="A871" s="5" t="s">
        <v>2442</v>
      </c>
      <c r="B871" s="3" t="s">
        <v>3689</v>
      </c>
      <c r="C871" s="5" t="s">
        <v>1240</v>
      </c>
      <c r="D871" s="5" t="s">
        <v>21</v>
      </c>
      <c r="E871" s="5" t="s">
        <v>112</v>
      </c>
      <c r="F871" s="5" t="s">
        <v>42</v>
      </c>
      <c r="G871" t="s">
        <v>2443</v>
      </c>
      <c r="H871" s="5" t="s">
        <v>3674</v>
      </c>
      <c r="I871" s="5" t="s">
        <v>393</v>
      </c>
      <c r="J871" s="5" t="s">
        <v>394</v>
      </c>
      <c r="K871" s="5" t="s">
        <v>56</v>
      </c>
      <c r="L871">
        <v>3</v>
      </c>
      <c r="M871">
        <v>54.37</v>
      </c>
      <c r="N871" s="8">
        <v>8.16</v>
      </c>
      <c r="O871" s="8">
        <v>154.94999999999999</v>
      </c>
      <c r="P871" s="8">
        <v>7.75</v>
      </c>
      <c r="Q871" s="10">
        <v>20</v>
      </c>
      <c r="R871" s="10">
        <v>15</v>
      </c>
      <c r="S871" s="8">
        <v>197.7</v>
      </c>
      <c r="T871">
        <v>24.67</v>
      </c>
      <c r="U871" t="str">
        <f t="shared" si="13"/>
        <v>Wednesday</v>
      </c>
    </row>
    <row r="872" spans="1:21" x14ac:dyDescent="0.3">
      <c r="A872" s="5" t="s">
        <v>2444</v>
      </c>
      <c r="B872" s="3" t="s">
        <v>3721</v>
      </c>
      <c r="C872" s="5" t="s">
        <v>1243</v>
      </c>
      <c r="D872" s="5" t="s">
        <v>21</v>
      </c>
      <c r="E872" s="5" t="s">
        <v>112</v>
      </c>
      <c r="F872" s="5" t="s">
        <v>23</v>
      </c>
      <c r="G872" t="s">
        <v>2445</v>
      </c>
      <c r="H872" s="5" t="s">
        <v>3673</v>
      </c>
      <c r="I872" s="5" t="s">
        <v>398</v>
      </c>
      <c r="J872" s="5" t="s">
        <v>399</v>
      </c>
      <c r="K872" s="5" t="s">
        <v>40</v>
      </c>
      <c r="L872">
        <v>4</v>
      </c>
      <c r="M872">
        <v>93.91</v>
      </c>
      <c r="N872" s="8">
        <v>0</v>
      </c>
      <c r="O872" s="8">
        <v>375.64</v>
      </c>
      <c r="P872" s="8">
        <v>18.78</v>
      </c>
      <c r="Q872" s="10">
        <v>30</v>
      </c>
      <c r="R872" s="10">
        <v>20</v>
      </c>
      <c r="S872" s="8">
        <v>444.42</v>
      </c>
      <c r="T872">
        <v>29</v>
      </c>
      <c r="U872" t="str">
        <f t="shared" si="13"/>
        <v>Tuesday</v>
      </c>
    </row>
    <row r="873" spans="1:21" x14ac:dyDescent="0.3">
      <c r="A873" s="5" t="s">
        <v>2446</v>
      </c>
      <c r="B873" s="3" t="s">
        <v>3684</v>
      </c>
      <c r="C873" s="5" t="s">
        <v>1246</v>
      </c>
      <c r="D873" s="5" t="s">
        <v>21</v>
      </c>
      <c r="E873" s="5" t="s">
        <v>112</v>
      </c>
      <c r="F873" s="5" t="s">
        <v>37</v>
      </c>
      <c r="G873" t="s">
        <v>2447</v>
      </c>
      <c r="H873" s="5" t="s">
        <v>3675</v>
      </c>
      <c r="I873" s="5" t="s">
        <v>403</v>
      </c>
      <c r="J873" s="5" t="s">
        <v>404</v>
      </c>
      <c r="K873" s="5" t="s">
        <v>40</v>
      </c>
      <c r="L873">
        <v>6</v>
      </c>
      <c r="M873">
        <v>143.88</v>
      </c>
      <c r="N873" s="8">
        <v>7.19</v>
      </c>
      <c r="O873" s="8">
        <v>856.08999999999992</v>
      </c>
      <c r="P873" s="8">
        <v>42.8</v>
      </c>
      <c r="Q873" s="10">
        <v>20</v>
      </c>
      <c r="R873" s="10">
        <v>20</v>
      </c>
      <c r="S873" s="8">
        <v>938.88999999999987</v>
      </c>
      <c r="T873">
        <v>36</v>
      </c>
      <c r="U873" t="str">
        <f t="shared" si="13"/>
        <v>Sunday</v>
      </c>
    </row>
    <row r="874" spans="1:21" x14ac:dyDescent="0.3">
      <c r="A874" s="5" t="s">
        <v>2448</v>
      </c>
      <c r="B874" s="3" t="s">
        <v>3720</v>
      </c>
      <c r="C874" s="5" t="s">
        <v>1249</v>
      </c>
      <c r="D874" s="5" t="s">
        <v>21</v>
      </c>
      <c r="E874" s="5" t="s">
        <v>76</v>
      </c>
      <c r="F874" s="5" t="s">
        <v>23</v>
      </c>
      <c r="G874" t="s">
        <v>2449</v>
      </c>
      <c r="H874" s="5" t="s">
        <v>3673</v>
      </c>
      <c r="I874" s="5" t="s">
        <v>408</v>
      </c>
      <c r="J874" s="5" t="s">
        <v>409</v>
      </c>
      <c r="K874" s="5" t="s">
        <v>40</v>
      </c>
      <c r="L874">
        <v>1</v>
      </c>
      <c r="M874">
        <v>96.42</v>
      </c>
      <c r="N874" s="8">
        <v>14.46</v>
      </c>
      <c r="O874" s="8">
        <v>81.960000000000008</v>
      </c>
      <c r="P874" s="8">
        <v>4.0999999999999996</v>
      </c>
      <c r="Q874" s="10">
        <v>0</v>
      </c>
      <c r="R874" s="10">
        <v>0</v>
      </c>
      <c r="S874" s="8">
        <v>86.06</v>
      </c>
      <c r="T874">
        <v>24.67</v>
      </c>
      <c r="U874" t="str">
        <f t="shared" si="13"/>
        <v>Monday</v>
      </c>
    </row>
    <row r="875" spans="1:21" x14ac:dyDescent="0.3">
      <c r="A875" s="5" t="s">
        <v>2450</v>
      </c>
      <c r="B875" s="3" t="s">
        <v>3711</v>
      </c>
      <c r="C875" s="5" t="s">
        <v>1252</v>
      </c>
      <c r="D875" s="5" t="s">
        <v>82</v>
      </c>
      <c r="E875" s="5" t="s">
        <v>83</v>
      </c>
      <c r="F875" s="5" t="s">
        <v>37</v>
      </c>
      <c r="G875" t="s">
        <v>2451</v>
      </c>
      <c r="H875" s="5" t="s">
        <v>3674</v>
      </c>
      <c r="I875" s="5" t="s">
        <v>413</v>
      </c>
      <c r="J875" s="5" t="s">
        <v>414</v>
      </c>
      <c r="K875" s="5" t="s">
        <v>196</v>
      </c>
      <c r="L875">
        <v>5</v>
      </c>
      <c r="M875">
        <v>129.58000000000001</v>
      </c>
      <c r="N875" s="8">
        <v>6.48</v>
      </c>
      <c r="O875" s="8">
        <v>641.42000000000007</v>
      </c>
      <c r="P875" s="8">
        <v>32.07</v>
      </c>
      <c r="Q875" s="10">
        <v>0</v>
      </c>
      <c r="R875" s="10">
        <v>10</v>
      </c>
      <c r="S875" s="8">
        <v>683.49000000000012</v>
      </c>
      <c r="T875">
        <v>24.67</v>
      </c>
      <c r="U875" t="str">
        <f t="shared" si="13"/>
        <v>Wednesday</v>
      </c>
    </row>
    <row r="876" spans="1:21" x14ac:dyDescent="0.3">
      <c r="A876" s="5" t="s">
        <v>2452</v>
      </c>
      <c r="B876" s="3" t="s">
        <v>3715</v>
      </c>
      <c r="C876" s="5" t="s">
        <v>1255</v>
      </c>
      <c r="D876" s="5" t="s">
        <v>21</v>
      </c>
      <c r="E876" s="5" t="s">
        <v>112</v>
      </c>
      <c r="F876" s="5" t="s">
        <v>42</v>
      </c>
      <c r="G876" t="s">
        <v>2453</v>
      </c>
      <c r="H876" s="5" t="s">
        <v>100</v>
      </c>
      <c r="I876" s="5" t="s">
        <v>418</v>
      </c>
      <c r="J876" s="5" t="s">
        <v>419</v>
      </c>
      <c r="K876" s="5" t="s">
        <v>103</v>
      </c>
      <c r="L876">
        <v>4</v>
      </c>
      <c r="M876">
        <v>145.76</v>
      </c>
      <c r="N876" s="8">
        <v>14.58</v>
      </c>
      <c r="O876" s="8">
        <v>568.45999999999992</v>
      </c>
      <c r="P876" s="8">
        <v>28.42</v>
      </c>
      <c r="Q876" s="10">
        <v>30</v>
      </c>
      <c r="R876" s="10">
        <v>5</v>
      </c>
      <c r="S876" s="8">
        <v>631.87999999999988</v>
      </c>
      <c r="T876">
        <v>24.67</v>
      </c>
      <c r="U876" t="str">
        <f t="shared" si="13"/>
        <v>Saturday</v>
      </c>
    </row>
    <row r="877" spans="1:21" x14ac:dyDescent="0.3">
      <c r="A877" s="5" t="s">
        <v>2454</v>
      </c>
      <c r="B877" s="3" t="s">
        <v>3708</v>
      </c>
      <c r="C877" s="5" t="s">
        <v>1258</v>
      </c>
      <c r="D877" s="5" t="s">
        <v>21</v>
      </c>
      <c r="E877" s="5" t="s">
        <v>76</v>
      </c>
      <c r="F877" s="5" t="s">
        <v>37</v>
      </c>
      <c r="G877" t="s">
        <v>2455</v>
      </c>
      <c r="H877" s="5" t="s">
        <v>3677</v>
      </c>
      <c r="I877" s="5" t="s">
        <v>423</v>
      </c>
      <c r="J877" s="5" t="s">
        <v>424</v>
      </c>
      <c r="K877" s="5" t="s">
        <v>22</v>
      </c>
      <c r="L877">
        <v>3</v>
      </c>
      <c r="M877">
        <v>112.53</v>
      </c>
      <c r="N877" s="8">
        <v>16.88</v>
      </c>
      <c r="O877" s="8">
        <v>320.70999999999998</v>
      </c>
      <c r="P877" s="8">
        <v>16.04</v>
      </c>
      <c r="Q877" s="10">
        <v>30</v>
      </c>
      <c r="R877" s="10">
        <v>15</v>
      </c>
      <c r="S877" s="8">
        <v>381.75000000000011</v>
      </c>
      <c r="T877">
        <v>19</v>
      </c>
      <c r="U877" t="str">
        <f t="shared" si="13"/>
        <v>Sunday</v>
      </c>
    </row>
    <row r="878" spans="1:21" x14ac:dyDescent="0.3">
      <c r="A878" s="5" t="s">
        <v>2456</v>
      </c>
      <c r="B878" s="3" t="s">
        <v>3731</v>
      </c>
      <c r="C878" s="5" t="s">
        <v>1261</v>
      </c>
      <c r="D878" s="5" t="s">
        <v>21</v>
      </c>
      <c r="E878" s="5" t="s">
        <v>69</v>
      </c>
      <c r="F878" s="5" t="s">
        <v>37</v>
      </c>
      <c r="G878" t="s">
        <v>2457</v>
      </c>
      <c r="H878" s="5" t="s">
        <v>3675</v>
      </c>
      <c r="I878" s="5" t="s">
        <v>427</v>
      </c>
      <c r="J878" s="5" t="s">
        <v>428</v>
      </c>
      <c r="K878" s="5" t="s">
        <v>34</v>
      </c>
      <c r="L878">
        <v>6</v>
      </c>
      <c r="M878">
        <v>100.68</v>
      </c>
      <c r="N878" s="8">
        <v>15.1</v>
      </c>
      <c r="O878" s="8">
        <v>588.98</v>
      </c>
      <c r="P878" s="8">
        <v>29.45</v>
      </c>
      <c r="Q878" s="10">
        <v>0</v>
      </c>
      <c r="R878" s="10">
        <v>5</v>
      </c>
      <c r="S878" s="8">
        <v>623.43000000000006</v>
      </c>
      <c r="T878">
        <v>21</v>
      </c>
      <c r="U878" t="str">
        <f t="shared" si="13"/>
        <v>Monday</v>
      </c>
    </row>
    <row r="879" spans="1:21" x14ac:dyDescent="0.3">
      <c r="A879" s="5" t="s">
        <v>2458</v>
      </c>
      <c r="B879" s="3" t="s">
        <v>3701</v>
      </c>
      <c r="C879" s="5" t="s">
        <v>1264</v>
      </c>
      <c r="D879" s="5" t="s">
        <v>21</v>
      </c>
      <c r="E879" s="5" t="s">
        <v>36</v>
      </c>
      <c r="F879" s="5" t="s">
        <v>23</v>
      </c>
      <c r="G879" t="s">
        <v>2459</v>
      </c>
      <c r="H879" s="5" t="s">
        <v>3676</v>
      </c>
      <c r="I879" s="5" t="s">
        <v>432</v>
      </c>
      <c r="J879" s="5" t="s">
        <v>433</v>
      </c>
      <c r="K879" s="5" t="s">
        <v>196</v>
      </c>
      <c r="L879">
        <v>7</v>
      </c>
      <c r="M879">
        <v>137.83000000000001</v>
      </c>
      <c r="N879" s="8">
        <v>6.89</v>
      </c>
      <c r="O879" s="8">
        <v>957.92000000000007</v>
      </c>
      <c r="P879" s="8">
        <v>47.9</v>
      </c>
      <c r="Q879" s="10">
        <v>30</v>
      </c>
      <c r="R879" s="10">
        <v>10</v>
      </c>
      <c r="S879" s="8">
        <v>1045.82</v>
      </c>
      <c r="T879">
        <v>41</v>
      </c>
      <c r="U879" t="str">
        <f t="shared" si="13"/>
        <v>Tuesday</v>
      </c>
    </row>
    <row r="880" spans="1:21" x14ac:dyDescent="0.3">
      <c r="A880" s="5" t="s">
        <v>2460</v>
      </c>
      <c r="B880" s="3" t="s">
        <v>3717</v>
      </c>
      <c r="C880" s="5" t="s">
        <v>1267</v>
      </c>
      <c r="D880" s="5" t="s">
        <v>21</v>
      </c>
      <c r="E880" s="5" t="s">
        <v>69</v>
      </c>
      <c r="F880" s="5" t="s">
        <v>23</v>
      </c>
      <c r="G880" t="s">
        <v>2461</v>
      </c>
      <c r="H880" s="5" t="s">
        <v>3676</v>
      </c>
      <c r="I880" s="5" t="s">
        <v>437</v>
      </c>
      <c r="J880" s="5" t="s">
        <v>438</v>
      </c>
      <c r="K880" s="5" t="s">
        <v>45</v>
      </c>
      <c r="L880">
        <v>2</v>
      </c>
      <c r="M880">
        <v>119.09</v>
      </c>
      <c r="N880" s="8">
        <v>17.86</v>
      </c>
      <c r="O880" s="8">
        <v>220.32</v>
      </c>
      <c r="P880" s="8">
        <v>11.02</v>
      </c>
      <c r="Q880" s="10">
        <v>30</v>
      </c>
      <c r="R880" s="10">
        <v>0</v>
      </c>
      <c r="S880" s="8">
        <v>261.33999999999997</v>
      </c>
      <c r="T880">
        <v>16</v>
      </c>
      <c r="U880" t="str">
        <f t="shared" si="13"/>
        <v>Tuesday</v>
      </c>
    </row>
    <row r="881" spans="1:21" x14ac:dyDescent="0.3">
      <c r="A881" s="5" t="s">
        <v>2462</v>
      </c>
      <c r="B881" s="3" t="s">
        <v>3707</v>
      </c>
      <c r="C881" s="5" t="s">
        <v>1270</v>
      </c>
      <c r="D881" s="5" t="s">
        <v>21</v>
      </c>
      <c r="E881" s="5" t="s">
        <v>69</v>
      </c>
      <c r="F881" s="5" t="s">
        <v>37</v>
      </c>
      <c r="G881" t="s">
        <v>2463</v>
      </c>
      <c r="H881" s="5" t="s">
        <v>3673</v>
      </c>
      <c r="I881" s="5" t="s">
        <v>442</v>
      </c>
      <c r="J881" s="5" t="s">
        <v>443</v>
      </c>
      <c r="K881" s="5" t="s">
        <v>28</v>
      </c>
      <c r="L881">
        <v>1</v>
      </c>
      <c r="M881">
        <v>122.54</v>
      </c>
      <c r="N881" s="8">
        <v>6.13</v>
      </c>
      <c r="O881" s="8">
        <v>116.41</v>
      </c>
      <c r="P881" s="8">
        <v>5.82</v>
      </c>
      <c r="Q881" s="10">
        <v>10</v>
      </c>
      <c r="R881" s="10">
        <v>20</v>
      </c>
      <c r="S881" s="8">
        <v>152.22999999999999</v>
      </c>
      <c r="T881">
        <v>30</v>
      </c>
      <c r="U881" t="str">
        <f t="shared" si="13"/>
        <v>Wednesday</v>
      </c>
    </row>
    <row r="882" spans="1:21" x14ac:dyDescent="0.3">
      <c r="A882" s="5" t="s">
        <v>2464</v>
      </c>
      <c r="B882" s="3" t="s">
        <v>3728</v>
      </c>
      <c r="C882" s="5" t="s">
        <v>1273</v>
      </c>
      <c r="D882" s="5" t="s">
        <v>21</v>
      </c>
      <c r="E882" s="5" t="s">
        <v>69</v>
      </c>
      <c r="F882" s="5" t="s">
        <v>42</v>
      </c>
      <c r="G882" t="s">
        <v>2465</v>
      </c>
      <c r="H882" s="5" t="s">
        <v>3676</v>
      </c>
      <c r="I882" s="5" t="s">
        <v>447</v>
      </c>
      <c r="J882" s="5" t="s">
        <v>448</v>
      </c>
      <c r="K882" s="5" t="s">
        <v>196</v>
      </c>
      <c r="L882">
        <v>1</v>
      </c>
      <c r="M882">
        <v>111.21</v>
      </c>
      <c r="N882" s="8">
        <v>16.68</v>
      </c>
      <c r="O882" s="8">
        <v>94.53</v>
      </c>
      <c r="P882" s="8">
        <v>4.7300000000000004</v>
      </c>
      <c r="Q882" s="10">
        <v>30</v>
      </c>
      <c r="R882" s="10">
        <v>5</v>
      </c>
      <c r="S882" s="8">
        <v>134.26</v>
      </c>
      <c r="T882">
        <v>34</v>
      </c>
      <c r="U882" t="str">
        <f t="shared" si="13"/>
        <v>Friday</v>
      </c>
    </row>
    <row r="883" spans="1:21" x14ac:dyDescent="0.3">
      <c r="A883" s="5" t="s">
        <v>2466</v>
      </c>
      <c r="B883" s="3" t="s">
        <v>3732</v>
      </c>
      <c r="C883" s="5" t="s">
        <v>1276</v>
      </c>
      <c r="D883" s="5" t="s">
        <v>21</v>
      </c>
      <c r="E883" s="5" t="s">
        <v>36</v>
      </c>
      <c r="F883" s="5" t="s">
        <v>23</v>
      </c>
      <c r="G883" t="s">
        <v>2467</v>
      </c>
      <c r="H883" s="5" t="s">
        <v>3674</v>
      </c>
      <c r="I883" s="5" t="s">
        <v>452</v>
      </c>
      <c r="J883" s="5" t="s">
        <v>453</v>
      </c>
      <c r="K883" s="5" t="s">
        <v>40</v>
      </c>
      <c r="L883">
        <v>3</v>
      </c>
      <c r="M883">
        <v>159.03</v>
      </c>
      <c r="N883" s="8">
        <v>0</v>
      </c>
      <c r="O883" s="8">
        <v>477.09</v>
      </c>
      <c r="P883" s="8">
        <v>23.85</v>
      </c>
      <c r="Q883" s="10">
        <v>20</v>
      </c>
      <c r="R883" s="10">
        <v>10</v>
      </c>
      <c r="S883" s="8">
        <v>530.94000000000005</v>
      </c>
      <c r="T883">
        <v>29</v>
      </c>
      <c r="U883" t="str">
        <f t="shared" si="13"/>
        <v>Wednesday</v>
      </c>
    </row>
    <row r="884" spans="1:21" x14ac:dyDescent="0.3">
      <c r="A884" s="5" t="s">
        <v>2468</v>
      </c>
      <c r="B884" s="3" t="s">
        <v>3688</v>
      </c>
      <c r="C884" s="5" t="s">
        <v>1279</v>
      </c>
      <c r="D884" s="5" t="s">
        <v>21</v>
      </c>
      <c r="E884" s="5" t="s">
        <v>22</v>
      </c>
      <c r="F884" s="5" t="s">
        <v>42</v>
      </c>
      <c r="G884" t="s">
        <v>2469</v>
      </c>
      <c r="H884" s="5" t="s">
        <v>3674</v>
      </c>
      <c r="I884" s="5" t="s">
        <v>456</v>
      </c>
      <c r="J884" s="5" t="s">
        <v>457</v>
      </c>
      <c r="K884" s="5" t="s">
        <v>22</v>
      </c>
      <c r="L884">
        <v>6</v>
      </c>
      <c r="M884">
        <v>115.65</v>
      </c>
      <c r="N884" s="8">
        <v>5.78</v>
      </c>
      <c r="O884" s="8">
        <v>688.12000000000012</v>
      </c>
      <c r="P884" s="8">
        <v>34.409999999999997</v>
      </c>
      <c r="Q884" s="10">
        <v>30</v>
      </c>
      <c r="R884" s="10">
        <v>5</v>
      </c>
      <c r="S884" s="8">
        <v>757.53000000000009</v>
      </c>
      <c r="T884">
        <v>24.67</v>
      </c>
      <c r="U884" t="str">
        <f t="shared" si="13"/>
        <v>Saturday</v>
      </c>
    </row>
    <row r="885" spans="1:21" x14ac:dyDescent="0.3">
      <c r="A885" s="5" t="s">
        <v>2470</v>
      </c>
      <c r="B885" s="3" t="s">
        <v>3724</v>
      </c>
      <c r="C885" s="5" t="s">
        <v>1282</v>
      </c>
      <c r="D885" s="5" t="s">
        <v>21</v>
      </c>
      <c r="E885" s="5" t="s">
        <v>112</v>
      </c>
      <c r="F885" s="5" t="s">
        <v>42</v>
      </c>
      <c r="G885" t="s">
        <v>2471</v>
      </c>
      <c r="H885" s="5" t="s">
        <v>25</v>
      </c>
      <c r="I885" s="5" t="s">
        <v>460</v>
      </c>
      <c r="J885" s="5" t="s">
        <v>461</v>
      </c>
      <c r="K885" s="5" t="s">
        <v>34</v>
      </c>
      <c r="L885">
        <v>1</v>
      </c>
      <c r="M885">
        <v>75.64</v>
      </c>
      <c r="N885" s="8">
        <v>11.35</v>
      </c>
      <c r="O885" s="8">
        <v>64.290000000000006</v>
      </c>
      <c r="P885" s="8">
        <v>3.21</v>
      </c>
      <c r="Q885" s="10">
        <v>0</v>
      </c>
      <c r="R885" s="10">
        <v>10</v>
      </c>
      <c r="S885" s="8">
        <v>77.5</v>
      </c>
      <c r="T885">
        <v>19</v>
      </c>
      <c r="U885" t="str">
        <f t="shared" si="13"/>
        <v>Sunday</v>
      </c>
    </row>
    <row r="886" spans="1:21" x14ac:dyDescent="0.3">
      <c r="A886" s="5" t="s">
        <v>2472</v>
      </c>
      <c r="B886" s="3" t="s">
        <v>3724</v>
      </c>
      <c r="C886" s="5" t="s">
        <v>1285</v>
      </c>
      <c r="D886" s="5" t="s">
        <v>21</v>
      </c>
      <c r="E886" s="5" t="s">
        <v>76</v>
      </c>
      <c r="F886" s="5" t="s">
        <v>23</v>
      </c>
      <c r="G886" t="s">
        <v>2473</v>
      </c>
      <c r="H886" s="5" t="s">
        <v>3676</v>
      </c>
      <c r="I886" s="5" t="s">
        <v>465</v>
      </c>
      <c r="J886" s="5" t="s">
        <v>466</v>
      </c>
      <c r="K886" s="5" t="s">
        <v>145</v>
      </c>
      <c r="L886">
        <v>3</v>
      </c>
      <c r="M886">
        <v>141.71</v>
      </c>
      <c r="N886" s="8">
        <v>0</v>
      </c>
      <c r="O886" s="8">
        <v>425.13</v>
      </c>
      <c r="P886" s="8">
        <v>21.26</v>
      </c>
      <c r="Q886" s="10">
        <v>30</v>
      </c>
      <c r="R886" s="10">
        <v>20</v>
      </c>
      <c r="S886" s="8">
        <v>496.39</v>
      </c>
      <c r="T886">
        <v>35</v>
      </c>
      <c r="U886" t="str">
        <f t="shared" si="13"/>
        <v>Sunday</v>
      </c>
    </row>
    <row r="887" spans="1:21" x14ac:dyDescent="0.3">
      <c r="A887" s="5" t="s">
        <v>2474</v>
      </c>
      <c r="B887" s="3" t="s">
        <v>3691</v>
      </c>
      <c r="C887" s="5" t="s">
        <v>1288</v>
      </c>
      <c r="D887" s="5" t="s">
        <v>21</v>
      </c>
      <c r="E887" s="5" t="s">
        <v>22</v>
      </c>
      <c r="F887" s="5" t="s">
        <v>37</v>
      </c>
      <c r="G887" t="s">
        <v>2475</v>
      </c>
      <c r="H887" s="5" t="s">
        <v>3674</v>
      </c>
      <c r="I887" s="5" t="s">
        <v>470</v>
      </c>
      <c r="J887" s="5" t="s">
        <v>471</v>
      </c>
      <c r="K887" s="5" t="s">
        <v>40</v>
      </c>
      <c r="L887">
        <v>3</v>
      </c>
      <c r="M887">
        <v>39.229999999999997</v>
      </c>
      <c r="N887" s="8">
        <v>3.92</v>
      </c>
      <c r="O887" s="8">
        <v>113.77</v>
      </c>
      <c r="P887" s="8">
        <v>5.69</v>
      </c>
      <c r="Q887" s="10">
        <v>20</v>
      </c>
      <c r="R887" s="10">
        <v>10</v>
      </c>
      <c r="S887" s="8">
        <v>149.46</v>
      </c>
      <c r="T887">
        <v>33</v>
      </c>
      <c r="U887" t="str">
        <f t="shared" si="13"/>
        <v>Friday</v>
      </c>
    </row>
    <row r="888" spans="1:21" x14ac:dyDescent="0.3">
      <c r="A888" s="5" t="s">
        <v>2476</v>
      </c>
      <c r="B888" s="3" t="s">
        <v>3706</v>
      </c>
      <c r="C888" s="5" t="s">
        <v>1291</v>
      </c>
      <c r="D888" s="5" t="s">
        <v>21</v>
      </c>
      <c r="E888" s="5" t="s">
        <v>69</v>
      </c>
      <c r="F888" s="5" t="s">
        <v>37</v>
      </c>
      <c r="G888" t="s">
        <v>2477</v>
      </c>
      <c r="H888" s="5" t="s">
        <v>3675</v>
      </c>
      <c r="I888" s="5" t="s">
        <v>475</v>
      </c>
      <c r="J888" s="5" t="s">
        <v>476</v>
      </c>
      <c r="K888" s="5" t="s">
        <v>103</v>
      </c>
      <c r="L888">
        <v>2</v>
      </c>
      <c r="M888">
        <v>152.26</v>
      </c>
      <c r="N888" s="8">
        <v>7.61</v>
      </c>
      <c r="O888" s="8">
        <v>296.91000000000003</v>
      </c>
      <c r="P888" s="8">
        <v>14.85</v>
      </c>
      <c r="Q888" s="10">
        <v>20</v>
      </c>
      <c r="R888" s="10">
        <v>20</v>
      </c>
      <c r="S888" s="8">
        <v>351.76</v>
      </c>
      <c r="T888">
        <v>29</v>
      </c>
      <c r="U888" t="str">
        <f t="shared" si="13"/>
        <v>Thursday</v>
      </c>
    </row>
    <row r="889" spans="1:21" x14ac:dyDescent="0.3">
      <c r="A889" s="5" t="s">
        <v>2478</v>
      </c>
      <c r="B889" s="3" t="s">
        <v>3685</v>
      </c>
      <c r="C889" s="5" t="s">
        <v>1294</v>
      </c>
      <c r="D889" s="5" t="s">
        <v>82</v>
      </c>
      <c r="E889" s="5" t="s">
        <v>83</v>
      </c>
      <c r="F889" s="5" t="s">
        <v>42</v>
      </c>
      <c r="G889" t="s">
        <v>2479</v>
      </c>
      <c r="H889" s="5" t="s">
        <v>3674</v>
      </c>
      <c r="I889" s="5" t="s">
        <v>480</v>
      </c>
      <c r="J889" s="5" t="s">
        <v>481</v>
      </c>
      <c r="K889" s="5" t="s">
        <v>73</v>
      </c>
      <c r="L889">
        <v>1</v>
      </c>
      <c r="M889">
        <v>104.91</v>
      </c>
      <c r="N889" s="8">
        <v>0</v>
      </c>
      <c r="O889" s="8">
        <v>104.91</v>
      </c>
      <c r="P889" s="8">
        <v>5.25</v>
      </c>
      <c r="Q889" s="10">
        <v>20</v>
      </c>
      <c r="R889" s="10">
        <v>0</v>
      </c>
      <c r="S889" s="8">
        <v>130.16</v>
      </c>
      <c r="T889">
        <v>24.67</v>
      </c>
      <c r="U889" t="str">
        <f t="shared" si="13"/>
        <v>Thursday</v>
      </c>
    </row>
    <row r="890" spans="1:21" x14ac:dyDescent="0.3">
      <c r="A890" s="5" t="s">
        <v>2480</v>
      </c>
      <c r="B890" s="3" t="s">
        <v>3711</v>
      </c>
      <c r="C890" s="5" t="s">
        <v>1297</v>
      </c>
      <c r="D890" s="5" t="s">
        <v>21</v>
      </c>
      <c r="E890" s="5" t="s">
        <v>36</v>
      </c>
      <c r="F890" s="5" t="s">
        <v>42</v>
      </c>
      <c r="G890" t="s">
        <v>2481</v>
      </c>
      <c r="H890" s="5" t="s">
        <v>3674</v>
      </c>
      <c r="I890" s="5" t="s">
        <v>485</v>
      </c>
      <c r="J890" s="5" t="s">
        <v>486</v>
      </c>
      <c r="K890" s="5" t="s">
        <v>28</v>
      </c>
      <c r="L890">
        <v>7</v>
      </c>
      <c r="M890">
        <v>154.22999999999999</v>
      </c>
      <c r="N890" s="8">
        <v>7.71</v>
      </c>
      <c r="O890" s="8">
        <v>1071.9000000000001</v>
      </c>
      <c r="P890" s="8">
        <v>53.59</v>
      </c>
      <c r="Q890" s="10">
        <v>20</v>
      </c>
      <c r="R890" s="10">
        <v>15</v>
      </c>
      <c r="S890" s="8">
        <v>1160.49</v>
      </c>
      <c r="T890">
        <v>24.67</v>
      </c>
      <c r="U890" t="str">
        <f t="shared" si="13"/>
        <v>Wednesday</v>
      </c>
    </row>
    <row r="891" spans="1:21" x14ac:dyDescent="0.3">
      <c r="A891" s="5" t="s">
        <v>2482</v>
      </c>
      <c r="B891" s="3" t="s">
        <v>3686</v>
      </c>
      <c r="C891" s="5" t="s">
        <v>1300</v>
      </c>
      <c r="D891" s="5" t="s">
        <v>21</v>
      </c>
      <c r="E891" s="5" t="s">
        <v>76</v>
      </c>
      <c r="F891" s="5" t="s">
        <v>23</v>
      </c>
      <c r="G891" t="s">
        <v>2483</v>
      </c>
      <c r="H891" s="5" t="s">
        <v>100</v>
      </c>
      <c r="I891" s="5" t="s">
        <v>490</v>
      </c>
      <c r="J891" s="5" t="s">
        <v>491</v>
      </c>
      <c r="K891" s="5" t="s">
        <v>56</v>
      </c>
      <c r="L891">
        <v>4</v>
      </c>
      <c r="M891">
        <v>7.4</v>
      </c>
      <c r="N891" s="8">
        <v>0.37</v>
      </c>
      <c r="O891" s="8">
        <v>29.23</v>
      </c>
      <c r="P891" s="8">
        <v>1.46</v>
      </c>
      <c r="Q891" s="10">
        <v>20</v>
      </c>
      <c r="R891" s="10">
        <v>10</v>
      </c>
      <c r="S891" s="8">
        <v>60.69</v>
      </c>
      <c r="T891">
        <v>26</v>
      </c>
      <c r="U891" t="str">
        <f t="shared" si="13"/>
        <v>Saturday</v>
      </c>
    </row>
    <row r="892" spans="1:21" x14ac:dyDescent="0.3">
      <c r="A892" s="5" t="s">
        <v>2484</v>
      </c>
      <c r="B892" s="3" t="s">
        <v>3699</v>
      </c>
      <c r="C892" s="5" t="s">
        <v>1303</v>
      </c>
      <c r="D892" s="5" t="s">
        <v>21</v>
      </c>
      <c r="E892" s="5" t="s">
        <v>36</v>
      </c>
      <c r="F892" s="5" t="s">
        <v>37</v>
      </c>
      <c r="G892" t="s">
        <v>2485</v>
      </c>
      <c r="H892" s="5" t="s">
        <v>25</v>
      </c>
      <c r="I892" s="5" t="s">
        <v>495</v>
      </c>
      <c r="J892" s="5" t="s">
        <v>496</v>
      </c>
      <c r="K892" s="5" t="s">
        <v>34</v>
      </c>
      <c r="L892">
        <v>3</v>
      </c>
      <c r="M892">
        <v>122.96</v>
      </c>
      <c r="N892" s="8">
        <v>18.440000000000001</v>
      </c>
      <c r="O892" s="8">
        <v>350.44</v>
      </c>
      <c r="P892" s="8">
        <v>17.52</v>
      </c>
      <c r="Q892" s="10">
        <v>10</v>
      </c>
      <c r="R892" s="10">
        <v>0</v>
      </c>
      <c r="S892" s="8">
        <v>377.96</v>
      </c>
      <c r="T892">
        <v>32</v>
      </c>
      <c r="U892" t="str">
        <f t="shared" si="13"/>
        <v>Sunday</v>
      </c>
    </row>
    <row r="893" spans="1:21" x14ac:dyDescent="0.3">
      <c r="A893" s="5" t="s">
        <v>2486</v>
      </c>
      <c r="B893" s="3" t="s">
        <v>3727</v>
      </c>
      <c r="C893" s="5" t="s">
        <v>1306</v>
      </c>
      <c r="D893" s="5" t="s">
        <v>21</v>
      </c>
      <c r="E893" s="5" t="s">
        <v>69</v>
      </c>
      <c r="F893" s="5" t="s">
        <v>42</v>
      </c>
      <c r="G893" t="s">
        <v>2487</v>
      </c>
      <c r="H893" s="5" t="s">
        <v>3676</v>
      </c>
      <c r="I893" s="5" t="s">
        <v>500</v>
      </c>
      <c r="J893" s="5" t="s">
        <v>501</v>
      </c>
      <c r="K893" s="5" t="s">
        <v>145</v>
      </c>
      <c r="L893">
        <v>4</v>
      </c>
      <c r="M893">
        <v>152.61000000000001</v>
      </c>
      <c r="N893" s="8">
        <v>0</v>
      </c>
      <c r="O893" s="8">
        <v>610.44000000000005</v>
      </c>
      <c r="P893" s="8">
        <v>30.52</v>
      </c>
      <c r="Q893" s="10">
        <v>10</v>
      </c>
      <c r="R893" s="10">
        <v>15</v>
      </c>
      <c r="S893" s="8">
        <v>665.96</v>
      </c>
      <c r="T893">
        <v>45</v>
      </c>
      <c r="U893" t="str">
        <f t="shared" si="13"/>
        <v>Friday</v>
      </c>
    </row>
    <row r="894" spans="1:21" x14ac:dyDescent="0.3">
      <c r="A894" s="5" t="s">
        <v>2488</v>
      </c>
      <c r="B894" s="3" t="s">
        <v>3735</v>
      </c>
      <c r="C894" s="5" t="s">
        <v>1309</v>
      </c>
      <c r="D894" s="5" t="s">
        <v>21</v>
      </c>
      <c r="E894" s="5" t="s">
        <v>36</v>
      </c>
      <c r="F894" s="5" t="s">
        <v>37</v>
      </c>
      <c r="G894" t="s">
        <v>2489</v>
      </c>
      <c r="H894" s="5" t="s">
        <v>100</v>
      </c>
      <c r="I894" s="5" t="s">
        <v>505</v>
      </c>
      <c r="J894" s="5" t="s">
        <v>506</v>
      </c>
      <c r="K894" s="5" t="s">
        <v>196</v>
      </c>
      <c r="L894">
        <v>5</v>
      </c>
      <c r="M894">
        <v>207.48</v>
      </c>
      <c r="N894" s="8">
        <v>20.75</v>
      </c>
      <c r="O894" s="8">
        <v>1016.65</v>
      </c>
      <c r="P894" s="8">
        <v>50.83</v>
      </c>
      <c r="Q894" s="10">
        <v>30</v>
      </c>
      <c r="R894" s="10">
        <v>0</v>
      </c>
      <c r="S894" s="8">
        <v>1097.48</v>
      </c>
      <c r="T894">
        <v>10</v>
      </c>
      <c r="U894" t="str">
        <f t="shared" si="13"/>
        <v>Saturday</v>
      </c>
    </row>
    <row r="895" spans="1:21" x14ac:dyDescent="0.3">
      <c r="A895" s="5" t="s">
        <v>2490</v>
      </c>
      <c r="B895" s="3" t="s">
        <v>3706</v>
      </c>
      <c r="C895" s="5" t="s">
        <v>1312</v>
      </c>
      <c r="D895" s="5" t="s">
        <v>21</v>
      </c>
      <c r="E895" s="5" t="s">
        <v>112</v>
      </c>
      <c r="F895" s="5" t="s">
        <v>23</v>
      </c>
      <c r="G895" t="s">
        <v>2491</v>
      </c>
      <c r="H895" s="5" t="s">
        <v>3673</v>
      </c>
      <c r="I895" s="5" t="s">
        <v>510</v>
      </c>
      <c r="J895" s="5" t="s">
        <v>511</v>
      </c>
      <c r="K895" s="5" t="s">
        <v>73</v>
      </c>
      <c r="L895">
        <v>3</v>
      </c>
      <c r="M895">
        <v>131.49</v>
      </c>
      <c r="N895" s="8">
        <v>13.15</v>
      </c>
      <c r="O895" s="8">
        <v>381.32000000000011</v>
      </c>
      <c r="P895" s="8">
        <v>19.07</v>
      </c>
      <c r="Q895" s="10">
        <v>10</v>
      </c>
      <c r="R895" s="10">
        <v>15</v>
      </c>
      <c r="S895" s="8">
        <v>425.39</v>
      </c>
      <c r="T895">
        <v>16</v>
      </c>
      <c r="U895" t="str">
        <f t="shared" si="13"/>
        <v>Thursday</v>
      </c>
    </row>
    <row r="896" spans="1:21" x14ac:dyDescent="0.3">
      <c r="A896" s="5" t="s">
        <v>2492</v>
      </c>
      <c r="B896" s="3" t="s">
        <v>3681</v>
      </c>
      <c r="C896" s="5" t="s">
        <v>1315</v>
      </c>
      <c r="D896" s="5" t="s">
        <v>21</v>
      </c>
      <c r="E896" s="5" t="s">
        <v>112</v>
      </c>
      <c r="F896" s="5" t="s">
        <v>37</v>
      </c>
      <c r="G896" t="s">
        <v>2493</v>
      </c>
      <c r="H896" s="5" t="s">
        <v>3676</v>
      </c>
      <c r="I896" s="5" t="s">
        <v>515</v>
      </c>
      <c r="J896" s="5" t="s">
        <v>516</v>
      </c>
      <c r="K896" s="5" t="s">
        <v>28</v>
      </c>
      <c r="L896">
        <v>4</v>
      </c>
      <c r="M896">
        <v>186.97</v>
      </c>
      <c r="N896" s="8">
        <v>9.35</v>
      </c>
      <c r="O896" s="8">
        <v>738.53</v>
      </c>
      <c r="P896" s="8">
        <v>36.93</v>
      </c>
      <c r="Q896" s="10">
        <v>0</v>
      </c>
      <c r="R896" s="10">
        <v>5</v>
      </c>
      <c r="S896" s="8">
        <v>780.45999999999992</v>
      </c>
      <c r="T896">
        <v>40</v>
      </c>
      <c r="U896" t="str">
        <f t="shared" si="13"/>
        <v>Wednesday</v>
      </c>
    </row>
    <row r="897" spans="1:21" x14ac:dyDescent="0.3">
      <c r="A897" s="5" t="s">
        <v>2494</v>
      </c>
      <c r="B897" s="3" t="s">
        <v>3696</v>
      </c>
      <c r="C897" s="5" t="s">
        <v>1318</v>
      </c>
      <c r="D897" s="5" t="s">
        <v>21</v>
      </c>
      <c r="E897" s="5" t="s">
        <v>112</v>
      </c>
      <c r="F897" s="5" t="s">
        <v>42</v>
      </c>
      <c r="G897" t="s">
        <v>2495</v>
      </c>
      <c r="H897" s="5" t="s">
        <v>100</v>
      </c>
      <c r="I897" s="5" t="s">
        <v>520</v>
      </c>
      <c r="J897" s="5" t="s">
        <v>521</v>
      </c>
      <c r="K897" s="5" t="s">
        <v>196</v>
      </c>
      <c r="L897">
        <v>9</v>
      </c>
      <c r="M897">
        <v>52.59</v>
      </c>
      <c r="N897" s="8">
        <v>0</v>
      </c>
      <c r="O897" s="8">
        <v>473.31000000000012</v>
      </c>
      <c r="P897" s="8">
        <v>23.67</v>
      </c>
      <c r="Q897" s="10">
        <v>30</v>
      </c>
      <c r="R897" s="10">
        <v>20</v>
      </c>
      <c r="S897" s="8">
        <v>546.98</v>
      </c>
      <c r="T897">
        <v>24.67</v>
      </c>
      <c r="U897" t="str">
        <f t="shared" si="13"/>
        <v>Friday</v>
      </c>
    </row>
    <row r="898" spans="1:21" x14ac:dyDescent="0.3">
      <c r="A898" s="5" t="s">
        <v>2496</v>
      </c>
      <c r="B898" s="3" t="s">
        <v>3699</v>
      </c>
      <c r="C898" s="5" t="s">
        <v>1321</v>
      </c>
      <c r="D898" s="5" t="s">
        <v>106</v>
      </c>
      <c r="E898" s="5" t="s">
        <v>83</v>
      </c>
      <c r="F898" s="5" t="s">
        <v>42</v>
      </c>
      <c r="G898" t="s">
        <v>2497</v>
      </c>
      <c r="H898" s="5" t="s">
        <v>3673</v>
      </c>
      <c r="I898" s="5" t="s">
        <v>525</v>
      </c>
      <c r="J898" s="5" t="s">
        <v>526</v>
      </c>
      <c r="K898" s="5" t="s">
        <v>145</v>
      </c>
      <c r="L898">
        <v>1</v>
      </c>
      <c r="M898">
        <v>125.41</v>
      </c>
      <c r="N898" s="8">
        <v>18.809999999999999</v>
      </c>
      <c r="O898" s="8">
        <v>106.6</v>
      </c>
      <c r="P898" s="8">
        <v>5.33</v>
      </c>
      <c r="Q898" s="10">
        <v>30</v>
      </c>
      <c r="R898" s="10">
        <v>10</v>
      </c>
      <c r="S898" s="8">
        <v>151.93</v>
      </c>
      <c r="T898">
        <v>33</v>
      </c>
      <c r="U898" t="str">
        <f t="shared" si="13"/>
        <v>Sunday</v>
      </c>
    </row>
    <row r="899" spans="1:21" x14ac:dyDescent="0.3">
      <c r="A899" s="5" t="s">
        <v>2498</v>
      </c>
      <c r="B899" s="3" t="s">
        <v>3687</v>
      </c>
      <c r="C899" s="5" t="s">
        <v>1323</v>
      </c>
      <c r="D899" s="5" t="s">
        <v>21</v>
      </c>
      <c r="E899" s="5" t="s">
        <v>76</v>
      </c>
      <c r="F899" s="5" t="s">
        <v>42</v>
      </c>
      <c r="G899" t="s">
        <v>2499</v>
      </c>
      <c r="H899" s="5" t="s">
        <v>3673</v>
      </c>
      <c r="I899" s="5" t="s">
        <v>530</v>
      </c>
      <c r="J899" s="5" t="s">
        <v>531</v>
      </c>
      <c r="K899" s="5" t="s">
        <v>22</v>
      </c>
      <c r="L899">
        <v>1</v>
      </c>
      <c r="M899">
        <v>235.41</v>
      </c>
      <c r="N899" s="8">
        <v>0</v>
      </c>
      <c r="O899" s="8">
        <v>235.41</v>
      </c>
      <c r="P899" s="8">
        <v>11.77</v>
      </c>
      <c r="Q899" s="10">
        <v>0</v>
      </c>
      <c r="R899" s="10">
        <v>0</v>
      </c>
      <c r="S899" s="8">
        <v>247.18</v>
      </c>
      <c r="T899">
        <v>17</v>
      </c>
      <c r="U899" t="str">
        <f t="shared" ref="U899:U962" si="14">TEXT(B899,"dddd")</f>
        <v>Friday</v>
      </c>
    </row>
    <row r="900" spans="1:21" x14ac:dyDescent="0.3">
      <c r="A900" s="5" t="s">
        <v>2500</v>
      </c>
      <c r="B900" s="3" t="s">
        <v>3705</v>
      </c>
      <c r="C900" s="5" t="s">
        <v>20</v>
      </c>
      <c r="D900" s="5" t="s">
        <v>21</v>
      </c>
      <c r="E900" s="5" t="s">
        <v>76</v>
      </c>
      <c r="F900" s="5" t="s">
        <v>23</v>
      </c>
      <c r="G900" t="s">
        <v>2501</v>
      </c>
      <c r="H900" s="5" t="s">
        <v>3673</v>
      </c>
      <c r="I900" s="5" t="s">
        <v>535</v>
      </c>
      <c r="J900" s="5" t="s">
        <v>536</v>
      </c>
      <c r="K900" s="5" t="s">
        <v>40</v>
      </c>
      <c r="L900">
        <v>3</v>
      </c>
      <c r="M900">
        <v>17.87</v>
      </c>
      <c r="N900" s="8">
        <v>0.89</v>
      </c>
      <c r="O900" s="8">
        <v>52.72</v>
      </c>
      <c r="P900" s="8">
        <v>2.64</v>
      </c>
      <c r="Q900" s="10">
        <v>10</v>
      </c>
      <c r="R900" s="10">
        <v>10</v>
      </c>
      <c r="S900" s="8">
        <v>75.36</v>
      </c>
      <c r="T900">
        <v>9</v>
      </c>
      <c r="U900" t="str">
        <f t="shared" si="14"/>
        <v>Tuesday</v>
      </c>
    </row>
    <row r="901" spans="1:21" x14ac:dyDescent="0.3">
      <c r="A901" s="5" t="s">
        <v>2502</v>
      </c>
      <c r="B901" s="3" t="s">
        <v>3688</v>
      </c>
      <c r="C901" s="5" t="s">
        <v>30</v>
      </c>
      <c r="D901" s="5" t="s">
        <v>21</v>
      </c>
      <c r="E901" s="5" t="s">
        <v>112</v>
      </c>
      <c r="F901" s="5" t="s">
        <v>37</v>
      </c>
      <c r="G901" t="s">
        <v>2503</v>
      </c>
      <c r="H901" s="5" t="s">
        <v>3676</v>
      </c>
      <c r="I901" s="5" t="s">
        <v>539</v>
      </c>
      <c r="J901" s="5" t="s">
        <v>540</v>
      </c>
      <c r="K901" s="5" t="s">
        <v>34</v>
      </c>
      <c r="L901">
        <v>1</v>
      </c>
      <c r="M901">
        <v>4.67</v>
      </c>
      <c r="N901" s="8">
        <v>0.23</v>
      </c>
      <c r="O901" s="8">
        <v>4.4400000000000004</v>
      </c>
      <c r="P901" s="8">
        <v>0.22</v>
      </c>
      <c r="Q901" s="10">
        <v>20</v>
      </c>
      <c r="R901" s="10">
        <v>15</v>
      </c>
      <c r="S901" s="8">
        <v>39.659999999999997</v>
      </c>
      <c r="T901">
        <v>21</v>
      </c>
      <c r="U901" t="str">
        <f t="shared" si="14"/>
        <v>Saturday</v>
      </c>
    </row>
    <row r="902" spans="1:21" x14ac:dyDescent="0.3">
      <c r="A902" s="5" t="s">
        <v>2504</v>
      </c>
      <c r="B902" s="3" t="s">
        <v>3681</v>
      </c>
      <c r="C902" s="5" t="s">
        <v>35</v>
      </c>
      <c r="D902" s="5" t="s">
        <v>106</v>
      </c>
      <c r="E902" s="5" t="s">
        <v>83</v>
      </c>
      <c r="F902" s="5" t="s">
        <v>3671</v>
      </c>
      <c r="G902" t="s">
        <v>2505</v>
      </c>
      <c r="H902" s="5" t="s">
        <v>3673</v>
      </c>
      <c r="I902" s="5" t="s">
        <v>544</v>
      </c>
      <c r="J902" s="5" t="s">
        <v>545</v>
      </c>
      <c r="K902" s="5" t="s">
        <v>196</v>
      </c>
      <c r="L902">
        <v>3</v>
      </c>
      <c r="M902">
        <v>103.78</v>
      </c>
      <c r="N902" s="8">
        <v>0</v>
      </c>
      <c r="O902" s="8">
        <v>311.33999999999997</v>
      </c>
      <c r="P902" s="8">
        <v>15.57</v>
      </c>
      <c r="Q902" s="10">
        <v>0</v>
      </c>
      <c r="R902" s="10">
        <v>10</v>
      </c>
      <c r="S902" s="8">
        <v>336.91</v>
      </c>
      <c r="T902">
        <v>23</v>
      </c>
      <c r="U902" t="str">
        <f t="shared" si="14"/>
        <v>Wednesday</v>
      </c>
    </row>
    <row r="903" spans="1:21" x14ac:dyDescent="0.3">
      <c r="A903" s="5" t="s">
        <v>2506</v>
      </c>
      <c r="B903" s="3" t="s">
        <v>3683</v>
      </c>
      <c r="C903" s="5" t="s">
        <v>41</v>
      </c>
      <c r="D903" s="5" t="s">
        <v>21</v>
      </c>
      <c r="E903" s="5" t="s">
        <v>22</v>
      </c>
      <c r="F903" s="5" t="s">
        <v>42</v>
      </c>
      <c r="G903" t="s">
        <v>2507</v>
      </c>
      <c r="H903" s="5" t="s">
        <v>3673</v>
      </c>
      <c r="I903" s="5" t="s">
        <v>549</v>
      </c>
      <c r="J903" s="5" t="s">
        <v>550</v>
      </c>
      <c r="K903" s="5" t="s">
        <v>103</v>
      </c>
      <c r="L903">
        <v>2</v>
      </c>
      <c r="M903">
        <v>121.08</v>
      </c>
      <c r="N903" s="8">
        <v>12.11</v>
      </c>
      <c r="O903" s="8">
        <v>230.05</v>
      </c>
      <c r="P903" s="8">
        <v>11.5</v>
      </c>
      <c r="Q903" s="10">
        <v>30</v>
      </c>
      <c r="R903" s="10">
        <v>15</v>
      </c>
      <c r="S903" s="8">
        <v>286.55</v>
      </c>
      <c r="T903">
        <v>29</v>
      </c>
      <c r="U903" t="str">
        <f t="shared" si="14"/>
        <v>Thursday</v>
      </c>
    </row>
    <row r="904" spans="1:21" x14ac:dyDescent="0.3">
      <c r="A904" s="5" t="s">
        <v>2508</v>
      </c>
      <c r="B904" s="3" t="s">
        <v>3705</v>
      </c>
      <c r="C904" s="5" t="s">
        <v>47</v>
      </c>
      <c r="D904" s="5" t="s">
        <v>21</v>
      </c>
      <c r="E904" s="5" t="s">
        <v>69</v>
      </c>
      <c r="F904" s="5" t="s">
        <v>23</v>
      </c>
      <c r="G904" t="s">
        <v>2509</v>
      </c>
      <c r="H904" s="5" t="s">
        <v>3677</v>
      </c>
      <c r="I904" s="5" t="s">
        <v>554</v>
      </c>
      <c r="J904" s="5" t="s">
        <v>555</v>
      </c>
      <c r="K904" s="5" t="s">
        <v>40</v>
      </c>
      <c r="L904">
        <v>2</v>
      </c>
      <c r="M904">
        <v>24.26</v>
      </c>
      <c r="N904" s="8">
        <v>2.4300000000000002</v>
      </c>
      <c r="O904" s="8">
        <v>46.09</v>
      </c>
      <c r="P904" s="8">
        <v>2.2999999999999998</v>
      </c>
      <c r="Q904" s="10">
        <v>30</v>
      </c>
      <c r="R904" s="10">
        <v>15</v>
      </c>
      <c r="S904" s="8">
        <v>93.39</v>
      </c>
      <c r="T904">
        <v>32</v>
      </c>
      <c r="U904" t="str">
        <f t="shared" si="14"/>
        <v>Tuesday</v>
      </c>
    </row>
    <row r="905" spans="1:21" x14ac:dyDescent="0.3">
      <c r="A905" s="5" t="s">
        <v>2510</v>
      </c>
      <c r="B905" s="3" t="s">
        <v>3689</v>
      </c>
      <c r="C905" s="5" t="s">
        <v>52</v>
      </c>
      <c r="D905" s="5" t="s">
        <v>21</v>
      </c>
      <c r="E905" s="5" t="s">
        <v>36</v>
      </c>
      <c r="F905" s="5" t="s">
        <v>23</v>
      </c>
      <c r="G905" t="s">
        <v>2511</v>
      </c>
      <c r="H905" s="5" t="s">
        <v>3673</v>
      </c>
      <c r="I905" s="5" t="s">
        <v>559</v>
      </c>
      <c r="J905" s="5" t="s">
        <v>560</v>
      </c>
      <c r="K905" s="5" t="s">
        <v>40</v>
      </c>
      <c r="L905">
        <v>4</v>
      </c>
      <c r="M905">
        <v>90.7</v>
      </c>
      <c r="N905" s="8">
        <v>13.61</v>
      </c>
      <c r="O905" s="8">
        <v>349.19</v>
      </c>
      <c r="P905" s="8">
        <v>17.46</v>
      </c>
      <c r="Q905" s="10">
        <v>10</v>
      </c>
      <c r="R905" s="10">
        <v>0</v>
      </c>
      <c r="S905" s="8">
        <v>376.65</v>
      </c>
      <c r="T905">
        <v>31</v>
      </c>
      <c r="U905" t="str">
        <f t="shared" si="14"/>
        <v>Wednesday</v>
      </c>
    </row>
    <row r="906" spans="1:21" x14ac:dyDescent="0.3">
      <c r="A906" s="5" t="s">
        <v>2512</v>
      </c>
      <c r="B906" s="3" t="s">
        <v>3719</v>
      </c>
      <c r="C906" s="5" t="s">
        <v>58</v>
      </c>
      <c r="D906" s="5" t="s">
        <v>21</v>
      </c>
      <c r="E906" s="5" t="s">
        <v>22</v>
      </c>
      <c r="F906" s="5" t="s">
        <v>42</v>
      </c>
      <c r="G906" t="s">
        <v>2513</v>
      </c>
      <c r="H906" s="5" t="s">
        <v>3673</v>
      </c>
      <c r="I906" s="5" t="s">
        <v>564</v>
      </c>
      <c r="J906" s="5" t="s">
        <v>565</v>
      </c>
      <c r="K906" s="5" t="s">
        <v>73</v>
      </c>
      <c r="L906">
        <v>2</v>
      </c>
      <c r="M906">
        <v>187.19</v>
      </c>
      <c r="N906" s="8">
        <v>18.72</v>
      </c>
      <c r="O906" s="8">
        <v>355.66</v>
      </c>
      <c r="P906" s="8">
        <v>17.78</v>
      </c>
      <c r="Q906" s="10">
        <v>30</v>
      </c>
      <c r="R906" s="10">
        <v>5</v>
      </c>
      <c r="S906" s="8">
        <v>408.43999999999988</v>
      </c>
      <c r="T906">
        <v>15</v>
      </c>
      <c r="U906" t="str">
        <f t="shared" si="14"/>
        <v>Sunday</v>
      </c>
    </row>
    <row r="907" spans="1:21" x14ac:dyDescent="0.3">
      <c r="A907" s="5" t="s">
        <v>2514</v>
      </c>
      <c r="B907" s="3" t="s">
        <v>3681</v>
      </c>
      <c r="C907" s="5" t="s">
        <v>63</v>
      </c>
      <c r="D907" s="5" t="s">
        <v>21</v>
      </c>
      <c r="E907" s="5" t="s">
        <v>69</v>
      </c>
      <c r="F907" s="5" t="s">
        <v>23</v>
      </c>
      <c r="G907" t="s">
        <v>2515</v>
      </c>
      <c r="H907" s="5" t="s">
        <v>100</v>
      </c>
      <c r="I907" s="5" t="s">
        <v>569</v>
      </c>
      <c r="J907" s="5" t="s">
        <v>570</v>
      </c>
      <c r="K907" s="5" t="s">
        <v>145</v>
      </c>
      <c r="L907">
        <v>3</v>
      </c>
      <c r="M907">
        <v>33.479999999999997</v>
      </c>
      <c r="N907" s="8">
        <v>1.67</v>
      </c>
      <c r="O907" s="8">
        <v>98.77</v>
      </c>
      <c r="P907" s="8">
        <v>4.9400000000000004</v>
      </c>
      <c r="Q907" s="10">
        <v>30</v>
      </c>
      <c r="R907" s="10">
        <v>10</v>
      </c>
      <c r="S907" s="8">
        <v>143.71</v>
      </c>
      <c r="T907">
        <v>6</v>
      </c>
      <c r="U907" t="str">
        <f t="shared" si="14"/>
        <v>Wednesday</v>
      </c>
    </row>
    <row r="908" spans="1:21" x14ac:dyDescent="0.3">
      <c r="A908" s="5" t="s">
        <v>2516</v>
      </c>
      <c r="B908" s="3" t="s">
        <v>3683</v>
      </c>
      <c r="C908" s="5" t="s">
        <v>68</v>
      </c>
      <c r="D908" s="5" t="s">
        <v>21</v>
      </c>
      <c r="E908" s="5" t="s">
        <v>76</v>
      </c>
      <c r="F908" s="5" t="s">
        <v>42</v>
      </c>
      <c r="H908" s="5" t="s">
        <v>3673</v>
      </c>
      <c r="I908" s="5" t="s">
        <v>574</v>
      </c>
      <c r="J908" s="5" t="s">
        <v>575</v>
      </c>
      <c r="K908" s="5" t="s">
        <v>196</v>
      </c>
      <c r="L908">
        <v>3</v>
      </c>
      <c r="M908">
        <v>225.04</v>
      </c>
      <c r="N908" s="8">
        <v>33.76</v>
      </c>
      <c r="O908" s="8">
        <v>641.36</v>
      </c>
      <c r="P908" s="8">
        <v>32.07</v>
      </c>
      <c r="Q908" s="10">
        <v>30</v>
      </c>
      <c r="R908" s="10">
        <v>0</v>
      </c>
      <c r="S908" s="8">
        <v>703.43000000000006</v>
      </c>
      <c r="T908">
        <v>20</v>
      </c>
      <c r="U908" t="str">
        <f t="shared" si="14"/>
        <v>Thursday</v>
      </c>
    </row>
    <row r="909" spans="1:21" x14ac:dyDescent="0.3">
      <c r="A909" s="5" t="s">
        <v>2517</v>
      </c>
      <c r="B909" s="3" t="s">
        <v>3697</v>
      </c>
      <c r="C909" s="5" t="s">
        <v>75</v>
      </c>
      <c r="D909" s="5" t="s">
        <v>21</v>
      </c>
      <c r="E909" s="5" t="s">
        <v>112</v>
      </c>
      <c r="F909" s="5" t="s">
        <v>37</v>
      </c>
      <c r="G909" t="s">
        <v>2518</v>
      </c>
      <c r="H909" s="5" t="s">
        <v>3673</v>
      </c>
      <c r="I909" s="5" t="s">
        <v>579</v>
      </c>
      <c r="J909" s="5" t="s">
        <v>580</v>
      </c>
      <c r="K909" s="5" t="s">
        <v>145</v>
      </c>
      <c r="L909">
        <v>4</v>
      </c>
      <c r="M909">
        <v>88.94</v>
      </c>
      <c r="N909" s="8">
        <v>0</v>
      </c>
      <c r="O909" s="8">
        <v>355.76</v>
      </c>
      <c r="P909" s="8">
        <v>17.79</v>
      </c>
      <c r="Q909" s="10">
        <v>10</v>
      </c>
      <c r="R909" s="10">
        <v>0</v>
      </c>
      <c r="S909" s="8">
        <v>383.55</v>
      </c>
      <c r="T909">
        <v>24</v>
      </c>
      <c r="U909" t="str">
        <f t="shared" si="14"/>
        <v>Saturday</v>
      </c>
    </row>
    <row r="910" spans="1:21" x14ac:dyDescent="0.3">
      <c r="A910" s="5" t="s">
        <v>2519</v>
      </c>
      <c r="B910" s="3" t="s">
        <v>3718</v>
      </c>
      <c r="C910" s="5" t="s">
        <v>81</v>
      </c>
      <c r="D910" s="5" t="s">
        <v>21</v>
      </c>
      <c r="E910" s="5" t="s">
        <v>36</v>
      </c>
      <c r="F910" s="5" t="s">
        <v>23</v>
      </c>
      <c r="H910" s="5" t="s">
        <v>3674</v>
      </c>
      <c r="I910" s="5" t="s">
        <v>584</v>
      </c>
      <c r="J910" s="5" t="s">
        <v>585</v>
      </c>
      <c r="K910" s="5" t="s">
        <v>73</v>
      </c>
      <c r="L910">
        <v>6</v>
      </c>
      <c r="M910">
        <v>230.63</v>
      </c>
      <c r="N910" s="8">
        <v>23.06</v>
      </c>
      <c r="O910" s="8">
        <v>1360.72</v>
      </c>
      <c r="P910" s="8">
        <v>68.040000000000006</v>
      </c>
      <c r="Q910" s="10">
        <v>0</v>
      </c>
      <c r="R910" s="10">
        <v>20</v>
      </c>
      <c r="S910" s="8">
        <v>1448.76</v>
      </c>
      <c r="T910">
        <v>37</v>
      </c>
      <c r="U910" t="str">
        <f t="shared" si="14"/>
        <v>Wednesday</v>
      </c>
    </row>
    <row r="911" spans="1:21" x14ac:dyDescent="0.3">
      <c r="A911" s="5" t="s">
        <v>2520</v>
      </c>
      <c r="B911" s="3" t="s">
        <v>3705</v>
      </c>
      <c r="C911" s="5" t="s">
        <v>88</v>
      </c>
      <c r="D911" s="5" t="s">
        <v>21</v>
      </c>
      <c r="E911" s="5" t="s">
        <v>112</v>
      </c>
      <c r="F911" s="5" t="s">
        <v>42</v>
      </c>
      <c r="G911" t="s">
        <v>2521</v>
      </c>
      <c r="H911" s="5" t="s">
        <v>3673</v>
      </c>
      <c r="I911" s="5" t="s">
        <v>589</v>
      </c>
      <c r="J911" s="5" t="s">
        <v>590</v>
      </c>
      <c r="K911" s="5" t="s">
        <v>73</v>
      </c>
      <c r="L911">
        <v>1</v>
      </c>
      <c r="M911">
        <v>102.71</v>
      </c>
      <c r="N911" s="8">
        <v>15.41</v>
      </c>
      <c r="O911" s="8">
        <v>87.3</v>
      </c>
      <c r="P911" s="8">
        <v>4.37</v>
      </c>
      <c r="Q911" s="10">
        <v>0</v>
      </c>
      <c r="R911" s="10">
        <v>10</v>
      </c>
      <c r="S911" s="8">
        <v>101.67</v>
      </c>
      <c r="T911">
        <v>29</v>
      </c>
      <c r="U911" t="str">
        <f t="shared" si="14"/>
        <v>Tuesday</v>
      </c>
    </row>
    <row r="912" spans="1:21" x14ac:dyDescent="0.3">
      <c r="A912" s="5" t="s">
        <v>2522</v>
      </c>
      <c r="B912" s="3" t="s">
        <v>3705</v>
      </c>
      <c r="C912" s="5" t="s">
        <v>93</v>
      </c>
      <c r="D912" s="5" t="s">
        <v>21</v>
      </c>
      <c r="E912" s="5" t="s">
        <v>69</v>
      </c>
      <c r="F912" s="5" t="s">
        <v>23</v>
      </c>
      <c r="G912" t="s">
        <v>2523</v>
      </c>
      <c r="H912" s="5" t="s">
        <v>25</v>
      </c>
      <c r="I912" s="5" t="s">
        <v>594</v>
      </c>
      <c r="J912" s="5" t="s">
        <v>595</v>
      </c>
      <c r="K912" s="5" t="s">
        <v>40</v>
      </c>
      <c r="L912">
        <v>3</v>
      </c>
      <c r="M912">
        <v>180.97</v>
      </c>
      <c r="N912" s="8">
        <v>9.0500000000000007</v>
      </c>
      <c r="O912" s="8">
        <v>533.86</v>
      </c>
      <c r="P912" s="8">
        <v>26.69</v>
      </c>
      <c r="Q912" s="10">
        <v>30</v>
      </c>
      <c r="R912" s="10">
        <v>10</v>
      </c>
      <c r="S912" s="8">
        <v>600.55000000000007</v>
      </c>
      <c r="T912">
        <v>36</v>
      </c>
      <c r="U912" t="str">
        <f t="shared" si="14"/>
        <v>Tuesday</v>
      </c>
    </row>
    <row r="913" spans="1:21" x14ac:dyDescent="0.3">
      <c r="A913" s="5" t="s">
        <v>2524</v>
      </c>
      <c r="B913" s="3" t="s">
        <v>3712</v>
      </c>
      <c r="C913" s="5" t="s">
        <v>98</v>
      </c>
      <c r="D913" s="5" t="s">
        <v>21</v>
      </c>
      <c r="E913" s="5" t="s">
        <v>76</v>
      </c>
      <c r="F913" s="5" t="s">
        <v>42</v>
      </c>
      <c r="H913" s="5" t="s">
        <v>3673</v>
      </c>
      <c r="I913" s="5" t="s">
        <v>599</v>
      </c>
      <c r="J913" s="5" t="s">
        <v>600</v>
      </c>
      <c r="K913" s="5" t="s">
        <v>56</v>
      </c>
      <c r="L913">
        <v>3</v>
      </c>
      <c r="M913">
        <v>50.93</v>
      </c>
      <c r="N913" s="8">
        <v>5.09</v>
      </c>
      <c r="O913" s="8">
        <v>147.69999999999999</v>
      </c>
      <c r="P913" s="8">
        <v>7.38</v>
      </c>
      <c r="Q913" s="10">
        <v>10</v>
      </c>
      <c r="R913" s="10">
        <v>5</v>
      </c>
      <c r="S913" s="8">
        <v>170.08</v>
      </c>
      <c r="T913">
        <v>3</v>
      </c>
      <c r="U913" t="str">
        <f t="shared" si="14"/>
        <v>Thursday</v>
      </c>
    </row>
    <row r="914" spans="1:21" x14ac:dyDescent="0.3">
      <c r="A914" s="5" t="s">
        <v>2525</v>
      </c>
      <c r="B914" s="3" t="s">
        <v>3731</v>
      </c>
      <c r="C914" s="5" t="s">
        <v>105</v>
      </c>
      <c r="D914" s="5" t="s">
        <v>21</v>
      </c>
      <c r="E914" s="5" t="s">
        <v>36</v>
      </c>
      <c r="F914" s="5" t="s">
        <v>23</v>
      </c>
      <c r="G914" t="s">
        <v>2526</v>
      </c>
      <c r="H914" s="5" t="s">
        <v>3673</v>
      </c>
      <c r="I914" s="5" t="s">
        <v>604</v>
      </c>
      <c r="J914" s="5" t="s">
        <v>605</v>
      </c>
      <c r="K914" s="5" t="s">
        <v>45</v>
      </c>
      <c r="L914">
        <v>1</v>
      </c>
      <c r="M914">
        <v>88.12</v>
      </c>
      <c r="N914" s="8">
        <v>13.22</v>
      </c>
      <c r="O914" s="8">
        <v>74.900000000000006</v>
      </c>
      <c r="P914" s="8">
        <v>3.75</v>
      </c>
      <c r="Q914" s="10">
        <v>10</v>
      </c>
      <c r="R914" s="10">
        <v>20</v>
      </c>
      <c r="S914" s="8">
        <v>108.65</v>
      </c>
      <c r="T914">
        <v>33</v>
      </c>
      <c r="U914" t="str">
        <f t="shared" si="14"/>
        <v>Monday</v>
      </c>
    </row>
    <row r="915" spans="1:21" x14ac:dyDescent="0.3">
      <c r="A915" s="5" t="s">
        <v>2527</v>
      </c>
      <c r="B915" s="3" t="s">
        <v>3689</v>
      </c>
      <c r="C915" s="5" t="s">
        <v>111</v>
      </c>
      <c r="D915" s="5" t="s">
        <v>21</v>
      </c>
      <c r="E915" s="5" t="s">
        <v>36</v>
      </c>
      <c r="F915" s="5" t="s">
        <v>37</v>
      </c>
      <c r="G915" t="s">
        <v>2528</v>
      </c>
      <c r="H915" s="5" t="s">
        <v>3676</v>
      </c>
      <c r="I915" s="5" t="s">
        <v>609</v>
      </c>
      <c r="J915" s="5" t="s">
        <v>610</v>
      </c>
      <c r="K915" s="5" t="s">
        <v>28</v>
      </c>
      <c r="L915">
        <v>2</v>
      </c>
      <c r="M915">
        <v>56.18</v>
      </c>
      <c r="N915" s="8">
        <v>8.43</v>
      </c>
      <c r="O915" s="8">
        <v>103.93</v>
      </c>
      <c r="P915" s="8">
        <v>5.2</v>
      </c>
      <c r="Q915" s="10">
        <v>10</v>
      </c>
      <c r="R915" s="10">
        <v>10</v>
      </c>
      <c r="S915" s="8">
        <v>129.13</v>
      </c>
      <c r="T915">
        <v>18</v>
      </c>
      <c r="U915" t="str">
        <f t="shared" si="14"/>
        <v>Wednesday</v>
      </c>
    </row>
    <row r="916" spans="1:21" x14ac:dyDescent="0.3">
      <c r="A916" s="5" t="s">
        <v>2529</v>
      </c>
      <c r="B916" s="3" t="s">
        <v>3702</v>
      </c>
      <c r="C916" s="5" t="s">
        <v>117</v>
      </c>
      <c r="D916" s="5" t="s">
        <v>21</v>
      </c>
      <c r="E916" s="5" t="s">
        <v>76</v>
      </c>
      <c r="F916" s="5" t="s">
        <v>37</v>
      </c>
      <c r="G916" t="s">
        <v>2530</v>
      </c>
      <c r="H916" s="5" t="s">
        <v>3673</v>
      </c>
      <c r="I916" s="5" t="s">
        <v>614</v>
      </c>
      <c r="J916" s="5" t="s">
        <v>615</v>
      </c>
      <c r="K916" s="5" t="s">
        <v>28</v>
      </c>
      <c r="L916">
        <v>3</v>
      </c>
      <c r="M916">
        <v>95.06</v>
      </c>
      <c r="N916" s="8">
        <v>0</v>
      </c>
      <c r="O916" s="8">
        <v>285.18</v>
      </c>
      <c r="P916" s="8">
        <v>14.26</v>
      </c>
      <c r="Q916" s="10">
        <v>0</v>
      </c>
      <c r="R916" s="10">
        <v>20</v>
      </c>
      <c r="S916" s="8">
        <v>319.44</v>
      </c>
      <c r="T916">
        <v>24.67</v>
      </c>
      <c r="U916" t="str">
        <f t="shared" si="14"/>
        <v>Monday</v>
      </c>
    </row>
    <row r="917" spans="1:21" x14ac:dyDescent="0.3">
      <c r="A917" s="5" t="s">
        <v>2531</v>
      </c>
      <c r="B917" s="3" t="s">
        <v>3724</v>
      </c>
      <c r="C917" s="5" t="s">
        <v>122</v>
      </c>
      <c r="D917" s="5" t="s">
        <v>82</v>
      </c>
      <c r="E917" s="5" t="s">
        <v>83</v>
      </c>
      <c r="F917" s="5" t="s">
        <v>23</v>
      </c>
      <c r="G917" t="s">
        <v>2532</v>
      </c>
      <c r="H917" s="5" t="s">
        <v>100</v>
      </c>
      <c r="I917" s="5" t="s">
        <v>619</v>
      </c>
      <c r="J917" s="5" t="s">
        <v>620</v>
      </c>
      <c r="K917" s="5" t="s">
        <v>145</v>
      </c>
      <c r="L917">
        <v>3</v>
      </c>
      <c r="M917">
        <v>220.26</v>
      </c>
      <c r="N917" s="8">
        <v>11.01</v>
      </c>
      <c r="O917" s="8">
        <v>649.77</v>
      </c>
      <c r="P917" s="8">
        <v>32.49</v>
      </c>
      <c r="Q917" s="10">
        <v>30</v>
      </c>
      <c r="R917" s="10">
        <v>10</v>
      </c>
      <c r="S917" s="8">
        <v>722.26</v>
      </c>
      <c r="T917">
        <v>17</v>
      </c>
      <c r="U917" t="str">
        <f t="shared" si="14"/>
        <v>Sunday</v>
      </c>
    </row>
    <row r="918" spans="1:21" x14ac:dyDescent="0.3">
      <c r="A918" s="5" t="s">
        <v>2533</v>
      </c>
      <c r="B918" s="3" t="s">
        <v>3722</v>
      </c>
      <c r="C918" s="5" t="s">
        <v>127</v>
      </c>
      <c r="D918" s="5" t="s">
        <v>21</v>
      </c>
      <c r="E918" s="5" t="s">
        <v>112</v>
      </c>
      <c r="F918" s="5" t="s">
        <v>23</v>
      </c>
      <c r="G918" t="s">
        <v>2534</v>
      </c>
      <c r="H918" s="5" t="s">
        <v>3676</v>
      </c>
      <c r="I918" s="5" t="s">
        <v>624</v>
      </c>
      <c r="J918" s="5" t="s">
        <v>625</v>
      </c>
      <c r="K918" s="5" t="s">
        <v>145</v>
      </c>
      <c r="L918">
        <v>3</v>
      </c>
      <c r="M918">
        <v>184</v>
      </c>
      <c r="N918" s="8">
        <v>0</v>
      </c>
      <c r="O918" s="8">
        <v>552</v>
      </c>
      <c r="P918" s="8">
        <v>27.6</v>
      </c>
      <c r="Q918" s="10">
        <v>20</v>
      </c>
      <c r="R918" s="10">
        <v>5</v>
      </c>
      <c r="S918" s="8">
        <v>604.6</v>
      </c>
      <c r="T918">
        <v>21</v>
      </c>
      <c r="U918" t="str">
        <f t="shared" si="14"/>
        <v>Friday</v>
      </c>
    </row>
    <row r="919" spans="1:21" x14ac:dyDescent="0.3">
      <c r="A919" s="5" t="s">
        <v>2535</v>
      </c>
      <c r="B919" s="3" t="s">
        <v>3714</v>
      </c>
      <c r="C919" s="5" t="s">
        <v>132</v>
      </c>
      <c r="D919" s="5" t="s">
        <v>21</v>
      </c>
      <c r="E919" s="5" t="s">
        <v>112</v>
      </c>
      <c r="F919" s="5" t="s">
        <v>23</v>
      </c>
      <c r="G919" t="s">
        <v>2536</v>
      </c>
      <c r="H919" s="5" t="s">
        <v>3674</v>
      </c>
      <c r="I919" s="5" t="s">
        <v>629</v>
      </c>
      <c r="J919" s="5" t="s">
        <v>630</v>
      </c>
      <c r="K919" s="5" t="s">
        <v>34</v>
      </c>
      <c r="L919">
        <v>2</v>
      </c>
      <c r="M919">
        <v>144.69</v>
      </c>
      <c r="N919" s="8">
        <v>14.47</v>
      </c>
      <c r="O919" s="8">
        <v>274.91000000000003</v>
      </c>
      <c r="P919" s="8">
        <v>13.75</v>
      </c>
      <c r="Q919" s="10">
        <v>10</v>
      </c>
      <c r="R919" s="10">
        <v>0</v>
      </c>
      <c r="S919" s="8">
        <v>298.66000000000003</v>
      </c>
      <c r="T919">
        <v>24.67</v>
      </c>
      <c r="U919" t="str">
        <f t="shared" si="14"/>
        <v>Thursday</v>
      </c>
    </row>
    <row r="920" spans="1:21" x14ac:dyDescent="0.3">
      <c r="A920" s="5" t="s">
        <v>2537</v>
      </c>
      <c r="B920" s="3" t="s">
        <v>3698</v>
      </c>
      <c r="C920" s="5" t="s">
        <v>136</v>
      </c>
      <c r="D920" s="5" t="s">
        <v>82</v>
      </c>
      <c r="E920" s="5" t="s">
        <v>83</v>
      </c>
      <c r="F920" s="5" t="s">
        <v>23</v>
      </c>
      <c r="G920" t="s">
        <v>2538</v>
      </c>
      <c r="H920" s="5" t="s">
        <v>25</v>
      </c>
      <c r="I920" s="5" t="s">
        <v>634</v>
      </c>
      <c r="J920" s="5" t="s">
        <v>635</v>
      </c>
      <c r="K920" s="5" t="s">
        <v>45</v>
      </c>
      <c r="L920">
        <v>4</v>
      </c>
      <c r="M920">
        <v>68.319999999999993</v>
      </c>
      <c r="N920" s="8">
        <v>10.25</v>
      </c>
      <c r="O920" s="8">
        <v>263.02999999999997</v>
      </c>
      <c r="P920" s="8">
        <v>13.15</v>
      </c>
      <c r="Q920" s="10">
        <v>30</v>
      </c>
      <c r="R920" s="10">
        <v>15</v>
      </c>
      <c r="S920" s="8">
        <v>321.17999999999989</v>
      </c>
      <c r="T920">
        <v>21</v>
      </c>
      <c r="U920" t="str">
        <f t="shared" si="14"/>
        <v>Sunday</v>
      </c>
    </row>
    <row r="921" spans="1:21" x14ac:dyDescent="0.3">
      <c r="A921" s="5" t="s">
        <v>2539</v>
      </c>
      <c r="B921" s="3" t="s">
        <v>3688</v>
      </c>
      <c r="C921" s="5" t="s">
        <v>141</v>
      </c>
      <c r="D921" s="5" t="s">
        <v>21</v>
      </c>
      <c r="E921" s="5" t="s">
        <v>69</v>
      </c>
      <c r="F921" s="5" t="s">
        <v>23</v>
      </c>
      <c r="G921" t="s">
        <v>2540</v>
      </c>
      <c r="H921" s="5" t="s">
        <v>3673</v>
      </c>
      <c r="I921" s="5" t="s">
        <v>639</v>
      </c>
      <c r="J921" s="5" t="s">
        <v>640</v>
      </c>
      <c r="K921" s="5" t="s">
        <v>28</v>
      </c>
      <c r="L921">
        <v>1</v>
      </c>
      <c r="M921">
        <v>242.97</v>
      </c>
      <c r="N921" s="8">
        <v>0</v>
      </c>
      <c r="O921" s="8">
        <v>242.97</v>
      </c>
      <c r="P921" s="8">
        <v>12.15</v>
      </c>
      <c r="Q921" s="10">
        <v>30</v>
      </c>
      <c r="R921" s="10">
        <v>20</v>
      </c>
      <c r="S921" s="8">
        <v>305.12</v>
      </c>
      <c r="T921">
        <v>22</v>
      </c>
      <c r="U921" t="str">
        <f t="shared" si="14"/>
        <v>Saturday</v>
      </c>
    </row>
    <row r="922" spans="1:21" x14ac:dyDescent="0.3">
      <c r="A922" s="5" t="s">
        <v>2541</v>
      </c>
      <c r="B922" s="3" t="s">
        <v>3720</v>
      </c>
      <c r="C922" s="5" t="s">
        <v>147</v>
      </c>
      <c r="D922" s="5" t="s">
        <v>21</v>
      </c>
      <c r="E922" s="5" t="s">
        <v>112</v>
      </c>
      <c r="F922" s="5" t="s">
        <v>23</v>
      </c>
      <c r="G922" t="s">
        <v>2542</v>
      </c>
      <c r="H922" s="5" t="s">
        <v>3673</v>
      </c>
      <c r="I922" s="5" t="s">
        <v>644</v>
      </c>
      <c r="J922" s="5" t="s">
        <v>645</v>
      </c>
      <c r="K922" s="5" t="s">
        <v>56</v>
      </c>
      <c r="L922">
        <v>1</v>
      </c>
      <c r="M922">
        <v>85.44</v>
      </c>
      <c r="N922" s="8">
        <v>4.2699999999999996</v>
      </c>
      <c r="O922" s="8">
        <v>81.17</v>
      </c>
      <c r="P922" s="8">
        <v>4.0599999999999996</v>
      </c>
      <c r="Q922" s="10">
        <v>0</v>
      </c>
      <c r="R922" s="10">
        <v>10</v>
      </c>
      <c r="S922" s="8">
        <v>95.23</v>
      </c>
      <c r="T922">
        <v>12</v>
      </c>
      <c r="U922" t="str">
        <f t="shared" si="14"/>
        <v>Monday</v>
      </c>
    </row>
    <row r="923" spans="1:21" x14ac:dyDescent="0.3">
      <c r="A923" s="5" t="s">
        <v>2543</v>
      </c>
      <c r="B923" s="3" t="s">
        <v>3734</v>
      </c>
      <c r="C923" s="5" t="s">
        <v>152</v>
      </c>
      <c r="D923" s="5" t="s">
        <v>21</v>
      </c>
      <c r="E923" s="5" t="s">
        <v>69</v>
      </c>
      <c r="F923" s="5" t="s">
        <v>23</v>
      </c>
      <c r="G923" t="s">
        <v>2544</v>
      </c>
      <c r="H923" s="5" t="s">
        <v>3673</v>
      </c>
      <c r="I923" s="5" t="s">
        <v>649</v>
      </c>
      <c r="J923" s="5" t="s">
        <v>650</v>
      </c>
      <c r="K923" s="5" t="s">
        <v>56</v>
      </c>
      <c r="L923">
        <v>1</v>
      </c>
      <c r="M923">
        <v>22.73</v>
      </c>
      <c r="N923" s="8">
        <v>1.1399999999999999</v>
      </c>
      <c r="O923" s="8">
        <v>21.59</v>
      </c>
      <c r="P923" s="8">
        <v>1.08</v>
      </c>
      <c r="Q923" s="10">
        <v>30</v>
      </c>
      <c r="R923" s="10">
        <v>5</v>
      </c>
      <c r="S923" s="8">
        <v>57.67</v>
      </c>
      <c r="T923">
        <v>21</v>
      </c>
      <c r="U923" t="str">
        <f t="shared" si="14"/>
        <v>Monday</v>
      </c>
    </row>
    <row r="924" spans="1:21" x14ac:dyDescent="0.3">
      <c r="A924" s="5" t="s">
        <v>2545</v>
      </c>
      <c r="B924" s="3" t="s">
        <v>3705</v>
      </c>
      <c r="C924" s="5" t="s">
        <v>157</v>
      </c>
      <c r="D924" s="5" t="s">
        <v>21</v>
      </c>
      <c r="E924" s="5" t="s">
        <v>69</v>
      </c>
      <c r="F924" s="5" t="s">
        <v>3671</v>
      </c>
      <c r="G924" t="s">
        <v>2546</v>
      </c>
      <c r="H924" s="5" t="s">
        <v>3673</v>
      </c>
      <c r="I924" s="5" t="s">
        <v>654</v>
      </c>
      <c r="J924" s="5" t="s">
        <v>655</v>
      </c>
      <c r="K924" s="5" t="s">
        <v>28</v>
      </c>
      <c r="L924">
        <v>2</v>
      </c>
      <c r="M924">
        <v>101.66</v>
      </c>
      <c r="N924" s="8">
        <v>0</v>
      </c>
      <c r="O924" s="8">
        <v>203.32</v>
      </c>
      <c r="P924" s="8">
        <v>10.17</v>
      </c>
      <c r="Q924" s="10">
        <v>30</v>
      </c>
      <c r="R924" s="10">
        <v>15</v>
      </c>
      <c r="S924" s="8">
        <v>258.49</v>
      </c>
      <c r="T924">
        <v>28</v>
      </c>
      <c r="U924" t="str">
        <f t="shared" si="14"/>
        <v>Tuesday</v>
      </c>
    </row>
    <row r="925" spans="1:21" x14ac:dyDescent="0.3">
      <c r="A925" s="5" t="s">
        <v>2547</v>
      </c>
      <c r="B925" s="3" t="s">
        <v>3729</v>
      </c>
      <c r="C925" s="5" t="s">
        <v>162</v>
      </c>
      <c r="D925" s="5" t="s">
        <v>21</v>
      </c>
      <c r="E925" s="5" t="s">
        <v>36</v>
      </c>
      <c r="F925" s="5" t="s">
        <v>37</v>
      </c>
      <c r="G925" t="s">
        <v>2548</v>
      </c>
      <c r="H925" s="5" t="s">
        <v>3675</v>
      </c>
      <c r="I925" s="5" t="s">
        <v>659</v>
      </c>
      <c r="J925" s="5" t="s">
        <v>660</v>
      </c>
      <c r="K925" s="5" t="s">
        <v>45</v>
      </c>
      <c r="L925">
        <v>3</v>
      </c>
      <c r="M925">
        <v>116.47</v>
      </c>
      <c r="N925" s="8">
        <v>17.47</v>
      </c>
      <c r="O925" s="8">
        <v>331.93999999999988</v>
      </c>
      <c r="P925" s="8">
        <v>16.600000000000001</v>
      </c>
      <c r="Q925" s="10">
        <v>30</v>
      </c>
      <c r="R925" s="10">
        <v>10</v>
      </c>
      <c r="S925" s="8">
        <v>388.54</v>
      </c>
      <c r="T925">
        <v>19</v>
      </c>
      <c r="U925" t="str">
        <f t="shared" si="14"/>
        <v>Monday</v>
      </c>
    </row>
    <row r="926" spans="1:21" x14ac:dyDescent="0.3">
      <c r="A926" s="5" t="s">
        <v>2549</v>
      </c>
      <c r="B926" s="3" t="s">
        <v>3725</v>
      </c>
      <c r="C926" s="5" t="s">
        <v>167</v>
      </c>
      <c r="D926" s="5" t="s">
        <v>21</v>
      </c>
      <c r="E926" s="5" t="s">
        <v>69</v>
      </c>
      <c r="F926" s="5" t="s">
        <v>23</v>
      </c>
      <c r="G926" t="s">
        <v>2550</v>
      </c>
      <c r="H926" s="5" t="s">
        <v>3673</v>
      </c>
      <c r="I926" s="5" t="s">
        <v>664</v>
      </c>
      <c r="J926" s="5" t="s">
        <v>665</v>
      </c>
      <c r="K926" s="5" t="s">
        <v>73</v>
      </c>
      <c r="L926">
        <v>4</v>
      </c>
      <c r="M926">
        <v>124.79</v>
      </c>
      <c r="N926" s="8">
        <v>12.48</v>
      </c>
      <c r="O926" s="8">
        <v>486.68</v>
      </c>
      <c r="P926" s="8">
        <v>24.33</v>
      </c>
      <c r="Q926" s="10">
        <v>20</v>
      </c>
      <c r="R926" s="10">
        <v>15</v>
      </c>
      <c r="S926" s="8">
        <v>546.01</v>
      </c>
      <c r="T926">
        <v>24.67</v>
      </c>
      <c r="U926" t="str">
        <f t="shared" si="14"/>
        <v>Wednesday</v>
      </c>
    </row>
    <row r="927" spans="1:21" x14ac:dyDescent="0.3">
      <c r="A927" s="5" t="s">
        <v>2551</v>
      </c>
      <c r="B927" s="3" t="s">
        <v>3734</v>
      </c>
      <c r="C927" s="5" t="s">
        <v>172</v>
      </c>
      <c r="D927" s="5" t="s">
        <v>21</v>
      </c>
      <c r="E927" s="5" t="s">
        <v>36</v>
      </c>
      <c r="F927" s="5" t="s">
        <v>42</v>
      </c>
      <c r="G927" t="s">
        <v>2552</v>
      </c>
      <c r="H927" s="5" t="s">
        <v>3674</v>
      </c>
      <c r="I927" s="5" t="s">
        <v>669</v>
      </c>
      <c r="J927" s="5" t="s">
        <v>670</v>
      </c>
      <c r="K927" s="5" t="s">
        <v>45</v>
      </c>
      <c r="L927">
        <v>2</v>
      </c>
      <c r="M927">
        <v>129.71</v>
      </c>
      <c r="N927" s="8">
        <v>0</v>
      </c>
      <c r="O927" s="8">
        <v>259.42</v>
      </c>
      <c r="P927" s="8">
        <v>12.97</v>
      </c>
      <c r="Q927" s="10">
        <v>20</v>
      </c>
      <c r="R927" s="10">
        <v>20</v>
      </c>
      <c r="S927" s="8">
        <v>312.39</v>
      </c>
      <c r="T927">
        <v>22</v>
      </c>
      <c r="U927" t="str">
        <f t="shared" si="14"/>
        <v>Monday</v>
      </c>
    </row>
    <row r="928" spans="1:21" x14ac:dyDescent="0.3">
      <c r="A928" s="5" t="s">
        <v>2553</v>
      </c>
      <c r="B928" s="3" t="s">
        <v>3737</v>
      </c>
      <c r="C928" s="5" t="s">
        <v>177</v>
      </c>
      <c r="D928" s="5" t="s">
        <v>21</v>
      </c>
      <c r="E928" s="5" t="s">
        <v>36</v>
      </c>
      <c r="F928" s="5" t="s">
        <v>23</v>
      </c>
      <c r="G928" t="s">
        <v>2554</v>
      </c>
      <c r="H928" s="5" t="s">
        <v>3674</v>
      </c>
      <c r="I928" s="5" t="s">
        <v>674</v>
      </c>
      <c r="J928" s="5" t="s">
        <v>675</v>
      </c>
      <c r="K928" s="5" t="s">
        <v>56</v>
      </c>
      <c r="L928">
        <v>1</v>
      </c>
      <c r="M928">
        <v>54.08</v>
      </c>
      <c r="N928" s="8">
        <v>5.41</v>
      </c>
      <c r="O928" s="8">
        <v>48.67</v>
      </c>
      <c r="P928" s="8">
        <v>2.4300000000000002</v>
      </c>
      <c r="Q928" s="10">
        <v>0</v>
      </c>
      <c r="R928" s="10">
        <v>0</v>
      </c>
      <c r="S928" s="8">
        <v>51.1</v>
      </c>
      <c r="T928">
        <v>39</v>
      </c>
      <c r="U928" t="str">
        <f t="shared" si="14"/>
        <v>Saturday</v>
      </c>
    </row>
    <row r="929" spans="1:21" x14ac:dyDescent="0.3">
      <c r="A929" s="5" t="s">
        <v>2555</v>
      </c>
      <c r="B929" s="3" t="s">
        <v>3721</v>
      </c>
      <c r="C929" s="5" t="s">
        <v>182</v>
      </c>
      <c r="D929" s="5" t="s">
        <v>82</v>
      </c>
      <c r="E929" s="5" t="s">
        <v>83</v>
      </c>
      <c r="F929" s="5" t="s">
        <v>42</v>
      </c>
      <c r="G929" t="s">
        <v>2556</v>
      </c>
      <c r="H929" s="5" t="s">
        <v>3673</v>
      </c>
      <c r="I929" s="5" t="s">
        <v>679</v>
      </c>
      <c r="J929" s="5" t="s">
        <v>680</v>
      </c>
      <c r="K929" s="5" t="s">
        <v>34</v>
      </c>
      <c r="L929">
        <v>1</v>
      </c>
      <c r="M929">
        <v>46.88</v>
      </c>
      <c r="N929" s="8">
        <v>4.6900000000000004</v>
      </c>
      <c r="O929" s="8">
        <v>42.19</v>
      </c>
      <c r="P929" s="8">
        <v>2.11</v>
      </c>
      <c r="Q929" s="10">
        <v>30</v>
      </c>
      <c r="R929" s="10">
        <v>10</v>
      </c>
      <c r="S929" s="8">
        <v>84.300000000000011</v>
      </c>
      <c r="T929">
        <v>31</v>
      </c>
      <c r="U929" t="str">
        <f t="shared" si="14"/>
        <v>Tuesday</v>
      </c>
    </row>
    <row r="930" spans="1:21" x14ac:dyDescent="0.3">
      <c r="A930" s="5" t="s">
        <v>2557</v>
      </c>
      <c r="B930" s="3" t="s">
        <v>3723</v>
      </c>
      <c r="C930" s="5" t="s">
        <v>187</v>
      </c>
      <c r="D930" s="5" t="s">
        <v>21</v>
      </c>
      <c r="E930" s="5" t="s">
        <v>69</v>
      </c>
      <c r="F930" s="5" t="s">
        <v>37</v>
      </c>
      <c r="G930" t="s">
        <v>2558</v>
      </c>
      <c r="H930" s="5" t="s">
        <v>25</v>
      </c>
      <c r="I930" s="5" t="s">
        <v>684</v>
      </c>
      <c r="J930" s="5" t="s">
        <v>685</v>
      </c>
      <c r="K930" s="5" t="s">
        <v>45</v>
      </c>
      <c r="L930">
        <v>3</v>
      </c>
      <c r="M930">
        <v>155.72999999999999</v>
      </c>
      <c r="N930" s="8">
        <v>15.57</v>
      </c>
      <c r="O930" s="8">
        <v>451.61999999999989</v>
      </c>
      <c r="P930" s="8">
        <v>22.58</v>
      </c>
      <c r="Q930" s="10">
        <v>30</v>
      </c>
      <c r="R930" s="10">
        <v>10</v>
      </c>
      <c r="S930" s="8">
        <v>514.19999999999993</v>
      </c>
      <c r="T930">
        <v>19</v>
      </c>
      <c r="U930" t="str">
        <f t="shared" si="14"/>
        <v>Monday</v>
      </c>
    </row>
    <row r="931" spans="1:21" x14ac:dyDescent="0.3">
      <c r="A931" s="5" t="s">
        <v>2559</v>
      </c>
      <c r="B931" s="3" t="s">
        <v>3715</v>
      </c>
      <c r="C931" s="5" t="s">
        <v>192</v>
      </c>
      <c r="D931" s="5" t="s">
        <v>21</v>
      </c>
      <c r="E931" s="5" t="s">
        <v>112</v>
      </c>
      <c r="F931" s="5" t="s">
        <v>42</v>
      </c>
      <c r="G931" t="s">
        <v>2560</v>
      </c>
      <c r="H931" s="5" t="s">
        <v>25</v>
      </c>
      <c r="I931" s="5" t="s">
        <v>689</v>
      </c>
      <c r="J931" s="5" t="s">
        <v>690</v>
      </c>
      <c r="K931" s="5" t="s">
        <v>56</v>
      </c>
      <c r="L931">
        <v>2</v>
      </c>
      <c r="M931">
        <v>82.51</v>
      </c>
      <c r="N931" s="8">
        <v>4.13</v>
      </c>
      <c r="O931" s="8">
        <v>160.88999999999999</v>
      </c>
      <c r="P931" s="8">
        <v>8.0399999999999991</v>
      </c>
      <c r="Q931" s="10">
        <v>10</v>
      </c>
      <c r="R931" s="10">
        <v>0</v>
      </c>
      <c r="S931" s="8">
        <v>178.93</v>
      </c>
      <c r="T931">
        <v>14</v>
      </c>
      <c r="U931" t="str">
        <f t="shared" si="14"/>
        <v>Saturday</v>
      </c>
    </row>
    <row r="932" spans="1:21" x14ac:dyDescent="0.3">
      <c r="A932" s="5" t="s">
        <v>2561</v>
      </c>
      <c r="B932" s="3" t="s">
        <v>3709</v>
      </c>
      <c r="C932" s="5" t="s">
        <v>198</v>
      </c>
      <c r="D932" s="5" t="s">
        <v>21</v>
      </c>
      <c r="E932" s="5" t="s">
        <v>112</v>
      </c>
      <c r="F932" s="5" t="s">
        <v>37</v>
      </c>
      <c r="H932" s="5" t="s">
        <v>3676</v>
      </c>
      <c r="I932" s="5" t="s">
        <v>694</v>
      </c>
      <c r="J932" s="5" t="s">
        <v>695</v>
      </c>
      <c r="K932" s="5" t="s">
        <v>73</v>
      </c>
      <c r="L932">
        <v>1</v>
      </c>
      <c r="M932">
        <v>102.35</v>
      </c>
      <c r="N932" s="8">
        <v>15.35</v>
      </c>
      <c r="O932" s="8">
        <v>87</v>
      </c>
      <c r="P932" s="8">
        <v>4.3499999999999996</v>
      </c>
      <c r="Q932" s="10">
        <v>20</v>
      </c>
      <c r="R932" s="10">
        <v>0</v>
      </c>
      <c r="S932" s="8">
        <v>111.35</v>
      </c>
      <c r="T932">
        <v>38</v>
      </c>
      <c r="U932" t="str">
        <f t="shared" si="14"/>
        <v>Thursday</v>
      </c>
    </row>
    <row r="933" spans="1:21" x14ac:dyDescent="0.3">
      <c r="A933" s="5" t="s">
        <v>2562</v>
      </c>
      <c r="B933" s="3" t="s">
        <v>3733</v>
      </c>
      <c r="C933" s="5" t="s">
        <v>203</v>
      </c>
      <c r="D933" s="5" t="s">
        <v>82</v>
      </c>
      <c r="E933" s="5" t="s">
        <v>83</v>
      </c>
      <c r="F933" s="5" t="s">
        <v>42</v>
      </c>
      <c r="G933" t="s">
        <v>2563</v>
      </c>
      <c r="H933" s="5" t="s">
        <v>25</v>
      </c>
      <c r="I933" s="5" t="s">
        <v>699</v>
      </c>
      <c r="J933" s="5" t="s">
        <v>700</v>
      </c>
      <c r="K933" s="5" t="s">
        <v>73</v>
      </c>
      <c r="L933">
        <v>3</v>
      </c>
      <c r="M933">
        <v>159.79</v>
      </c>
      <c r="N933" s="8">
        <v>15.98</v>
      </c>
      <c r="O933" s="8">
        <v>463.39</v>
      </c>
      <c r="P933" s="8">
        <v>23.17</v>
      </c>
      <c r="Q933" s="10">
        <v>20</v>
      </c>
      <c r="R933" s="10">
        <v>0</v>
      </c>
      <c r="S933" s="8">
        <v>506.56</v>
      </c>
      <c r="T933">
        <v>24.67</v>
      </c>
      <c r="U933" t="str">
        <f t="shared" si="14"/>
        <v>Sunday</v>
      </c>
    </row>
    <row r="934" spans="1:21" x14ac:dyDescent="0.3">
      <c r="A934" s="5" t="s">
        <v>2564</v>
      </c>
      <c r="B934" s="3" t="s">
        <v>3708</v>
      </c>
      <c r="C934" s="5" t="s">
        <v>208</v>
      </c>
      <c r="D934" s="5" t="s">
        <v>21</v>
      </c>
      <c r="E934" s="5" t="s">
        <v>112</v>
      </c>
      <c r="F934" s="5" t="s">
        <v>23</v>
      </c>
      <c r="G934" t="s">
        <v>2565</v>
      </c>
      <c r="H934" s="5" t="s">
        <v>3673</v>
      </c>
      <c r="I934" s="5" t="s">
        <v>704</v>
      </c>
      <c r="J934" s="5" t="s">
        <v>705</v>
      </c>
      <c r="K934" s="5" t="s">
        <v>73</v>
      </c>
      <c r="L934">
        <v>1</v>
      </c>
      <c r="M934">
        <v>172.43</v>
      </c>
      <c r="N934" s="8">
        <v>25.86</v>
      </c>
      <c r="O934" s="8">
        <v>146.57</v>
      </c>
      <c r="P934" s="8">
        <v>7.33</v>
      </c>
      <c r="Q934" s="10">
        <v>0</v>
      </c>
      <c r="R934" s="10">
        <v>10</v>
      </c>
      <c r="S934" s="8">
        <v>163.9</v>
      </c>
      <c r="T934">
        <v>24.67</v>
      </c>
      <c r="U934" t="str">
        <f t="shared" si="14"/>
        <v>Sunday</v>
      </c>
    </row>
    <row r="935" spans="1:21" x14ac:dyDescent="0.3">
      <c r="A935" s="5" t="s">
        <v>2566</v>
      </c>
      <c r="B935" s="3" t="s">
        <v>3700</v>
      </c>
      <c r="C935" s="5" t="s">
        <v>213</v>
      </c>
      <c r="D935" s="5" t="s">
        <v>21</v>
      </c>
      <c r="E935" s="5" t="s">
        <v>22</v>
      </c>
      <c r="F935" s="5" t="s">
        <v>42</v>
      </c>
      <c r="G935" t="s">
        <v>2567</v>
      </c>
      <c r="H935" s="5" t="s">
        <v>25</v>
      </c>
      <c r="I935" s="5" t="s">
        <v>709</v>
      </c>
      <c r="J935" s="5" t="s">
        <v>710</v>
      </c>
      <c r="K935" s="5" t="s">
        <v>40</v>
      </c>
      <c r="L935">
        <v>2</v>
      </c>
      <c r="M935">
        <v>87.46</v>
      </c>
      <c r="N935" s="8">
        <v>4.37</v>
      </c>
      <c r="O935" s="8">
        <v>170.55</v>
      </c>
      <c r="P935" s="8">
        <v>8.5299999999999994</v>
      </c>
      <c r="Q935" s="10">
        <v>30</v>
      </c>
      <c r="R935" s="10">
        <v>10</v>
      </c>
      <c r="S935" s="8">
        <v>219.08</v>
      </c>
      <c r="T935">
        <v>22</v>
      </c>
      <c r="U935" t="str">
        <f t="shared" si="14"/>
        <v>Saturday</v>
      </c>
    </row>
    <row r="936" spans="1:21" x14ac:dyDescent="0.3">
      <c r="A936" s="5" t="s">
        <v>2568</v>
      </c>
      <c r="B936" s="3" t="s">
        <v>3693</v>
      </c>
      <c r="C936" s="5" t="s">
        <v>218</v>
      </c>
      <c r="D936" s="5" t="s">
        <v>21</v>
      </c>
      <c r="E936" s="5" t="s">
        <v>76</v>
      </c>
      <c r="F936" s="5" t="s">
        <v>23</v>
      </c>
      <c r="G936" t="s">
        <v>2569</v>
      </c>
      <c r="H936" s="5" t="s">
        <v>25</v>
      </c>
      <c r="I936" s="5" t="s">
        <v>714</v>
      </c>
      <c r="J936" s="5" t="s">
        <v>715</v>
      </c>
      <c r="K936" s="5" t="s">
        <v>28</v>
      </c>
      <c r="L936">
        <v>1</v>
      </c>
      <c r="M936">
        <v>72.52</v>
      </c>
      <c r="N936" s="8">
        <v>10.88</v>
      </c>
      <c r="O936" s="8">
        <v>61.639999999999993</v>
      </c>
      <c r="P936" s="8">
        <v>3.08</v>
      </c>
      <c r="Q936" s="10">
        <v>0</v>
      </c>
      <c r="R936" s="10">
        <v>20</v>
      </c>
      <c r="S936" s="8">
        <v>84.72</v>
      </c>
      <c r="T936">
        <v>28</v>
      </c>
      <c r="U936" t="str">
        <f t="shared" si="14"/>
        <v>Thursday</v>
      </c>
    </row>
    <row r="937" spans="1:21" x14ac:dyDescent="0.3">
      <c r="A937" s="5" t="s">
        <v>2570</v>
      </c>
      <c r="B937" s="3" t="s">
        <v>3727</v>
      </c>
      <c r="C937" s="5" t="s">
        <v>223</v>
      </c>
      <c r="D937" s="5" t="s">
        <v>106</v>
      </c>
      <c r="E937" s="5" t="s">
        <v>83</v>
      </c>
      <c r="F937" s="5" t="s">
        <v>23</v>
      </c>
      <c r="G937" t="s">
        <v>2571</v>
      </c>
      <c r="H937" s="5" t="s">
        <v>100</v>
      </c>
      <c r="I937" s="5" t="s">
        <v>719</v>
      </c>
      <c r="J937" s="5" t="s">
        <v>720</v>
      </c>
      <c r="K937" s="5" t="s">
        <v>196</v>
      </c>
      <c r="L937">
        <v>3</v>
      </c>
      <c r="M937">
        <v>183.37</v>
      </c>
      <c r="N937" s="8">
        <v>0</v>
      </c>
      <c r="O937" s="8">
        <v>550.11</v>
      </c>
      <c r="P937" s="8">
        <v>27.51</v>
      </c>
      <c r="Q937" s="10">
        <v>20</v>
      </c>
      <c r="R937" s="10">
        <v>5</v>
      </c>
      <c r="S937" s="8">
        <v>602.62</v>
      </c>
      <c r="T937">
        <v>28</v>
      </c>
      <c r="U937" t="str">
        <f t="shared" si="14"/>
        <v>Friday</v>
      </c>
    </row>
    <row r="938" spans="1:21" x14ac:dyDescent="0.3">
      <c r="A938" s="5" t="s">
        <v>2572</v>
      </c>
      <c r="B938" s="3" t="s">
        <v>3736</v>
      </c>
      <c r="C938" s="5" t="s">
        <v>228</v>
      </c>
      <c r="D938" s="5" t="s">
        <v>21</v>
      </c>
      <c r="E938" s="5" t="s">
        <v>112</v>
      </c>
      <c r="F938" s="5" t="s">
        <v>42</v>
      </c>
      <c r="G938" t="s">
        <v>2573</v>
      </c>
      <c r="H938" s="5" t="s">
        <v>3673</v>
      </c>
      <c r="I938" s="5" t="s">
        <v>724</v>
      </c>
      <c r="J938" s="5" t="s">
        <v>725</v>
      </c>
      <c r="K938" s="5" t="s">
        <v>196</v>
      </c>
      <c r="L938">
        <v>1</v>
      </c>
      <c r="M938">
        <v>158.16999999999999</v>
      </c>
      <c r="N938" s="8">
        <v>23.73</v>
      </c>
      <c r="O938" s="8">
        <v>134.44</v>
      </c>
      <c r="P938" s="8">
        <v>6.72</v>
      </c>
      <c r="Q938" s="10">
        <v>20</v>
      </c>
      <c r="R938" s="10">
        <v>15</v>
      </c>
      <c r="S938" s="8">
        <v>176.16</v>
      </c>
      <c r="T938">
        <v>8</v>
      </c>
      <c r="U938" t="str">
        <f t="shared" si="14"/>
        <v>Tuesday</v>
      </c>
    </row>
    <row r="939" spans="1:21" x14ac:dyDescent="0.3">
      <c r="A939" s="5" t="s">
        <v>2574</v>
      </c>
      <c r="B939" s="3" t="s">
        <v>3695</v>
      </c>
      <c r="C939" s="5" t="s">
        <v>233</v>
      </c>
      <c r="D939" s="5" t="s">
        <v>21</v>
      </c>
      <c r="E939" s="5" t="s">
        <v>76</v>
      </c>
      <c r="F939" s="5" t="s">
        <v>37</v>
      </c>
      <c r="G939" t="s">
        <v>2575</v>
      </c>
      <c r="H939" s="5" t="s">
        <v>100</v>
      </c>
      <c r="I939" s="5" t="s">
        <v>729</v>
      </c>
      <c r="J939" s="5" t="s">
        <v>730</v>
      </c>
      <c r="K939" s="5" t="s">
        <v>40</v>
      </c>
      <c r="L939">
        <v>3</v>
      </c>
      <c r="M939">
        <v>206.44</v>
      </c>
      <c r="N939" s="8">
        <v>0</v>
      </c>
      <c r="O939" s="8">
        <v>619.31999999999994</v>
      </c>
      <c r="P939" s="8">
        <v>30.97</v>
      </c>
      <c r="Q939" s="10">
        <v>10</v>
      </c>
      <c r="R939" s="10">
        <v>15</v>
      </c>
      <c r="S939" s="8">
        <v>675.29</v>
      </c>
      <c r="T939">
        <v>24</v>
      </c>
      <c r="U939" t="str">
        <f t="shared" si="14"/>
        <v>Thursday</v>
      </c>
    </row>
    <row r="940" spans="1:21" x14ac:dyDescent="0.3">
      <c r="A940" s="5" t="s">
        <v>2576</v>
      </c>
      <c r="B940" s="3" t="s">
        <v>3718</v>
      </c>
      <c r="C940" s="5" t="s">
        <v>238</v>
      </c>
      <c r="D940" s="5" t="s">
        <v>21</v>
      </c>
      <c r="E940" s="5" t="s">
        <v>69</v>
      </c>
      <c r="F940" s="5" t="s">
        <v>23</v>
      </c>
      <c r="G940" t="s">
        <v>2577</v>
      </c>
      <c r="H940" s="5" t="s">
        <v>3675</v>
      </c>
      <c r="I940" s="5" t="s">
        <v>734</v>
      </c>
      <c r="J940" s="5" t="s">
        <v>735</v>
      </c>
      <c r="K940" s="5" t="s">
        <v>45</v>
      </c>
      <c r="L940">
        <v>3</v>
      </c>
      <c r="M940">
        <v>135.37</v>
      </c>
      <c r="N940" s="8">
        <v>13.54</v>
      </c>
      <c r="O940" s="8">
        <v>392.57</v>
      </c>
      <c r="P940" s="8">
        <v>19.63</v>
      </c>
      <c r="Q940" s="10">
        <v>30</v>
      </c>
      <c r="R940" s="10">
        <v>20</v>
      </c>
      <c r="S940" s="8">
        <v>462.2</v>
      </c>
      <c r="T940">
        <v>29</v>
      </c>
      <c r="U940" t="str">
        <f t="shared" si="14"/>
        <v>Wednesday</v>
      </c>
    </row>
    <row r="941" spans="1:21" x14ac:dyDescent="0.3">
      <c r="A941" s="5" t="s">
        <v>2578</v>
      </c>
      <c r="B941" s="3" t="s">
        <v>3703</v>
      </c>
      <c r="C941" s="5" t="s">
        <v>243</v>
      </c>
      <c r="D941" s="5" t="s">
        <v>82</v>
      </c>
      <c r="E941" s="5" t="s">
        <v>83</v>
      </c>
      <c r="F941" s="5" t="s">
        <v>42</v>
      </c>
      <c r="G941" t="s">
        <v>2579</v>
      </c>
      <c r="H941" s="5" t="s">
        <v>3677</v>
      </c>
      <c r="I941" s="5" t="s">
        <v>739</v>
      </c>
      <c r="J941" s="5" t="s">
        <v>740</v>
      </c>
      <c r="K941" s="5" t="s">
        <v>28</v>
      </c>
      <c r="L941">
        <v>3</v>
      </c>
      <c r="M941">
        <v>138.69999999999999</v>
      </c>
      <c r="N941" s="8">
        <v>13.87</v>
      </c>
      <c r="O941" s="8">
        <v>402.23</v>
      </c>
      <c r="P941" s="8">
        <v>20.11</v>
      </c>
      <c r="Q941" s="10">
        <v>0</v>
      </c>
      <c r="R941" s="10">
        <v>0</v>
      </c>
      <c r="S941" s="8">
        <v>422.34</v>
      </c>
      <c r="T941">
        <v>23</v>
      </c>
      <c r="U941" t="str">
        <f t="shared" si="14"/>
        <v>Friday</v>
      </c>
    </row>
    <row r="942" spans="1:21" x14ac:dyDescent="0.3">
      <c r="A942" s="5" t="s">
        <v>2580</v>
      </c>
      <c r="B942" s="3" t="s">
        <v>3730</v>
      </c>
      <c r="C942" s="5" t="s">
        <v>248</v>
      </c>
      <c r="D942" s="5" t="s">
        <v>21</v>
      </c>
      <c r="E942" s="5" t="s">
        <v>22</v>
      </c>
      <c r="F942" s="5" t="s">
        <v>42</v>
      </c>
      <c r="G942" t="s">
        <v>2581</v>
      </c>
      <c r="H942" s="5" t="s">
        <v>3673</v>
      </c>
      <c r="I942" s="5" t="s">
        <v>744</v>
      </c>
      <c r="J942" s="5" t="s">
        <v>745</v>
      </c>
      <c r="K942" s="5" t="s">
        <v>73</v>
      </c>
      <c r="L942">
        <v>3</v>
      </c>
      <c r="M942">
        <v>74.05</v>
      </c>
      <c r="N942" s="8">
        <v>7.41</v>
      </c>
      <c r="O942" s="8">
        <v>214.74</v>
      </c>
      <c r="P942" s="8">
        <v>10.74</v>
      </c>
      <c r="Q942" s="10">
        <v>20</v>
      </c>
      <c r="R942" s="10">
        <v>10</v>
      </c>
      <c r="S942" s="8">
        <v>255.48</v>
      </c>
      <c r="T942">
        <v>24</v>
      </c>
      <c r="U942" t="str">
        <f t="shared" si="14"/>
        <v>Friday</v>
      </c>
    </row>
    <row r="943" spans="1:21" x14ac:dyDescent="0.3">
      <c r="A943" s="5" t="s">
        <v>2582</v>
      </c>
      <c r="B943" s="3" t="s">
        <v>3733</v>
      </c>
      <c r="C943" s="5" t="s">
        <v>253</v>
      </c>
      <c r="D943" s="5" t="s">
        <v>21</v>
      </c>
      <c r="E943" s="5" t="s">
        <v>22</v>
      </c>
      <c r="F943" s="5" t="s">
        <v>23</v>
      </c>
      <c r="G943" t="s">
        <v>2583</v>
      </c>
      <c r="H943" s="5" t="s">
        <v>3673</v>
      </c>
      <c r="I943" s="5" t="s">
        <v>749</v>
      </c>
      <c r="J943" s="5" t="s">
        <v>750</v>
      </c>
      <c r="K943" s="5" t="s">
        <v>45</v>
      </c>
      <c r="L943">
        <v>4</v>
      </c>
      <c r="M943">
        <v>106.97</v>
      </c>
      <c r="N943" s="8">
        <v>10.7</v>
      </c>
      <c r="O943" s="8">
        <v>417.18</v>
      </c>
      <c r="P943" s="8">
        <v>20.86</v>
      </c>
      <c r="Q943" s="10">
        <v>10</v>
      </c>
      <c r="R943" s="10">
        <v>0</v>
      </c>
      <c r="S943" s="8">
        <v>448.04</v>
      </c>
      <c r="T943">
        <v>19</v>
      </c>
      <c r="U943" t="str">
        <f t="shared" si="14"/>
        <v>Sunday</v>
      </c>
    </row>
    <row r="944" spans="1:21" x14ac:dyDescent="0.3">
      <c r="A944" s="5" t="s">
        <v>2584</v>
      </c>
      <c r="B944" s="3" t="s">
        <v>3710</v>
      </c>
      <c r="C944" s="5" t="s">
        <v>258</v>
      </c>
      <c r="D944" s="5" t="s">
        <v>21</v>
      </c>
      <c r="E944" s="5" t="s">
        <v>76</v>
      </c>
      <c r="F944" s="5" t="s">
        <v>23</v>
      </c>
      <c r="G944" t="s">
        <v>2585</v>
      </c>
      <c r="H944" s="5" t="s">
        <v>3675</v>
      </c>
      <c r="I944" s="5" t="s">
        <v>754</v>
      </c>
      <c r="J944" s="5" t="s">
        <v>755</v>
      </c>
      <c r="K944" s="5" t="s">
        <v>34</v>
      </c>
      <c r="L944">
        <v>2</v>
      </c>
      <c r="M944">
        <v>8.2799999999999994</v>
      </c>
      <c r="N944" s="8">
        <v>1.24</v>
      </c>
      <c r="O944" s="8">
        <v>15.32</v>
      </c>
      <c r="P944" s="8">
        <v>0.77</v>
      </c>
      <c r="Q944" s="10">
        <v>0</v>
      </c>
      <c r="R944" s="10">
        <v>20</v>
      </c>
      <c r="S944" s="8">
        <v>36.090000000000003</v>
      </c>
      <c r="T944">
        <v>26</v>
      </c>
      <c r="U944" t="str">
        <f t="shared" si="14"/>
        <v>Monday</v>
      </c>
    </row>
    <row r="945" spans="1:21" x14ac:dyDescent="0.3">
      <c r="A945" s="5" t="s">
        <v>2586</v>
      </c>
      <c r="B945" s="3" t="s">
        <v>3736</v>
      </c>
      <c r="C945" s="5" t="s">
        <v>263</v>
      </c>
      <c r="D945" s="5" t="s">
        <v>21</v>
      </c>
      <c r="E945" s="5" t="s">
        <v>112</v>
      </c>
      <c r="F945" s="5" t="s">
        <v>42</v>
      </c>
      <c r="G945" t="s">
        <v>2587</v>
      </c>
      <c r="H945" s="5" t="s">
        <v>3673</v>
      </c>
      <c r="I945" s="5" t="s">
        <v>759</v>
      </c>
      <c r="J945" s="5" t="s">
        <v>760</v>
      </c>
      <c r="K945" s="5" t="s">
        <v>22</v>
      </c>
      <c r="L945">
        <v>5</v>
      </c>
      <c r="M945">
        <v>213.92</v>
      </c>
      <c r="N945" s="8">
        <v>0</v>
      </c>
      <c r="O945" s="8">
        <v>1069.5999999999999</v>
      </c>
      <c r="P945" s="8">
        <v>53.48</v>
      </c>
      <c r="Q945" s="10">
        <v>10</v>
      </c>
      <c r="R945" s="10">
        <v>0</v>
      </c>
      <c r="S945" s="8">
        <v>1133.08</v>
      </c>
      <c r="T945">
        <v>24.67</v>
      </c>
      <c r="U945" t="str">
        <f t="shared" si="14"/>
        <v>Tuesday</v>
      </c>
    </row>
    <row r="946" spans="1:21" x14ac:dyDescent="0.3">
      <c r="A946" s="5" t="s">
        <v>2588</v>
      </c>
      <c r="B946" s="3" t="s">
        <v>3698</v>
      </c>
      <c r="C946" s="5" t="s">
        <v>268</v>
      </c>
      <c r="D946" s="5" t="s">
        <v>21</v>
      </c>
      <c r="E946" s="5" t="s">
        <v>76</v>
      </c>
      <c r="F946" s="5" t="s">
        <v>23</v>
      </c>
      <c r="G946" t="s">
        <v>2589</v>
      </c>
      <c r="H946" s="5" t="s">
        <v>3673</v>
      </c>
      <c r="I946" s="5" t="s">
        <v>764</v>
      </c>
      <c r="J946" s="5" t="s">
        <v>765</v>
      </c>
      <c r="K946" s="5" t="s">
        <v>73</v>
      </c>
      <c r="L946">
        <v>6</v>
      </c>
      <c r="M946">
        <v>126.72</v>
      </c>
      <c r="N946" s="8">
        <v>0</v>
      </c>
      <c r="O946" s="8">
        <v>760.31999999999994</v>
      </c>
      <c r="P946" s="8">
        <v>38.020000000000003</v>
      </c>
      <c r="Q946" s="10">
        <v>30</v>
      </c>
      <c r="R946" s="10">
        <v>20</v>
      </c>
      <c r="S946" s="8">
        <v>848.33999999999992</v>
      </c>
      <c r="T946">
        <v>9</v>
      </c>
      <c r="U946" t="str">
        <f t="shared" si="14"/>
        <v>Sunday</v>
      </c>
    </row>
    <row r="947" spans="1:21" x14ac:dyDescent="0.3">
      <c r="A947" s="5" t="s">
        <v>2590</v>
      </c>
      <c r="B947" s="3" t="s">
        <v>3724</v>
      </c>
      <c r="C947" s="5" t="s">
        <v>273</v>
      </c>
      <c r="D947" s="5" t="s">
        <v>21</v>
      </c>
      <c r="E947" s="5" t="s">
        <v>22</v>
      </c>
      <c r="F947" s="5" t="s">
        <v>37</v>
      </c>
      <c r="G947" t="s">
        <v>2591</v>
      </c>
      <c r="H947" s="5" t="s">
        <v>3674</v>
      </c>
      <c r="I947" s="5" t="s">
        <v>769</v>
      </c>
      <c r="J947" s="5" t="s">
        <v>770</v>
      </c>
      <c r="K947" s="5" t="s">
        <v>56</v>
      </c>
      <c r="L947">
        <v>2</v>
      </c>
      <c r="M947">
        <v>108.23</v>
      </c>
      <c r="N947" s="8">
        <v>5.41</v>
      </c>
      <c r="O947" s="8">
        <v>211.05</v>
      </c>
      <c r="P947" s="8">
        <v>10.55</v>
      </c>
      <c r="Q947" s="10">
        <v>0</v>
      </c>
      <c r="R947" s="10">
        <v>20</v>
      </c>
      <c r="S947" s="8">
        <v>241.6</v>
      </c>
      <c r="T947">
        <v>18</v>
      </c>
      <c r="U947" t="str">
        <f t="shared" si="14"/>
        <v>Sunday</v>
      </c>
    </row>
    <row r="948" spans="1:21" x14ac:dyDescent="0.3">
      <c r="A948" s="5" t="s">
        <v>2592</v>
      </c>
      <c r="B948" s="3" t="s">
        <v>3732</v>
      </c>
      <c r="C948" s="5" t="s">
        <v>278</v>
      </c>
      <c r="D948" s="5" t="s">
        <v>21</v>
      </c>
      <c r="E948" s="5" t="s">
        <v>76</v>
      </c>
      <c r="F948" s="5" t="s">
        <v>37</v>
      </c>
      <c r="G948" t="s">
        <v>2593</v>
      </c>
      <c r="H948" s="5" t="s">
        <v>3673</v>
      </c>
      <c r="I948" s="5" t="s">
        <v>774</v>
      </c>
      <c r="J948" s="5" t="s">
        <v>775</v>
      </c>
      <c r="K948" s="5" t="s">
        <v>34</v>
      </c>
      <c r="L948">
        <v>2</v>
      </c>
      <c r="M948">
        <v>107.72</v>
      </c>
      <c r="N948" s="8">
        <v>10.77</v>
      </c>
      <c r="O948" s="8">
        <v>204.67</v>
      </c>
      <c r="P948" s="8">
        <v>10.23</v>
      </c>
      <c r="Q948" s="10">
        <v>20</v>
      </c>
      <c r="R948" s="10">
        <v>20</v>
      </c>
      <c r="S948" s="8">
        <v>254.9</v>
      </c>
      <c r="T948">
        <v>43</v>
      </c>
      <c r="U948" t="str">
        <f t="shared" si="14"/>
        <v>Wednesday</v>
      </c>
    </row>
    <row r="949" spans="1:21" x14ac:dyDescent="0.3">
      <c r="A949" s="5" t="s">
        <v>2594</v>
      </c>
      <c r="B949" s="3" t="s">
        <v>3715</v>
      </c>
      <c r="C949" s="5" t="s">
        <v>283</v>
      </c>
      <c r="D949" s="5" t="s">
        <v>21</v>
      </c>
      <c r="E949" s="5" t="s">
        <v>22</v>
      </c>
      <c r="F949" s="5" t="s">
        <v>23</v>
      </c>
      <c r="G949" t="s">
        <v>2595</v>
      </c>
      <c r="H949" s="5" t="s">
        <v>3673</v>
      </c>
      <c r="I949" s="5" t="s">
        <v>779</v>
      </c>
      <c r="J949" s="5" t="s">
        <v>780</v>
      </c>
      <c r="K949" s="5" t="s">
        <v>145</v>
      </c>
      <c r="L949">
        <v>2</v>
      </c>
      <c r="M949">
        <v>131.76</v>
      </c>
      <c r="N949" s="8">
        <v>0</v>
      </c>
      <c r="O949" s="8">
        <v>263.52</v>
      </c>
      <c r="P949" s="8">
        <v>13.18</v>
      </c>
      <c r="Q949" s="10">
        <v>20</v>
      </c>
      <c r="R949" s="10">
        <v>5</v>
      </c>
      <c r="S949" s="8">
        <v>301.7</v>
      </c>
      <c r="T949">
        <v>43</v>
      </c>
      <c r="U949" t="str">
        <f t="shared" si="14"/>
        <v>Saturday</v>
      </c>
    </row>
    <row r="950" spans="1:21" x14ac:dyDescent="0.3">
      <c r="A950" s="5" t="s">
        <v>2596</v>
      </c>
      <c r="B950" s="3" t="s">
        <v>3735</v>
      </c>
      <c r="C950" s="5" t="s">
        <v>288</v>
      </c>
      <c r="D950" s="5" t="s">
        <v>21</v>
      </c>
      <c r="E950" s="5" t="s">
        <v>36</v>
      </c>
      <c r="F950" s="5" t="s">
        <v>42</v>
      </c>
      <c r="G950" t="s">
        <v>2597</v>
      </c>
      <c r="H950" s="5" t="s">
        <v>3675</v>
      </c>
      <c r="I950" s="5" t="s">
        <v>784</v>
      </c>
      <c r="J950" s="5" t="s">
        <v>785</v>
      </c>
      <c r="K950" s="5" t="s">
        <v>45</v>
      </c>
      <c r="L950">
        <v>5</v>
      </c>
      <c r="M950">
        <v>159.22</v>
      </c>
      <c r="N950" s="8">
        <v>23.88</v>
      </c>
      <c r="O950" s="8">
        <v>772.22</v>
      </c>
      <c r="P950" s="8">
        <v>38.61</v>
      </c>
      <c r="Q950" s="10">
        <v>20</v>
      </c>
      <c r="R950" s="10">
        <v>20</v>
      </c>
      <c r="S950" s="8">
        <v>850.83</v>
      </c>
      <c r="T950">
        <v>24</v>
      </c>
      <c r="U950" t="str">
        <f t="shared" si="14"/>
        <v>Saturday</v>
      </c>
    </row>
    <row r="951" spans="1:21" x14ac:dyDescent="0.3">
      <c r="A951" s="5" t="s">
        <v>2598</v>
      </c>
      <c r="B951" s="3" t="s">
        <v>3708</v>
      </c>
      <c r="C951" s="5" t="s">
        <v>293</v>
      </c>
      <c r="D951" s="5" t="s">
        <v>21</v>
      </c>
      <c r="E951" s="5" t="s">
        <v>36</v>
      </c>
      <c r="F951" s="5" t="s">
        <v>37</v>
      </c>
      <c r="G951" t="s">
        <v>2599</v>
      </c>
      <c r="H951" s="5" t="s">
        <v>3673</v>
      </c>
      <c r="I951" s="5" t="s">
        <v>789</v>
      </c>
      <c r="J951" s="5" t="s">
        <v>790</v>
      </c>
      <c r="K951" s="5" t="s">
        <v>145</v>
      </c>
      <c r="L951">
        <v>1</v>
      </c>
      <c r="M951">
        <v>115.72</v>
      </c>
      <c r="N951" s="8">
        <v>11.57</v>
      </c>
      <c r="O951" s="8">
        <v>104.15</v>
      </c>
      <c r="P951" s="8">
        <v>5.21</v>
      </c>
      <c r="Q951" s="10">
        <v>20</v>
      </c>
      <c r="R951" s="10">
        <v>10</v>
      </c>
      <c r="S951" s="8">
        <v>139.36000000000001</v>
      </c>
      <c r="T951">
        <v>24.67</v>
      </c>
      <c r="U951" t="str">
        <f t="shared" si="14"/>
        <v>Sunday</v>
      </c>
    </row>
    <row r="952" spans="1:21" x14ac:dyDescent="0.3">
      <c r="A952" s="5" t="s">
        <v>2600</v>
      </c>
      <c r="B952" s="3" t="s">
        <v>3701</v>
      </c>
      <c r="C952" s="5" t="s">
        <v>298</v>
      </c>
      <c r="D952" s="5" t="s">
        <v>21</v>
      </c>
      <c r="E952" s="5" t="s">
        <v>36</v>
      </c>
      <c r="F952" s="5" t="s">
        <v>23</v>
      </c>
      <c r="G952" t="s">
        <v>2601</v>
      </c>
      <c r="H952" s="5" t="s">
        <v>3674</v>
      </c>
      <c r="I952" s="5" t="s">
        <v>794</v>
      </c>
      <c r="J952" s="5" t="s">
        <v>795</v>
      </c>
      <c r="K952" s="5" t="s">
        <v>103</v>
      </c>
      <c r="L952">
        <v>4</v>
      </c>
      <c r="M952">
        <v>61.84</v>
      </c>
      <c r="N952" s="8">
        <v>3.09</v>
      </c>
      <c r="O952" s="8">
        <v>244.27</v>
      </c>
      <c r="P952" s="8">
        <v>12.21</v>
      </c>
      <c r="Q952" s="10">
        <v>20</v>
      </c>
      <c r="R952" s="10">
        <v>5</v>
      </c>
      <c r="S952" s="8">
        <v>281.48</v>
      </c>
      <c r="T952">
        <v>26</v>
      </c>
      <c r="U952" t="str">
        <f t="shared" si="14"/>
        <v>Tuesday</v>
      </c>
    </row>
    <row r="953" spans="1:21" x14ac:dyDescent="0.3">
      <c r="A953" s="5" t="s">
        <v>2602</v>
      </c>
      <c r="B953" s="3" t="s">
        <v>3686</v>
      </c>
      <c r="C953" s="5" t="s">
        <v>303</v>
      </c>
      <c r="D953" s="5" t="s">
        <v>21</v>
      </c>
      <c r="E953" s="5" t="s">
        <v>69</v>
      </c>
      <c r="F953" s="5" t="s">
        <v>42</v>
      </c>
      <c r="G953" t="s">
        <v>2603</v>
      </c>
      <c r="H953" s="5" t="s">
        <v>25</v>
      </c>
      <c r="I953" s="5" t="s">
        <v>799</v>
      </c>
      <c r="J953" s="5" t="s">
        <v>800</v>
      </c>
      <c r="K953" s="5" t="s">
        <v>196</v>
      </c>
      <c r="L953">
        <v>5</v>
      </c>
      <c r="M953">
        <v>25.58</v>
      </c>
      <c r="N953" s="8">
        <v>3.84</v>
      </c>
      <c r="O953" s="8">
        <v>124.06</v>
      </c>
      <c r="P953" s="8">
        <v>6.2</v>
      </c>
      <c r="Q953" s="10">
        <v>30</v>
      </c>
      <c r="R953" s="10">
        <v>0</v>
      </c>
      <c r="S953" s="8">
        <v>160.26</v>
      </c>
      <c r="T953">
        <v>25</v>
      </c>
      <c r="U953" t="str">
        <f t="shared" si="14"/>
        <v>Saturday</v>
      </c>
    </row>
    <row r="954" spans="1:21" x14ac:dyDescent="0.3">
      <c r="A954" s="5" t="s">
        <v>2604</v>
      </c>
      <c r="B954" s="3" t="s">
        <v>3682</v>
      </c>
      <c r="C954" s="5" t="s">
        <v>308</v>
      </c>
      <c r="D954" s="5" t="s">
        <v>21</v>
      </c>
      <c r="E954" s="5" t="s">
        <v>36</v>
      </c>
      <c r="F954" s="5" t="s">
        <v>42</v>
      </c>
      <c r="G954" t="s">
        <v>2605</v>
      </c>
      <c r="H954" s="5" t="s">
        <v>25</v>
      </c>
      <c r="I954" s="5" t="s">
        <v>804</v>
      </c>
      <c r="J954" s="5" t="s">
        <v>805</v>
      </c>
      <c r="K954" s="5" t="s">
        <v>56</v>
      </c>
      <c r="L954">
        <v>1</v>
      </c>
      <c r="M954">
        <v>101.63</v>
      </c>
      <c r="N954" s="8">
        <v>10.16</v>
      </c>
      <c r="O954" s="8">
        <v>91.47</v>
      </c>
      <c r="P954" s="8">
        <v>4.57</v>
      </c>
      <c r="Q954" s="10">
        <v>20</v>
      </c>
      <c r="R954" s="10">
        <v>10</v>
      </c>
      <c r="S954" s="8">
        <v>126.04</v>
      </c>
      <c r="T954">
        <v>32</v>
      </c>
      <c r="U954" t="str">
        <f t="shared" si="14"/>
        <v>Tuesday</v>
      </c>
    </row>
    <row r="955" spans="1:21" x14ac:dyDescent="0.3">
      <c r="A955" s="5" t="s">
        <v>2606</v>
      </c>
      <c r="B955" s="3" t="s">
        <v>3719</v>
      </c>
      <c r="C955" s="5" t="s">
        <v>313</v>
      </c>
      <c r="D955" s="5" t="s">
        <v>21</v>
      </c>
      <c r="E955" s="5" t="s">
        <v>112</v>
      </c>
      <c r="F955" s="5" t="s">
        <v>23</v>
      </c>
      <c r="G955" t="s">
        <v>2607</v>
      </c>
      <c r="H955" s="5" t="s">
        <v>3673</v>
      </c>
      <c r="I955" s="5" t="s">
        <v>809</v>
      </c>
      <c r="J955" s="5" t="s">
        <v>810</v>
      </c>
      <c r="K955" s="5" t="s">
        <v>40</v>
      </c>
      <c r="L955">
        <v>1</v>
      </c>
      <c r="M955">
        <v>154.27000000000001</v>
      </c>
      <c r="N955" s="8">
        <v>7.71</v>
      </c>
      <c r="O955" s="8">
        <v>146.56</v>
      </c>
      <c r="P955" s="8">
        <v>7.33</v>
      </c>
      <c r="Q955" s="10">
        <v>30</v>
      </c>
      <c r="R955" s="10">
        <v>10</v>
      </c>
      <c r="S955" s="8">
        <v>193.89</v>
      </c>
      <c r="T955">
        <v>21</v>
      </c>
      <c r="U955" t="str">
        <f t="shared" si="14"/>
        <v>Sunday</v>
      </c>
    </row>
    <row r="956" spans="1:21" x14ac:dyDescent="0.3">
      <c r="A956" s="5" t="s">
        <v>2608</v>
      </c>
      <c r="B956" s="3" t="s">
        <v>3700</v>
      </c>
      <c r="C956" s="5" t="s">
        <v>318</v>
      </c>
      <c r="D956" s="5" t="s">
        <v>21</v>
      </c>
      <c r="E956" s="5" t="s">
        <v>69</v>
      </c>
      <c r="F956" s="5" t="s">
        <v>23</v>
      </c>
      <c r="G956" t="s">
        <v>2609</v>
      </c>
      <c r="H956" s="5" t="s">
        <v>3677</v>
      </c>
      <c r="I956" s="5" t="s">
        <v>814</v>
      </c>
      <c r="J956" s="5" t="s">
        <v>815</v>
      </c>
      <c r="K956" s="5" t="s">
        <v>145</v>
      </c>
      <c r="L956">
        <v>4</v>
      </c>
      <c r="M956">
        <v>21.19</v>
      </c>
      <c r="N956" s="8">
        <v>1.06</v>
      </c>
      <c r="O956" s="8">
        <v>83.7</v>
      </c>
      <c r="P956" s="8">
        <v>4.1900000000000004</v>
      </c>
      <c r="Q956" s="10">
        <v>10</v>
      </c>
      <c r="R956" s="10">
        <v>20</v>
      </c>
      <c r="S956" s="8">
        <v>117.89</v>
      </c>
      <c r="T956">
        <v>31</v>
      </c>
      <c r="U956" t="str">
        <f t="shared" si="14"/>
        <v>Saturday</v>
      </c>
    </row>
    <row r="957" spans="1:21" x14ac:dyDescent="0.3">
      <c r="A957" s="5" t="s">
        <v>2610</v>
      </c>
      <c r="B957" s="3" t="s">
        <v>3692</v>
      </c>
      <c r="C957" s="5" t="s">
        <v>323</v>
      </c>
      <c r="D957" s="5" t="s">
        <v>21</v>
      </c>
      <c r="E957" s="5" t="s">
        <v>69</v>
      </c>
      <c r="F957" s="5" t="s">
        <v>42</v>
      </c>
      <c r="G957" t="s">
        <v>2611</v>
      </c>
      <c r="H957" s="5" t="s">
        <v>3673</v>
      </c>
      <c r="I957" s="5" t="s">
        <v>819</v>
      </c>
      <c r="J957" s="5" t="s">
        <v>820</v>
      </c>
      <c r="K957" s="5" t="s">
        <v>103</v>
      </c>
      <c r="L957">
        <v>3</v>
      </c>
      <c r="M957">
        <v>82.42</v>
      </c>
      <c r="N957" s="8">
        <v>4.12</v>
      </c>
      <c r="O957" s="8">
        <v>243.14</v>
      </c>
      <c r="P957" s="8">
        <v>12.16</v>
      </c>
      <c r="Q957" s="10">
        <v>0</v>
      </c>
      <c r="R957" s="10">
        <v>10</v>
      </c>
      <c r="S957" s="8">
        <v>265.3</v>
      </c>
      <c r="T957">
        <v>24.67</v>
      </c>
      <c r="U957" t="str">
        <f t="shared" si="14"/>
        <v>Wednesday</v>
      </c>
    </row>
    <row r="958" spans="1:21" x14ac:dyDescent="0.3">
      <c r="A958" s="5" t="s">
        <v>2612</v>
      </c>
      <c r="B958" s="3" t="s">
        <v>3703</v>
      </c>
      <c r="C958" s="5" t="s">
        <v>328</v>
      </c>
      <c r="D958" s="5" t="s">
        <v>21</v>
      </c>
      <c r="E958" s="5" t="s">
        <v>76</v>
      </c>
      <c r="F958" s="5" t="s">
        <v>23</v>
      </c>
      <c r="G958" t="s">
        <v>2613</v>
      </c>
      <c r="H958" s="5" t="s">
        <v>3677</v>
      </c>
      <c r="I958" s="5" t="s">
        <v>824</v>
      </c>
      <c r="J958" s="5" t="s">
        <v>825</v>
      </c>
      <c r="K958" s="5" t="s">
        <v>145</v>
      </c>
      <c r="L958">
        <v>2</v>
      </c>
      <c r="M958">
        <v>49.61</v>
      </c>
      <c r="N958" s="8">
        <v>2.48</v>
      </c>
      <c r="O958" s="8">
        <v>96.74</v>
      </c>
      <c r="P958" s="8">
        <v>4.84</v>
      </c>
      <c r="Q958" s="10">
        <v>20</v>
      </c>
      <c r="R958" s="10">
        <v>5</v>
      </c>
      <c r="S958" s="8">
        <v>126.58</v>
      </c>
      <c r="T958">
        <v>24</v>
      </c>
      <c r="U958" t="str">
        <f t="shared" si="14"/>
        <v>Friday</v>
      </c>
    </row>
    <row r="959" spans="1:21" x14ac:dyDescent="0.3">
      <c r="A959" s="5" t="s">
        <v>2614</v>
      </c>
      <c r="B959" s="3" t="s">
        <v>3702</v>
      </c>
      <c r="C959" s="5" t="s">
        <v>332</v>
      </c>
      <c r="D959" s="5" t="s">
        <v>21</v>
      </c>
      <c r="E959" s="5" t="s">
        <v>112</v>
      </c>
      <c r="F959" s="5" t="s">
        <v>42</v>
      </c>
      <c r="G959" t="s">
        <v>2615</v>
      </c>
      <c r="H959" s="5" t="s">
        <v>3673</v>
      </c>
      <c r="I959" s="5" t="s">
        <v>828</v>
      </c>
      <c r="J959" s="5" t="s">
        <v>829</v>
      </c>
      <c r="K959" s="5" t="s">
        <v>145</v>
      </c>
      <c r="L959">
        <v>5</v>
      </c>
      <c r="M959">
        <v>32.340000000000003</v>
      </c>
      <c r="N959" s="8">
        <v>0</v>
      </c>
      <c r="O959" s="8">
        <v>161.69999999999999</v>
      </c>
      <c r="P959" s="8">
        <v>8.09</v>
      </c>
      <c r="Q959" s="10">
        <v>20</v>
      </c>
      <c r="R959" s="10">
        <v>10</v>
      </c>
      <c r="S959" s="8">
        <v>199.79</v>
      </c>
      <c r="T959">
        <v>24.67</v>
      </c>
      <c r="U959" t="str">
        <f t="shared" si="14"/>
        <v>Monday</v>
      </c>
    </row>
    <row r="960" spans="1:21" x14ac:dyDescent="0.3">
      <c r="A960" s="5" t="s">
        <v>2616</v>
      </c>
      <c r="B960" s="3" t="s">
        <v>3701</v>
      </c>
      <c r="C960" s="5" t="s">
        <v>337</v>
      </c>
      <c r="D960" s="5" t="s">
        <v>21</v>
      </c>
      <c r="E960" s="5" t="s">
        <v>69</v>
      </c>
      <c r="F960" s="5" t="s">
        <v>42</v>
      </c>
      <c r="G960" t="s">
        <v>2617</v>
      </c>
      <c r="H960" s="5" t="s">
        <v>100</v>
      </c>
      <c r="I960" s="5" t="s">
        <v>832</v>
      </c>
      <c r="J960" s="5" t="s">
        <v>833</v>
      </c>
      <c r="K960" s="5" t="s">
        <v>22</v>
      </c>
      <c r="L960">
        <v>1</v>
      </c>
      <c r="M960">
        <v>151.43</v>
      </c>
      <c r="N960" s="8">
        <v>22.71</v>
      </c>
      <c r="O960" s="8">
        <v>128.72</v>
      </c>
      <c r="P960" s="8">
        <v>6.44</v>
      </c>
      <c r="Q960" s="10">
        <v>10</v>
      </c>
      <c r="R960" s="10">
        <v>10</v>
      </c>
      <c r="S960" s="8">
        <v>155.16</v>
      </c>
      <c r="T960">
        <v>37</v>
      </c>
      <c r="U960" t="str">
        <f t="shared" si="14"/>
        <v>Tuesday</v>
      </c>
    </row>
    <row r="961" spans="1:21" x14ac:dyDescent="0.3">
      <c r="A961" s="5" t="s">
        <v>2618</v>
      </c>
      <c r="B961" s="3" t="s">
        <v>3734</v>
      </c>
      <c r="C961" s="5" t="s">
        <v>342</v>
      </c>
      <c r="D961" s="5" t="s">
        <v>106</v>
      </c>
      <c r="E961" s="5" t="s">
        <v>83</v>
      </c>
      <c r="F961" s="5" t="s">
        <v>37</v>
      </c>
      <c r="G961" t="s">
        <v>2619</v>
      </c>
      <c r="H961" s="5" t="s">
        <v>3675</v>
      </c>
      <c r="I961" s="5" t="s">
        <v>837</v>
      </c>
      <c r="J961" s="5" t="s">
        <v>838</v>
      </c>
      <c r="K961" s="5" t="s">
        <v>103</v>
      </c>
      <c r="L961">
        <v>4</v>
      </c>
      <c r="M961">
        <v>229.08</v>
      </c>
      <c r="N961" s="8">
        <v>22.91</v>
      </c>
      <c r="O961" s="8">
        <v>893.41000000000008</v>
      </c>
      <c r="P961" s="8">
        <v>44.67</v>
      </c>
      <c r="Q961" s="10">
        <v>20</v>
      </c>
      <c r="R961" s="10">
        <v>10</v>
      </c>
      <c r="S961" s="8">
        <v>968.08</v>
      </c>
      <c r="T961">
        <v>25</v>
      </c>
      <c r="U961" t="str">
        <f t="shared" si="14"/>
        <v>Monday</v>
      </c>
    </row>
    <row r="962" spans="1:21" x14ac:dyDescent="0.3">
      <c r="A962" s="5" t="s">
        <v>2620</v>
      </c>
      <c r="B962" s="3" t="s">
        <v>3698</v>
      </c>
      <c r="C962" s="5" t="s">
        <v>347</v>
      </c>
      <c r="D962" s="5" t="s">
        <v>21</v>
      </c>
      <c r="E962" s="5" t="s">
        <v>76</v>
      </c>
      <c r="F962" s="5" t="s">
        <v>42</v>
      </c>
      <c r="G962" t="s">
        <v>2621</v>
      </c>
      <c r="H962" s="5" t="s">
        <v>100</v>
      </c>
      <c r="I962" s="5" t="s">
        <v>842</v>
      </c>
      <c r="J962" s="5" t="s">
        <v>843</v>
      </c>
      <c r="K962" s="5" t="s">
        <v>34</v>
      </c>
      <c r="L962">
        <v>4</v>
      </c>
      <c r="M962">
        <v>121.86</v>
      </c>
      <c r="N962" s="8">
        <v>18.28</v>
      </c>
      <c r="O962" s="8">
        <v>469.16</v>
      </c>
      <c r="P962" s="8">
        <v>23.46</v>
      </c>
      <c r="Q962" s="10">
        <v>30</v>
      </c>
      <c r="R962" s="10">
        <v>5</v>
      </c>
      <c r="S962" s="8">
        <v>527.61999999999989</v>
      </c>
      <c r="T962">
        <v>20</v>
      </c>
      <c r="U962" t="str">
        <f t="shared" si="14"/>
        <v>Sunday</v>
      </c>
    </row>
    <row r="963" spans="1:21" x14ac:dyDescent="0.3">
      <c r="A963" s="5" t="s">
        <v>2622</v>
      </c>
      <c r="B963" s="3" t="s">
        <v>3726</v>
      </c>
      <c r="C963" s="5" t="s">
        <v>352</v>
      </c>
      <c r="D963" s="5" t="s">
        <v>106</v>
      </c>
      <c r="E963" s="5" t="s">
        <v>83</v>
      </c>
      <c r="F963" s="5" t="s">
        <v>23</v>
      </c>
      <c r="G963" t="s">
        <v>2623</v>
      </c>
      <c r="H963" s="5" t="s">
        <v>3673</v>
      </c>
      <c r="I963" s="5" t="s">
        <v>847</v>
      </c>
      <c r="J963" s="5" t="s">
        <v>848</v>
      </c>
      <c r="K963" s="5" t="s">
        <v>45</v>
      </c>
      <c r="L963">
        <v>1</v>
      </c>
      <c r="M963">
        <v>161.25</v>
      </c>
      <c r="N963" s="8">
        <v>0</v>
      </c>
      <c r="O963" s="8">
        <v>161.25</v>
      </c>
      <c r="P963" s="8">
        <v>8.06</v>
      </c>
      <c r="Q963" s="10">
        <v>30</v>
      </c>
      <c r="R963" s="10">
        <v>20</v>
      </c>
      <c r="S963" s="8">
        <v>219.31</v>
      </c>
      <c r="T963">
        <v>28</v>
      </c>
      <c r="U963" t="str">
        <f t="shared" ref="U963:U1026" si="15">TEXT(B963,"dddd")</f>
        <v>Monday</v>
      </c>
    </row>
    <row r="964" spans="1:21" x14ac:dyDescent="0.3">
      <c r="A964" s="5" t="s">
        <v>2624</v>
      </c>
      <c r="B964" s="3" t="s">
        <v>3731</v>
      </c>
      <c r="C964" s="5" t="s">
        <v>357</v>
      </c>
      <c r="D964" s="5" t="s">
        <v>21</v>
      </c>
      <c r="E964" s="5" t="s">
        <v>76</v>
      </c>
      <c r="F964" s="5" t="s">
        <v>37</v>
      </c>
      <c r="H964" s="5" t="s">
        <v>100</v>
      </c>
      <c r="I964" s="5" t="s">
        <v>852</v>
      </c>
      <c r="J964" s="5" t="s">
        <v>853</v>
      </c>
      <c r="K964" s="5" t="s">
        <v>22</v>
      </c>
      <c r="L964">
        <v>1</v>
      </c>
      <c r="M964">
        <v>115.42</v>
      </c>
      <c r="N964" s="8">
        <v>0</v>
      </c>
      <c r="O964" s="8">
        <v>115.42</v>
      </c>
      <c r="P964" s="8">
        <v>5.77</v>
      </c>
      <c r="Q964" s="10">
        <v>0</v>
      </c>
      <c r="R964" s="10">
        <v>10</v>
      </c>
      <c r="S964" s="8">
        <v>131.19</v>
      </c>
      <c r="T964">
        <v>23</v>
      </c>
      <c r="U964" t="str">
        <f t="shared" si="15"/>
        <v>Monday</v>
      </c>
    </row>
    <row r="965" spans="1:21" x14ac:dyDescent="0.3">
      <c r="A965" s="5" t="s">
        <v>2625</v>
      </c>
      <c r="B965" s="3" t="s">
        <v>3721</v>
      </c>
      <c r="C965" s="5" t="s">
        <v>362</v>
      </c>
      <c r="D965" s="5" t="s">
        <v>82</v>
      </c>
      <c r="E965" s="5" t="s">
        <v>83</v>
      </c>
      <c r="F965" s="5" t="s">
        <v>37</v>
      </c>
      <c r="G965" t="s">
        <v>2626</v>
      </c>
      <c r="H965" s="5" t="s">
        <v>25</v>
      </c>
      <c r="I965" s="5" t="s">
        <v>857</v>
      </c>
      <c r="J965" s="5" t="s">
        <v>858</v>
      </c>
      <c r="K965" s="5" t="s">
        <v>73</v>
      </c>
      <c r="L965">
        <v>3</v>
      </c>
      <c r="M965">
        <v>235.92</v>
      </c>
      <c r="N965" s="8">
        <v>0</v>
      </c>
      <c r="O965" s="8">
        <v>707.76</v>
      </c>
      <c r="P965" s="8">
        <v>35.39</v>
      </c>
      <c r="Q965" s="10">
        <v>0</v>
      </c>
      <c r="R965" s="10">
        <v>5</v>
      </c>
      <c r="S965" s="8">
        <v>748.15</v>
      </c>
      <c r="T965">
        <v>16</v>
      </c>
      <c r="U965" t="str">
        <f t="shared" si="15"/>
        <v>Tuesday</v>
      </c>
    </row>
    <row r="966" spans="1:21" x14ac:dyDescent="0.3">
      <c r="A966" s="5" t="s">
        <v>2627</v>
      </c>
      <c r="B966" s="3" t="s">
        <v>3732</v>
      </c>
      <c r="C966" s="5" t="s">
        <v>367</v>
      </c>
      <c r="D966" s="5" t="s">
        <v>21</v>
      </c>
      <c r="E966" s="5" t="s">
        <v>69</v>
      </c>
      <c r="F966" s="5" t="s">
        <v>42</v>
      </c>
      <c r="G966" t="s">
        <v>2628</v>
      </c>
      <c r="H966" s="5" t="s">
        <v>3673</v>
      </c>
      <c r="I966" s="5" t="s">
        <v>862</v>
      </c>
      <c r="J966" s="5" t="s">
        <v>863</v>
      </c>
      <c r="K966" s="5" t="s">
        <v>56</v>
      </c>
      <c r="L966">
        <v>3</v>
      </c>
      <c r="M966">
        <v>83.35</v>
      </c>
      <c r="N966" s="8">
        <v>12.5</v>
      </c>
      <c r="O966" s="8">
        <v>237.55</v>
      </c>
      <c r="P966" s="8">
        <v>11.88</v>
      </c>
      <c r="Q966" s="10">
        <v>30</v>
      </c>
      <c r="R966" s="10">
        <v>15</v>
      </c>
      <c r="S966" s="8">
        <v>294.42999999999989</v>
      </c>
      <c r="T966">
        <v>30</v>
      </c>
      <c r="U966" t="str">
        <f t="shared" si="15"/>
        <v>Wednesday</v>
      </c>
    </row>
    <row r="967" spans="1:21" x14ac:dyDescent="0.3">
      <c r="A967" s="5" t="s">
        <v>2629</v>
      </c>
      <c r="B967" s="3" t="s">
        <v>3682</v>
      </c>
      <c r="C967" s="5" t="s">
        <v>372</v>
      </c>
      <c r="D967" s="5" t="s">
        <v>21</v>
      </c>
      <c r="E967" s="5" t="s">
        <v>76</v>
      </c>
      <c r="F967" s="5" t="s">
        <v>37</v>
      </c>
      <c r="G967" t="s">
        <v>2630</v>
      </c>
      <c r="H967" s="5" t="s">
        <v>3673</v>
      </c>
      <c r="I967" s="5" t="s">
        <v>867</v>
      </c>
      <c r="J967" s="5" t="s">
        <v>868</v>
      </c>
      <c r="K967" s="5" t="s">
        <v>22</v>
      </c>
      <c r="L967">
        <v>2</v>
      </c>
      <c r="M967">
        <v>109.34</v>
      </c>
      <c r="N967" s="8">
        <v>0</v>
      </c>
      <c r="O967" s="8">
        <v>218.68</v>
      </c>
      <c r="P967" s="8">
        <v>10.93</v>
      </c>
      <c r="Q967" s="10">
        <v>10</v>
      </c>
      <c r="R967" s="10">
        <v>5</v>
      </c>
      <c r="S967" s="8">
        <v>244.61</v>
      </c>
      <c r="T967">
        <v>6</v>
      </c>
      <c r="U967" t="str">
        <f t="shared" si="15"/>
        <v>Tuesday</v>
      </c>
    </row>
    <row r="968" spans="1:21" x14ac:dyDescent="0.3">
      <c r="A968" s="5" t="s">
        <v>2631</v>
      </c>
      <c r="B968" s="3" t="s">
        <v>3729</v>
      </c>
      <c r="C968" s="5" t="s">
        <v>377</v>
      </c>
      <c r="D968" s="5" t="s">
        <v>21</v>
      </c>
      <c r="E968" s="5" t="s">
        <v>76</v>
      </c>
      <c r="F968" s="5" t="s">
        <v>37</v>
      </c>
      <c r="G968" t="s">
        <v>2632</v>
      </c>
      <c r="H968" s="5" t="s">
        <v>3674</v>
      </c>
      <c r="I968" s="5" t="s">
        <v>872</v>
      </c>
      <c r="J968" s="5" t="s">
        <v>873</v>
      </c>
      <c r="K968" s="5" t="s">
        <v>73</v>
      </c>
      <c r="L968">
        <v>4</v>
      </c>
      <c r="M968">
        <v>65.97</v>
      </c>
      <c r="N968" s="8">
        <v>3.3</v>
      </c>
      <c r="O968" s="8">
        <v>260.58</v>
      </c>
      <c r="P968" s="8">
        <v>13.03</v>
      </c>
      <c r="Q968" s="10">
        <v>10</v>
      </c>
      <c r="R968" s="10">
        <v>5</v>
      </c>
      <c r="S968" s="8">
        <v>288.61</v>
      </c>
      <c r="T968">
        <v>30</v>
      </c>
      <c r="U968" t="str">
        <f t="shared" si="15"/>
        <v>Monday</v>
      </c>
    </row>
    <row r="969" spans="1:21" x14ac:dyDescent="0.3">
      <c r="A969" s="5" t="s">
        <v>2633</v>
      </c>
      <c r="B969" s="3" t="s">
        <v>3710</v>
      </c>
      <c r="C969" s="5" t="s">
        <v>382</v>
      </c>
      <c r="D969" s="5" t="s">
        <v>21</v>
      </c>
      <c r="E969" s="5" t="s">
        <v>69</v>
      </c>
      <c r="F969" s="5" t="s">
        <v>37</v>
      </c>
      <c r="G969" t="s">
        <v>2634</v>
      </c>
      <c r="H969" s="5" t="s">
        <v>3674</v>
      </c>
      <c r="I969" s="5" t="s">
        <v>877</v>
      </c>
      <c r="J969" s="5" t="s">
        <v>878</v>
      </c>
      <c r="K969" s="5" t="s">
        <v>196</v>
      </c>
      <c r="L969">
        <v>1</v>
      </c>
      <c r="M969">
        <v>95.29</v>
      </c>
      <c r="N969" s="8">
        <v>0</v>
      </c>
      <c r="O969" s="8">
        <v>95.29</v>
      </c>
      <c r="P969" s="8">
        <v>4.76</v>
      </c>
      <c r="Q969" s="10">
        <v>0</v>
      </c>
      <c r="R969" s="10">
        <v>20</v>
      </c>
      <c r="S969" s="8">
        <v>120.05</v>
      </c>
      <c r="T969">
        <v>26</v>
      </c>
      <c r="U969" t="str">
        <f t="shared" si="15"/>
        <v>Monday</v>
      </c>
    </row>
    <row r="970" spans="1:21" x14ac:dyDescent="0.3">
      <c r="A970" s="5" t="s">
        <v>2635</v>
      </c>
      <c r="B970" s="3" t="s">
        <v>3723</v>
      </c>
      <c r="C970" s="5" t="s">
        <v>386</v>
      </c>
      <c r="D970" s="5" t="s">
        <v>21</v>
      </c>
      <c r="E970" s="5" t="s">
        <v>69</v>
      </c>
      <c r="F970" s="5" t="s">
        <v>3671</v>
      </c>
      <c r="G970" t="s">
        <v>2636</v>
      </c>
      <c r="H970" s="5" t="s">
        <v>3677</v>
      </c>
      <c r="I970" s="5" t="s">
        <v>882</v>
      </c>
      <c r="J970" s="5" t="s">
        <v>883</v>
      </c>
      <c r="K970" s="5" t="s">
        <v>45</v>
      </c>
      <c r="L970">
        <v>7</v>
      </c>
      <c r="M970">
        <v>178.33</v>
      </c>
      <c r="N970" s="8">
        <v>8.92</v>
      </c>
      <c r="O970" s="8">
        <v>1239.3900000000001</v>
      </c>
      <c r="P970" s="8">
        <v>61.97</v>
      </c>
      <c r="Q970" s="10">
        <v>30</v>
      </c>
      <c r="R970" s="10">
        <v>10</v>
      </c>
      <c r="S970" s="8">
        <v>1341.36</v>
      </c>
      <c r="T970">
        <v>38</v>
      </c>
      <c r="U970" t="str">
        <f t="shared" si="15"/>
        <v>Monday</v>
      </c>
    </row>
    <row r="971" spans="1:21" x14ac:dyDescent="0.3">
      <c r="A971" s="5" t="s">
        <v>2637</v>
      </c>
      <c r="B971" s="3" t="s">
        <v>3705</v>
      </c>
      <c r="C971" s="5" t="s">
        <v>391</v>
      </c>
      <c r="D971" s="5" t="s">
        <v>21</v>
      </c>
      <c r="E971" s="5" t="s">
        <v>36</v>
      </c>
      <c r="F971" s="5" t="s">
        <v>42</v>
      </c>
      <c r="G971" t="s">
        <v>2638</v>
      </c>
      <c r="H971" s="5" t="s">
        <v>3673</v>
      </c>
      <c r="I971" s="5" t="s">
        <v>887</v>
      </c>
      <c r="J971" s="5" t="s">
        <v>888</v>
      </c>
      <c r="K971" s="5" t="s">
        <v>145</v>
      </c>
      <c r="L971">
        <v>4</v>
      </c>
      <c r="M971">
        <v>114.52</v>
      </c>
      <c r="N971" s="8">
        <v>17.18</v>
      </c>
      <c r="O971" s="8">
        <v>440.9</v>
      </c>
      <c r="P971" s="8">
        <v>22.05</v>
      </c>
      <c r="Q971" s="10">
        <v>30</v>
      </c>
      <c r="R971" s="10">
        <v>20</v>
      </c>
      <c r="S971" s="8">
        <v>512.95000000000005</v>
      </c>
      <c r="T971">
        <v>17</v>
      </c>
      <c r="U971" t="str">
        <f t="shared" si="15"/>
        <v>Tuesday</v>
      </c>
    </row>
    <row r="972" spans="1:21" x14ac:dyDescent="0.3">
      <c r="A972" s="5" t="s">
        <v>2639</v>
      </c>
      <c r="B972" s="3" t="s">
        <v>3722</v>
      </c>
      <c r="C972" s="5" t="s">
        <v>396</v>
      </c>
      <c r="D972" s="5" t="s">
        <v>21</v>
      </c>
      <c r="E972" s="5" t="s">
        <v>76</v>
      </c>
      <c r="F972" s="5" t="s">
        <v>37</v>
      </c>
      <c r="G972" t="s">
        <v>2640</v>
      </c>
      <c r="H972" s="5" t="s">
        <v>3675</v>
      </c>
      <c r="I972" s="5" t="s">
        <v>892</v>
      </c>
      <c r="J972" s="5" t="s">
        <v>893</v>
      </c>
      <c r="K972" s="5" t="s">
        <v>145</v>
      </c>
      <c r="L972">
        <v>2</v>
      </c>
      <c r="M972">
        <v>152.22999999999999</v>
      </c>
      <c r="N972" s="8">
        <v>22.83</v>
      </c>
      <c r="O972" s="8">
        <v>281.63</v>
      </c>
      <c r="P972" s="8">
        <v>14.08</v>
      </c>
      <c r="Q972" s="10">
        <v>30</v>
      </c>
      <c r="R972" s="10">
        <v>5</v>
      </c>
      <c r="S972" s="8">
        <v>330.71</v>
      </c>
      <c r="T972">
        <v>9</v>
      </c>
      <c r="U972" t="str">
        <f t="shared" si="15"/>
        <v>Friday</v>
      </c>
    </row>
    <row r="973" spans="1:21" x14ac:dyDescent="0.3">
      <c r="A973" s="5" t="s">
        <v>2641</v>
      </c>
      <c r="B973" s="3" t="s">
        <v>3733</v>
      </c>
      <c r="C973" s="5" t="s">
        <v>401</v>
      </c>
      <c r="D973" s="5" t="s">
        <v>21</v>
      </c>
      <c r="E973" s="5" t="s">
        <v>112</v>
      </c>
      <c r="F973" s="5" t="s">
        <v>23</v>
      </c>
      <c r="G973" t="s">
        <v>2642</v>
      </c>
      <c r="H973" s="5" t="s">
        <v>100</v>
      </c>
      <c r="I973" s="5" t="s">
        <v>897</v>
      </c>
      <c r="J973" s="5" t="s">
        <v>898</v>
      </c>
      <c r="K973" s="5" t="s">
        <v>40</v>
      </c>
      <c r="L973">
        <v>3</v>
      </c>
      <c r="M973">
        <v>61.75</v>
      </c>
      <c r="N973" s="8">
        <v>3.09</v>
      </c>
      <c r="O973" s="8">
        <v>182.16</v>
      </c>
      <c r="P973" s="8">
        <v>9.11</v>
      </c>
      <c r="Q973" s="10">
        <v>30</v>
      </c>
      <c r="R973" s="10">
        <v>20</v>
      </c>
      <c r="S973" s="8">
        <v>241.27</v>
      </c>
      <c r="T973">
        <v>17</v>
      </c>
      <c r="U973" t="str">
        <f t="shared" si="15"/>
        <v>Sunday</v>
      </c>
    </row>
    <row r="974" spans="1:21" x14ac:dyDescent="0.3">
      <c r="A974" s="5" t="s">
        <v>2643</v>
      </c>
      <c r="B974" s="3" t="s">
        <v>3728</v>
      </c>
      <c r="C974" s="5" t="s">
        <v>406</v>
      </c>
      <c r="D974" s="5" t="s">
        <v>21</v>
      </c>
      <c r="E974" s="5" t="s">
        <v>69</v>
      </c>
      <c r="F974" s="5" t="s">
        <v>23</v>
      </c>
      <c r="G974" t="s">
        <v>2644</v>
      </c>
      <c r="H974" s="5" t="s">
        <v>3673</v>
      </c>
      <c r="I974" s="5" t="s">
        <v>902</v>
      </c>
      <c r="J974" s="5" t="s">
        <v>903</v>
      </c>
      <c r="K974" s="5" t="s">
        <v>145</v>
      </c>
      <c r="L974">
        <v>1</v>
      </c>
      <c r="M974">
        <v>90.95</v>
      </c>
      <c r="N974" s="8">
        <v>9.1</v>
      </c>
      <c r="O974" s="8">
        <v>81.850000000000009</v>
      </c>
      <c r="P974" s="8">
        <v>4.09</v>
      </c>
      <c r="Q974" s="10">
        <v>30</v>
      </c>
      <c r="R974" s="10">
        <v>15</v>
      </c>
      <c r="S974" s="8">
        <v>130.94</v>
      </c>
      <c r="T974">
        <v>34</v>
      </c>
      <c r="U974" t="str">
        <f t="shared" si="15"/>
        <v>Friday</v>
      </c>
    </row>
    <row r="975" spans="1:21" x14ac:dyDescent="0.3">
      <c r="A975" s="5" t="s">
        <v>2645</v>
      </c>
      <c r="B975" s="3" t="s">
        <v>3733</v>
      </c>
      <c r="C975" s="5" t="s">
        <v>411</v>
      </c>
      <c r="D975" s="5" t="s">
        <v>21</v>
      </c>
      <c r="E975" s="5" t="s">
        <v>69</v>
      </c>
      <c r="F975" s="5" t="s">
        <v>3671</v>
      </c>
      <c r="H975" s="5" t="s">
        <v>3677</v>
      </c>
      <c r="I975" s="5" t="s">
        <v>907</v>
      </c>
      <c r="J975" s="5" t="s">
        <v>908</v>
      </c>
      <c r="K975" s="5" t="s">
        <v>28</v>
      </c>
      <c r="L975">
        <v>2</v>
      </c>
      <c r="M975">
        <v>98.97</v>
      </c>
      <c r="N975" s="8">
        <v>14.85</v>
      </c>
      <c r="O975" s="8">
        <v>183.09</v>
      </c>
      <c r="P975" s="8">
        <v>9.15</v>
      </c>
      <c r="Q975" s="10">
        <v>0</v>
      </c>
      <c r="R975" s="10">
        <v>20</v>
      </c>
      <c r="S975" s="8">
        <v>212.24</v>
      </c>
      <c r="T975">
        <v>34</v>
      </c>
      <c r="U975" t="str">
        <f t="shared" si="15"/>
        <v>Sunday</v>
      </c>
    </row>
    <row r="976" spans="1:21" x14ac:dyDescent="0.3">
      <c r="A976" s="5" t="s">
        <v>2646</v>
      </c>
      <c r="B976" s="3" t="s">
        <v>3696</v>
      </c>
      <c r="C976" s="5" t="s">
        <v>416</v>
      </c>
      <c r="D976" s="5" t="s">
        <v>21</v>
      </c>
      <c r="E976" s="5" t="s">
        <v>69</v>
      </c>
      <c r="F976" s="5" t="s">
        <v>37</v>
      </c>
      <c r="G976" t="s">
        <v>2647</v>
      </c>
      <c r="H976" s="5" t="s">
        <v>3676</v>
      </c>
      <c r="I976" s="5" t="s">
        <v>912</v>
      </c>
      <c r="J976" s="5" t="s">
        <v>913</v>
      </c>
      <c r="K976" s="5" t="s">
        <v>103</v>
      </c>
      <c r="L976">
        <v>1</v>
      </c>
      <c r="M976">
        <v>25.59</v>
      </c>
      <c r="N976" s="8">
        <v>0</v>
      </c>
      <c r="O976" s="8">
        <v>25.59</v>
      </c>
      <c r="P976" s="8">
        <v>1.28</v>
      </c>
      <c r="Q976" s="10">
        <v>30</v>
      </c>
      <c r="R976" s="10">
        <v>20</v>
      </c>
      <c r="S976" s="8">
        <v>76.87</v>
      </c>
      <c r="T976">
        <v>12</v>
      </c>
      <c r="U976" t="str">
        <f t="shared" si="15"/>
        <v>Friday</v>
      </c>
    </row>
    <row r="977" spans="1:21" x14ac:dyDescent="0.3">
      <c r="A977" s="5" t="s">
        <v>2648</v>
      </c>
      <c r="B977" s="3" t="s">
        <v>3691</v>
      </c>
      <c r="C977" s="5" t="s">
        <v>421</v>
      </c>
      <c r="D977" s="5" t="s">
        <v>106</v>
      </c>
      <c r="E977" s="5" t="s">
        <v>83</v>
      </c>
      <c r="F977" s="5" t="s">
        <v>23</v>
      </c>
      <c r="G977" t="s">
        <v>2649</v>
      </c>
      <c r="H977" s="5" t="s">
        <v>3677</v>
      </c>
      <c r="I977" s="5" t="s">
        <v>917</v>
      </c>
      <c r="J977" s="5" t="s">
        <v>918</v>
      </c>
      <c r="K977" s="5" t="s">
        <v>196</v>
      </c>
      <c r="L977">
        <v>1</v>
      </c>
      <c r="M977">
        <v>113.92</v>
      </c>
      <c r="N977" s="8">
        <v>5.7</v>
      </c>
      <c r="O977" s="8">
        <v>108.22</v>
      </c>
      <c r="P977" s="8">
        <v>5.41</v>
      </c>
      <c r="Q977" s="10">
        <v>20</v>
      </c>
      <c r="R977" s="10">
        <v>0</v>
      </c>
      <c r="S977" s="8">
        <v>133.63</v>
      </c>
      <c r="T977">
        <v>40</v>
      </c>
      <c r="U977" t="str">
        <f t="shared" si="15"/>
        <v>Friday</v>
      </c>
    </row>
    <row r="978" spans="1:21" x14ac:dyDescent="0.3">
      <c r="A978" s="5" t="s">
        <v>2650</v>
      </c>
      <c r="B978" s="3" t="s">
        <v>3688</v>
      </c>
      <c r="C978" s="5" t="s">
        <v>426</v>
      </c>
      <c r="D978" s="5" t="s">
        <v>21</v>
      </c>
      <c r="E978" s="5" t="s">
        <v>69</v>
      </c>
      <c r="F978" s="5" t="s">
        <v>42</v>
      </c>
      <c r="G978" t="s">
        <v>2651</v>
      </c>
      <c r="H978" s="5" t="s">
        <v>100</v>
      </c>
      <c r="I978" s="5" t="s">
        <v>922</v>
      </c>
      <c r="J978" s="5" t="s">
        <v>923</v>
      </c>
      <c r="K978" s="5" t="s">
        <v>22</v>
      </c>
      <c r="L978">
        <v>3</v>
      </c>
      <c r="M978">
        <v>137.38</v>
      </c>
      <c r="N978" s="8">
        <v>20.61</v>
      </c>
      <c r="O978" s="8">
        <v>391.53</v>
      </c>
      <c r="P978" s="8">
        <v>19.579999999999998</v>
      </c>
      <c r="Q978" s="10">
        <v>20</v>
      </c>
      <c r="R978" s="10">
        <v>15</v>
      </c>
      <c r="S978" s="8">
        <v>446.11</v>
      </c>
      <c r="T978">
        <v>25</v>
      </c>
      <c r="U978" t="str">
        <f t="shared" si="15"/>
        <v>Saturday</v>
      </c>
    </row>
    <row r="979" spans="1:21" x14ac:dyDescent="0.3">
      <c r="A979" s="5" t="s">
        <v>2652</v>
      </c>
      <c r="B979" s="3" t="s">
        <v>3685</v>
      </c>
      <c r="C979" s="5" t="s">
        <v>430</v>
      </c>
      <c r="D979" s="5" t="s">
        <v>21</v>
      </c>
      <c r="E979" s="5" t="s">
        <v>69</v>
      </c>
      <c r="F979" s="5" t="s">
        <v>37</v>
      </c>
      <c r="G979" t="s">
        <v>2653</v>
      </c>
      <c r="H979" s="5" t="s">
        <v>100</v>
      </c>
      <c r="I979" s="5" t="s">
        <v>927</v>
      </c>
      <c r="J979" s="5" t="s">
        <v>928</v>
      </c>
      <c r="K979" s="5" t="s">
        <v>145</v>
      </c>
      <c r="L979">
        <v>5</v>
      </c>
      <c r="M979">
        <v>178.39</v>
      </c>
      <c r="N979" s="8">
        <v>17.84</v>
      </c>
      <c r="O979" s="8">
        <v>874.1099999999999</v>
      </c>
      <c r="P979" s="8">
        <v>43.71</v>
      </c>
      <c r="Q979" s="10">
        <v>30</v>
      </c>
      <c r="R979" s="10">
        <v>20</v>
      </c>
      <c r="S979" s="8">
        <v>967.81999999999994</v>
      </c>
      <c r="T979">
        <v>24</v>
      </c>
      <c r="U979" t="str">
        <f t="shared" si="15"/>
        <v>Thursday</v>
      </c>
    </row>
    <row r="980" spans="1:21" x14ac:dyDescent="0.3">
      <c r="A980" s="5" t="s">
        <v>2654</v>
      </c>
      <c r="B980" s="3" t="s">
        <v>3712</v>
      </c>
      <c r="C980" s="5" t="s">
        <v>435</v>
      </c>
      <c r="D980" s="5" t="s">
        <v>21</v>
      </c>
      <c r="E980" s="5" t="s">
        <v>22</v>
      </c>
      <c r="F980" s="5" t="s">
        <v>42</v>
      </c>
      <c r="G980" t="s">
        <v>2655</v>
      </c>
      <c r="H980" s="5" t="s">
        <v>3677</v>
      </c>
      <c r="I980" s="5" t="s">
        <v>932</v>
      </c>
      <c r="J980" s="5" t="s">
        <v>933</v>
      </c>
      <c r="K980" s="5" t="s">
        <v>196</v>
      </c>
      <c r="L980">
        <v>1</v>
      </c>
      <c r="M980">
        <v>128.69999999999999</v>
      </c>
      <c r="N980" s="8">
        <v>0</v>
      </c>
      <c r="O980" s="8">
        <v>128.69999999999999</v>
      </c>
      <c r="P980" s="8">
        <v>6.43</v>
      </c>
      <c r="Q980" s="10">
        <v>30</v>
      </c>
      <c r="R980" s="10">
        <v>5</v>
      </c>
      <c r="S980" s="8">
        <v>170.13</v>
      </c>
      <c r="T980">
        <v>18</v>
      </c>
      <c r="U980" t="str">
        <f t="shared" si="15"/>
        <v>Thursday</v>
      </c>
    </row>
    <row r="981" spans="1:21" x14ac:dyDescent="0.3">
      <c r="A981" s="5" t="s">
        <v>2656</v>
      </c>
      <c r="B981" s="3" t="s">
        <v>3688</v>
      </c>
      <c r="C981" s="5" t="s">
        <v>440</v>
      </c>
      <c r="D981" s="5" t="s">
        <v>106</v>
      </c>
      <c r="E981" s="5" t="s">
        <v>83</v>
      </c>
      <c r="F981" s="5" t="s">
        <v>23</v>
      </c>
      <c r="G981" t="s">
        <v>2657</v>
      </c>
      <c r="H981" s="5" t="s">
        <v>3674</v>
      </c>
      <c r="I981" s="5" t="s">
        <v>937</v>
      </c>
      <c r="J981" s="5" t="s">
        <v>938</v>
      </c>
      <c r="K981" s="5" t="s">
        <v>196</v>
      </c>
      <c r="L981">
        <v>4</v>
      </c>
      <c r="M981">
        <v>94.18</v>
      </c>
      <c r="N981" s="8">
        <v>14.13</v>
      </c>
      <c r="O981" s="8">
        <v>362.59</v>
      </c>
      <c r="P981" s="8">
        <v>18.13</v>
      </c>
      <c r="Q981" s="10">
        <v>20</v>
      </c>
      <c r="R981" s="10">
        <v>0</v>
      </c>
      <c r="S981" s="8">
        <v>400.72</v>
      </c>
      <c r="T981">
        <v>21</v>
      </c>
      <c r="U981" t="str">
        <f t="shared" si="15"/>
        <v>Saturday</v>
      </c>
    </row>
    <row r="982" spans="1:21" x14ac:dyDescent="0.3">
      <c r="A982" s="5" t="s">
        <v>2658</v>
      </c>
      <c r="B982" s="3" t="s">
        <v>3712</v>
      </c>
      <c r="C982" s="5" t="s">
        <v>445</v>
      </c>
      <c r="D982" s="5" t="s">
        <v>82</v>
      </c>
      <c r="E982" s="5" t="s">
        <v>83</v>
      </c>
      <c r="F982" s="5" t="s">
        <v>37</v>
      </c>
      <c r="G982" t="s">
        <v>2659</v>
      </c>
      <c r="H982" s="5" t="s">
        <v>3673</v>
      </c>
      <c r="I982" s="5" t="s">
        <v>942</v>
      </c>
      <c r="J982" s="5" t="s">
        <v>943</v>
      </c>
      <c r="K982" s="5" t="s">
        <v>28</v>
      </c>
      <c r="L982">
        <v>5</v>
      </c>
      <c r="M982">
        <v>93.45</v>
      </c>
      <c r="N982" s="8">
        <v>14.02</v>
      </c>
      <c r="O982" s="8">
        <v>453.23</v>
      </c>
      <c r="P982" s="8">
        <v>22.66</v>
      </c>
      <c r="Q982" s="10">
        <v>0</v>
      </c>
      <c r="R982" s="10">
        <v>10</v>
      </c>
      <c r="S982" s="8">
        <v>485.89</v>
      </c>
      <c r="T982">
        <v>21</v>
      </c>
      <c r="U982" t="str">
        <f t="shared" si="15"/>
        <v>Thursday</v>
      </c>
    </row>
    <row r="983" spans="1:21" x14ac:dyDescent="0.3">
      <c r="A983" s="5" t="s">
        <v>2660</v>
      </c>
      <c r="B983" s="3" t="s">
        <v>3727</v>
      </c>
      <c r="C983" s="5" t="s">
        <v>450</v>
      </c>
      <c r="D983" s="5" t="s">
        <v>21</v>
      </c>
      <c r="E983" s="5" t="s">
        <v>76</v>
      </c>
      <c r="F983" s="5" t="s">
        <v>42</v>
      </c>
      <c r="G983" t="s">
        <v>2661</v>
      </c>
      <c r="H983" s="5" t="s">
        <v>25</v>
      </c>
      <c r="I983" s="5" t="s">
        <v>947</v>
      </c>
      <c r="J983" s="5" t="s">
        <v>948</v>
      </c>
      <c r="K983" s="5" t="s">
        <v>40</v>
      </c>
      <c r="L983">
        <v>5</v>
      </c>
      <c r="M983">
        <v>28.37</v>
      </c>
      <c r="N983" s="8">
        <v>1.42</v>
      </c>
      <c r="O983" s="8">
        <v>140.43</v>
      </c>
      <c r="P983" s="8">
        <v>7.02</v>
      </c>
      <c r="Q983" s="10">
        <v>10</v>
      </c>
      <c r="R983" s="10">
        <v>0</v>
      </c>
      <c r="S983" s="8">
        <v>157.44999999999999</v>
      </c>
      <c r="T983">
        <v>15</v>
      </c>
      <c r="U983" t="str">
        <f t="shared" si="15"/>
        <v>Friday</v>
      </c>
    </row>
    <row r="984" spans="1:21" x14ac:dyDescent="0.3">
      <c r="A984" s="5" t="s">
        <v>2662</v>
      </c>
      <c r="B984" s="3" t="s">
        <v>3727</v>
      </c>
      <c r="C984" s="5" t="s">
        <v>455</v>
      </c>
      <c r="D984" s="5" t="s">
        <v>21</v>
      </c>
      <c r="E984" s="5" t="s">
        <v>76</v>
      </c>
      <c r="F984" s="5" t="s">
        <v>23</v>
      </c>
      <c r="G984" t="s">
        <v>2663</v>
      </c>
      <c r="H984" s="5" t="s">
        <v>3675</v>
      </c>
      <c r="I984" s="5" t="s">
        <v>952</v>
      </c>
      <c r="J984" s="5" t="s">
        <v>953</v>
      </c>
      <c r="K984" s="5" t="s">
        <v>103</v>
      </c>
      <c r="L984">
        <v>4</v>
      </c>
      <c r="M984">
        <v>218.99</v>
      </c>
      <c r="N984" s="8">
        <v>0</v>
      </c>
      <c r="O984" s="8">
        <v>875.96</v>
      </c>
      <c r="P984" s="8">
        <v>43.8</v>
      </c>
      <c r="Q984" s="10">
        <v>0</v>
      </c>
      <c r="R984" s="10">
        <v>20</v>
      </c>
      <c r="S984" s="8">
        <v>939.76</v>
      </c>
      <c r="T984">
        <v>17</v>
      </c>
      <c r="U984" t="str">
        <f t="shared" si="15"/>
        <v>Friday</v>
      </c>
    </row>
    <row r="985" spans="1:21" x14ac:dyDescent="0.3">
      <c r="A985" s="5" t="s">
        <v>2664</v>
      </c>
      <c r="B985" s="3" t="s">
        <v>3684</v>
      </c>
      <c r="C985" s="5" t="s">
        <v>459</v>
      </c>
      <c r="D985" s="5" t="s">
        <v>21</v>
      </c>
      <c r="E985" s="5" t="s">
        <v>36</v>
      </c>
      <c r="F985" s="5" t="s">
        <v>42</v>
      </c>
      <c r="G985" t="s">
        <v>2665</v>
      </c>
      <c r="H985" s="5" t="s">
        <v>3673</v>
      </c>
      <c r="I985" s="5" t="s">
        <v>957</v>
      </c>
      <c r="J985" s="5" t="s">
        <v>958</v>
      </c>
      <c r="K985" s="5" t="s">
        <v>73</v>
      </c>
      <c r="L985">
        <v>1</v>
      </c>
      <c r="M985">
        <v>24.13</v>
      </c>
      <c r="N985" s="8">
        <v>3.62</v>
      </c>
      <c r="O985" s="8">
        <v>20.51</v>
      </c>
      <c r="P985" s="8">
        <v>1.03</v>
      </c>
      <c r="Q985" s="10">
        <v>10</v>
      </c>
      <c r="R985" s="10">
        <v>10</v>
      </c>
      <c r="S985" s="8">
        <v>41.54</v>
      </c>
      <c r="T985">
        <v>22</v>
      </c>
      <c r="U985" t="str">
        <f t="shared" si="15"/>
        <v>Sunday</v>
      </c>
    </row>
    <row r="986" spans="1:21" x14ac:dyDescent="0.3">
      <c r="A986" s="5" t="s">
        <v>2666</v>
      </c>
      <c r="B986" s="3" t="s">
        <v>3722</v>
      </c>
      <c r="C986" s="5" t="s">
        <v>463</v>
      </c>
      <c r="D986" s="5" t="s">
        <v>21</v>
      </c>
      <c r="E986" s="5" t="s">
        <v>112</v>
      </c>
      <c r="F986" s="5" t="s">
        <v>37</v>
      </c>
      <c r="G986" t="s">
        <v>2667</v>
      </c>
      <c r="H986" s="5" t="s">
        <v>3677</v>
      </c>
      <c r="I986" s="5" t="s">
        <v>962</v>
      </c>
      <c r="J986" s="5" t="s">
        <v>963</v>
      </c>
      <c r="K986" s="5" t="s">
        <v>103</v>
      </c>
      <c r="L986">
        <v>5</v>
      </c>
      <c r="M986">
        <v>51.77</v>
      </c>
      <c r="N986" s="8">
        <v>0</v>
      </c>
      <c r="O986" s="8">
        <v>258.85000000000002</v>
      </c>
      <c r="P986" s="8">
        <v>12.94</v>
      </c>
      <c r="Q986" s="10">
        <v>30</v>
      </c>
      <c r="R986" s="10">
        <v>5</v>
      </c>
      <c r="S986" s="8">
        <v>306.79000000000002</v>
      </c>
      <c r="T986">
        <v>16</v>
      </c>
      <c r="U986" t="str">
        <f t="shared" si="15"/>
        <v>Friday</v>
      </c>
    </row>
    <row r="987" spans="1:21" x14ac:dyDescent="0.3">
      <c r="A987" s="5" t="s">
        <v>2668</v>
      </c>
      <c r="B987" s="3" t="s">
        <v>3682</v>
      </c>
      <c r="C987" s="5" t="s">
        <v>468</v>
      </c>
      <c r="D987" s="5" t="s">
        <v>21</v>
      </c>
      <c r="E987" s="5" t="s">
        <v>112</v>
      </c>
      <c r="F987" s="5" t="s">
        <v>23</v>
      </c>
      <c r="G987" t="s">
        <v>2669</v>
      </c>
      <c r="H987" s="5" t="s">
        <v>3675</v>
      </c>
      <c r="I987" s="5" t="s">
        <v>967</v>
      </c>
      <c r="J987" s="5" t="s">
        <v>968</v>
      </c>
      <c r="K987" s="5" t="s">
        <v>34</v>
      </c>
      <c r="L987">
        <v>3</v>
      </c>
      <c r="M987">
        <v>143.01</v>
      </c>
      <c r="N987" s="8">
        <v>21.45</v>
      </c>
      <c r="O987" s="8">
        <v>407.58</v>
      </c>
      <c r="P987" s="8">
        <v>20.38</v>
      </c>
      <c r="Q987" s="10">
        <v>20</v>
      </c>
      <c r="R987" s="10">
        <v>0</v>
      </c>
      <c r="S987" s="8">
        <v>447.96</v>
      </c>
      <c r="T987">
        <v>19</v>
      </c>
      <c r="U987" t="str">
        <f t="shared" si="15"/>
        <v>Tuesday</v>
      </c>
    </row>
    <row r="988" spans="1:21" x14ac:dyDescent="0.3">
      <c r="A988" s="5" t="s">
        <v>2670</v>
      </c>
      <c r="B988" s="3" t="s">
        <v>3717</v>
      </c>
      <c r="C988" s="5" t="s">
        <v>473</v>
      </c>
      <c r="D988" s="5" t="s">
        <v>21</v>
      </c>
      <c r="E988" s="5" t="s">
        <v>76</v>
      </c>
      <c r="F988" s="5" t="s">
        <v>37</v>
      </c>
      <c r="G988" t="s">
        <v>2671</v>
      </c>
      <c r="H988" s="5" t="s">
        <v>3673</v>
      </c>
      <c r="I988" s="5" t="s">
        <v>972</v>
      </c>
      <c r="J988" s="5" t="s">
        <v>973</v>
      </c>
      <c r="K988" s="5" t="s">
        <v>145</v>
      </c>
      <c r="L988">
        <v>1</v>
      </c>
      <c r="M988">
        <v>16.73</v>
      </c>
      <c r="N988" s="8">
        <v>2.5099999999999998</v>
      </c>
      <c r="O988" s="8">
        <v>14.22</v>
      </c>
      <c r="P988" s="8">
        <v>0.71</v>
      </c>
      <c r="Q988" s="10">
        <v>10</v>
      </c>
      <c r="R988" s="10">
        <v>5</v>
      </c>
      <c r="S988" s="8">
        <v>29.93</v>
      </c>
      <c r="T988">
        <v>15</v>
      </c>
      <c r="U988" t="str">
        <f t="shared" si="15"/>
        <v>Tuesday</v>
      </c>
    </row>
    <row r="989" spans="1:21" x14ac:dyDescent="0.3">
      <c r="A989" s="5" t="s">
        <v>2672</v>
      </c>
      <c r="B989" s="3" t="s">
        <v>3714</v>
      </c>
      <c r="C989" s="5" t="s">
        <v>478</v>
      </c>
      <c r="D989" s="5" t="s">
        <v>106</v>
      </c>
      <c r="E989" s="5" t="s">
        <v>83</v>
      </c>
      <c r="F989" s="5" t="s">
        <v>42</v>
      </c>
      <c r="G989" t="s">
        <v>2673</v>
      </c>
      <c r="H989" s="5" t="s">
        <v>3675</v>
      </c>
      <c r="I989" s="5" t="s">
        <v>977</v>
      </c>
      <c r="J989" s="5" t="s">
        <v>978</v>
      </c>
      <c r="K989" s="5" t="s">
        <v>40</v>
      </c>
      <c r="L989">
        <v>1</v>
      </c>
      <c r="M989">
        <v>182.18</v>
      </c>
      <c r="N989" s="8">
        <v>9.11</v>
      </c>
      <c r="O989" s="8">
        <v>173.07</v>
      </c>
      <c r="P989" s="8">
        <v>8.65</v>
      </c>
      <c r="Q989" s="10">
        <v>20</v>
      </c>
      <c r="R989" s="10">
        <v>5</v>
      </c>
      <c r="S989" s="8">
        <v>206.72</v>
      </c>
      <c r="T989">
        <v>27</v>
      </c>
      <c r="U989" t="str">
        <f t="shared" si="15"/>
        <v>Thursday</v>
      </c>
    </row>
    <row r="990" spans="1:21" x14ac:dyDescent="0.3">
      <c r="A990" s="5" t="s">
        <v>2674</v>
      </c>
      <c r="B990" s="3" t="s">
        <v>3737</v>
      </c>
      <c r="C990" s="5" t="s">
        <v>483</v>
      </c>
      <c r="D990" s="5" t="s">
        <v>21</v>
      </c>
      <c r="E990" s="5" t="s">
        <v>36</v>
      </c>
      <c r="F990" s="5" t="s">
        <v>23</v>
      </c>
      <c r="G990" t="s">
        <v>2675</v>
      </c>
      <c r="H990" s="5" t="s">
        <v>100</v>
      </c>
      <c r="I990" s="5" t="s">
        <v>982</v>
      </c>
      <c r="J990" s="5" t="s">
        <v>983</v>
      </c>
      <c r="K990" s="5" t="s">
        <v>145</v>
      </c>
      <c r="L990">
        <v>3</v>
      </c>
      <c r="M990">
        <v>175.92</v>
      </c>
      <c r="N990" s="8">
        <v>0</v>
      </c>
      <c r="O990" s="8">
        <v>527.76</v>
      </c>
      <c r="P990" s="8">
        <v>26.39</v>
      </c>
      <c r="Q990" s="10">
        <v>0</v>
      </c>
      <c r="R990" s="10">
        <v>20</v>
      </c>
      <c r="S990" s="8">
        <v>574.15</v>
      </c>
      <c r="T990">
        <v>35</v>
      </c>
      <c r="U990" t="str">
        <f t="shared" si="15"/>
        <v>Saturday</v>
      </c>
    </row>
    <row r="991" spans="1:21" x14ac:dyDescent="0.3">
      <c r="A991" s="5" t="s">
        <v>2676</v>
      </c>
      <c r="B991" s="3" t="s">
        <v>3732</v>
      </c>
      <c r="C991" s="5" t="s">
        <v>488</v>
      </c>
      <c r="D991" s="5" t="s">
        <v>106</v>
      </c>
      <c r="E991" s="5" t="s">
        <v>83</v>
      </c>
      <c r="F991" s="5" t="s">
        <v>42</v>
      </c>
      <c r="G991" t="s">
        <v>2677</v>
      </c>
      <c r="H991" s="5" t="s">
        <v>3673</v>
      </c>
      <c r="I991" s="5" t="s">
        <v>987</v>
      </c>
      <c r="J991" s="5" t="s">
        <v>988</v>
      </c>
      <c r="K991" s="5" t="s">
        <v>40</v>
      </c>
      <c r="L991">
        <v>4</v>
      </c>
      <c r="M991">
        <v>50.78</v>
      </c>
      <c r="N991" s="8">
        <v>2.54</v>
      </c>
      <c r="O991" s="8">
        <v>200.58</v>
      </c>
      <c r="P991" s="8">
        <v>10.029999999999999</v>
      </c>
      <c r="Q991" s="10">
        <v>20</v>
      </c>
      <c r="R991" s="10">
        <v>5</v>
      </c>
      <c r="S991" s="8">
        <v>235.61</v>
      </c>
      <c r="T991">
        <v>0</v>
      </c>
      <c r="U991" t="str">
        <f t="shared" si="15"/>
        <v>Wednesday</v>
      </c>
    </row>
    <row r="992" spans="1:21" x14ac:dyDescent="0.3">
      <c r="A992" s="5" t="s">
        <v>2678</v>
      </c>
      <c r="B992" s="3" t="s">
        <v>3709</v>
      </c>
      <c r="C992" s="5" t="s">
        <v>493</v>
      </c>
      <c r="D992" s="5" t="s">
        <v>21</v>
      </c>
      <c r="E992" s="5" t="s">
        <v>22</v>
      </c>
      <c r="F992" s="5" t="s">
        <v>37</v>
      </c>
      <c r="G992" t="s">
        <v>2679</v>
      </c>
      <c r="H992" s="5" t="s">
        <v>3673</v>
      </c>
      <c r="I992" s="5" t="s">
        <v>992</v>
      </c>
      <c r="J992" s="5" t="s">
        <v>993</v>
      </c>
      <c r="K992" s="5" t="s">
        <v>45</v>
      </c>
      <c r="L992">
        <v>6</v>
      </c>
      <c r="M992">
        <v>145.33000000000001</v>
      </c>
      <c r="N992" s="8">
        <v>0</v>
      </c>
      <c r="O992" s="8">
        <v>871.98</v>
      </c>
      <c r="P992" s="8">
        <v>43.6</v>
      </c>
      <c r="Q992" s="10">
        <v>30</v>
      </c>
      <c r="R992" s="10">
        <v>5</v>
      </c>
      <c r="S992" s="8">
        <v>950.58</v>
      </c>
      <c r="T992">
        <v>40</v>
      </c>
      <c r="U992" t="str">
        <f t="shared" si="15"/>
        <v>Thursday</v>
      </c>
    </row>
    <row r="993" spans="1:21" x14ac:dyDescent="0.3">
      <c r="A993" s="5" t="s">
        <v>2680</v>
      </c>
      <c r="B993" s="3" t="s">
        <v>3730</v>
      </c>
      <c r="C993" s="5" t="s">
        <v>498</v>
      </c>
      <c r="D993" s="5" t="s">
        <v>21</v>
      </c>
      <c r="E993" s="5" t="s">
        <v>22</v>
      </c>
      <c r="F993" s="5" t="s">
        <v>42</v>
      </c>
      <c r="G993" t="s">
        <v>2681</v>
      </c>
      <c r="H993" s="5" t="s">
        <v>3673</v>
      </c>
      <c r="I993" s="5" t="s">
        <v>997</v>
      </c>
      <c r="J993" s="5" t="s">
        <v>998</v>
      </c>
      <c r="K993" s="5" t="s">
        <v>73</v>
      </c>
      <c r="L993">
        <v>1</v>
      </c>
      <c r="M993">
        <v>100.96</v>
      </c>
      <c r="N993" s="8">
        <v>10.1</v>
      </c>
      <c r="O993" s="8">
        <v>90.86</v>
      </c>
      <c r="P993" s="8">
        <v>4.54</v>
      </c>
      <c r="Q993" s="10">
        <v>20</v>
      </c>
      <c r="R993" s="10">
        <v>5</v>
      </c>
      <c r="S993" s="8">
        <v>120.4</v>
      </c>
      <c r="T993">
        <v>16</v>
      </c>
      <c r="U993" t="str">
        <f t="shared" si="15"/>
        <v>Friday</v>
      </c>
    </row>
    <row r="994" spans="1:21" x14ac:dyDescent="0.3">
      <c r="A994" s="5" t="s">
        <v>2682</v>
      </c>
      <c r="B994" s="3" t="s">
        <v>3734</v>
      </c>
      <c r="C994" s="5" t="s">
        <v>503</v>
      </c>
      <c r="D994" s="5" t="s">
        <v>21</v>
      </c>
      <c r="E994" s="5" t="s">
        <v>112</v>
      </c>
      <c r="F994" s="5" t="s">
        <v>42</v>
      </c>
      <c r="G994" t="s">
        <v>2683</v>
      </c>
      <c r="H994" s="5" t="s">
        <v>3677</v>
      </c>
      <c r="I994" s="5" t="s">
        <v>1002</v>
      </c>
      <c r="J994" s="5" t="s">
        <v>1003</v>
      </c>
      <c r="K994" s="5" t="s">
        <v>45</v>
      </c>
      <c r="L994">
        <v>4</v>
      </c>
      <c r="M994">
        <v>139.46</v>
      </c>
      <c r="N994" s="8">
        <v>0</v>
      </c>
      <c r="O994" s="8">
        <v>557.84</v>
      </c>
      <c r="P994" s="8">
        <v>27.89</v>
      </c>
      <c r="Q994" s="10">
        <v>0</v>
      </c>
      <c r="R994" s="10">
        <v>0</v>
      </c>
      <c r="S994" s="8">
        <v>585.73</v>
      </c>
      <c r="T994">
        <v>47</v>
      </c>
      <c r="U994" t="str">
        <f t="shared" si="15"/>
        <v>Monday</v>
      </c>
    </row>
    <row r="995" spans="1:21" x14ac:dyDescent="0.3">
      <c r="A995" s="5" t="s">
        <v>2684</v>
      </c>
      <c r="B995" s="3" t="s">
        <v>3716</v>
      </c>
      <c r="C995" s="5" t="s">
        <v>508</v>
      </c>
      <c r="D995" s="5" t="s">
        <v>21</v>
      </c>
      <c r="E995" s="5" t="s">
        <v>36</v>
      </c>
      <c r="F995" s="5" t="s">
        <v>37</v>
      </c>
      <c r="G995" t="s">
        <v>2685</v>
      </c>
      <c r="H995" s="5" t="s">
        <v>100</v>
      </c>
      <c r="I995" s="5" t="s">
        <v>1007</v>
      </c>
      <c r="J995" s="5" t="s">
        <v>1008</v>
      </c>
      <c r="K995" s="5" t="s">
        <v>196</v>
      </c>
      <c r="L995">
        <v>1</v>
      </c>
      <c r="M995">
        <v>92.95</v>
      </c>
      <c r="N995" s="8">
        <v>13.94</v>
      </c>
      <c r="O995" s="8">
        <v>79.010000000000005</v>
      </c>
      <c r="P995" s="8">
        <v>3.95</v>
      </c>
      <c r="Q995" s="10">
        <v>20</v>
      </c>
      <c r="R995" s="10">
        <v>15</v>
      </c>
      <c r="S995" s="8">
        <v>117.96</v>
      </c>
      <c r="T995">
        <v>25</v>
      </c>
      <c r="U995" t="str">
        <f t="shared" si="15"/>
        <v>Saturday</v>
      </c>
    </row>
    <row r="996" spans="1:21" x14ac:dyDescent="0.3">
      <c r="A996" s="5" t="s">
        <v>2686</v>
      </c>
      <c r="B996" s="3" t="s">
        <v>3732</v>
      </c>
      <c r="C996" s="5" t="s">
        <v>513</v>
      </c>
      <c r="D996" s="5" t="s">
        <v>21</v>
      </c>
      <c r="E996" s="5" t="s">
        <v>112</v>
      </c>
      <c r="F996" s="5" t="s">
        <v>42</v>
      </c>
      <c r="G996" t="s">
        <v>2687</v>
      </c>
      <c r="H996" s="5" t="s">
        <v>3677</v>
      </c>
      <c r="I996" s="5" t="s">
        <v>1012</v>
      </c>
      <c r="J996" s="5" t="s">
        <v>1013</v>
      </c>
      <c r="K996" s="5" t="s">
        <v>56</v>
      </c>
      <c r="L996">
        <v>1</v>
      </c>
      <c r="M996">
        <v>115.37</v>
      </c>
      <c r="N996" s="8">
        <v>0</v>
      </c>
      <c r="O996" s="8">
        <v>115.37</v>
      </c>
      <c r="P996" s="8">
        <v>5.77</v>
      </c>
      <c r="Q996" s="10">
        <v>0</v>
      </c>
      <c r="R996" s="10">
        <v>0</v>
      </c>
      <c r="S996" s="8">
        <v>121.14</v>
      </c>
      <c r="T996">
        <v>18</v>
      </c>
      <c r="U996" t="str">
        <f t="shared" si="15"/>
        <v>Wednesday</v>
      </c>
    </row>
    <row r="997" spans="1:21" x14ac:dyDescent="0.3">
      <c r="A997" s="5" t="s">
        <v>2688</v>
      </c>
      <c r="B997" s="3" t="s">
        <v>3701</v>
      </c>
      <c r="C997" s="5" t="s">
        <v>518</v>
      </c>
      <c r="D997" s="5" t="s">
        <v>82</v>
      </c>
      <c r="E997" s="5" t="s">
        <v>83</v>
      </c>
      <c r="F997" s="5" t="s">
        <v>37</v>
      </c>
      <c r="G997" t="s">
        <v>2689</v>
      </c>
      <c r="H997" s="5" t="s">
        <v>3673</v>
      </c>
      <c r="I997" s="5" t="s">
        <v>1017</v>
      </c>
      <c r="J997" s="5" t="s">
        <v>1018</v>
      </c>
      <c r="K997" s="5" t="s">
        <v>45</v>
      </c>
      <c r="L997">
        <v>1</v>
      </c>
      <c r="M997">
        <v>139.07</v>
      </c>
      <c r="N997" s="8">
        <v>13.91</v>
      </c>
      <c r="O997" s="8">
        <v>125.16</v>
      </c>
      <c r="P997" s="8">
        <v>6.26</v>
      </c>
      <c r="Q997" s="10">
        <v>20</v>
      </c>
      <c r="R997" s="10">
        <v>15</v>
      </c>
      <c r="S997" s="8">
        <v>166.42</v>
      </c>
      <c r="T997">
        <v>24.67</v>
      </c>
      <c r="U997" t="str">
        <f t="shared" si="15"/>
        <v>Tuesday</v>
      </c>
    </row>
    <row r="998" spans="1:21" x14ac:dyDescent="0.3">
      <c r="A998" s="5" t="s">
        <v>2690</v>
      </c>
      <c r="B998" s="3" t="s">
        <v>3690</v>
      </c>
      <c r="C998" s="5" t="s">
        <v>523</v>
      </c>
      <c r="D998" s="5" t="s">
        <v>21</v>
      </c>
      <c r="E998" s="5" t="s">
        <v>76</v>
      </c>
      <c r="F998" s="5" t="s">
        <v>37</v>
      </c>
      <c r="G998" t="s">
        <v>2691</v>
      </c>
      <c r="H998" s="5" t="s">
        <v>25</v>
      </c>
      <c r="I998" s="5" t="s">
        <v>1022</v>
      </c>
      <c r="J998" s="5" t="s">
        <v>1023</v>
      </c>
      <c r="K998" s="5" t="s">
        <v>45</v>
      </c>
      <c r="L998">
        <v>4</v>
      </c>
      <c r="M998">
        <v>160.81</v>
      </c>
      <c r="N998" s="8">
        <v>24.12</v>
      </c>
      <c r="O998" s="8">
        <v>619.12</v>
      </c>
      <c r="P998" s="8">
        <v>30.96</v>
      </c>
      <c r="Q998" s="10">
        <v>30</v>
      </c>
      <c r="R998" s="10">
        <v>0</v>
      </c>
      <c r="S998" s="8">
        <v>680.08</v>
      </c>
      <c r="T998">
        <v>24.67</v>
      </c>
      <c r="U998" t="str">
        <f t="shared" si="15"/>
        <v>Sunday</v>
      </c>
    </row>
    <row r="999" spans="1:21" x14ac:dyDescent="0.3">
      <c r="A999" s="5" t="s">
        <v>2692</v>
      </c>
      <c r="B999" s="3" t="s">
        <v>3735</v>
      </c>
      <c r="C999" s="5" t="s">
        <v>528</v>
      </c>
      <c r="D999" s="5" t="s">
        <v>21</v>
      </c>
      <c r="E999" s="5" t="s">
        <v>22</v>
      </c>
      <c r="F999" s="5" t="s">
        <v>23</v>
      </c>
      <c r="G999" t="s">
        <v>2693</v>
      </c>
      <c r="H999" s="5" t="s">
        <v>3676</v>
      </c>
      <c r="I999" s="5" t="s">
        <v>1027</v>
      </c>
      <c r="J999" s="5" t="s">
        <v>1028</v>
      </c>
      <c r="K999" s="5" t="s">
        <v>28</v>
      </c>
      <c r="L999">
        <v>5</v>
      </c>
      <c r="M999">
        <v>146.72999999999999</v>
      </c>
      <c r="N999" s="8">
        <v>7.34</v>
      </c>
      <c r="O999" s="8">
        <v>726.31</v>
      </c>
      <c r="P999" s="8">
        <v>36.32</v>
      </c>
      <c r="Q999" s="10">
        <v>0</v>
      </c>
      <c r="R999" s="10">
        <v>5</v>
      </c>
      <c r="S999" s="8">
        <v>767.63</v>
      </c>
      <c r="T999">
        <v>17</v>
      </c>
      <c r="U999" t="str">
        <f t="shared" si="15"/>
        <v>Saturday</v>
      </c>
    </row>
    <row r="1000" spans="1:21" x14ac:dyDescent="0.3">
      <c r="A1000" s="5" t="s">
        <v>2694</v>
      </c>
      <c r="B1000" s="3" t="s">
        <v>3726</v>
      </c>
      <c r="C1000" s="5" t="s">
        <v>533</v>
      </c>
      <c r="D1000" s="5" t="s">
        <v>21</v>
      </c>
      <c r="E1000" s="5" t="s">
        <v>36</v>
      </c>
      <c r="F1000" s="5" t="s">
        <v>23</v>
      </c>
      <c r="G1000" t="s">
        <v>2695</v>
      </c>
      <c r="H1000" s="5" t="s">
        <v>3674</v>
      </c>
      <c r="I1000" s="5" t="s">
        <v>26</v>
      </c>
      <c r="J1000" s="5" t="s">
        <v>27</v>
      </c>
      <c r="K1000" s="5" t="s">
        <v>22</v>
      </c>
      <c r="L1000">
        <v>4</v>
      </c>
      <c r="M1000">
        <v>88.46</v>
      </c>
      <c r="N1000" s="8">
        <v>8.85</v>
      </c>
      <c r="O1000" s="8">
        <v>344.99</v>
      </c>
      <c r="P1000" s="8">
        <v>17.25</v>
      </c>
      <c r="Q1000" s="10">
        <v>20</v>
      </c>
      <c r="R1000" s="10">
        <v>20</v>
      </c>
      <c r="S1000" s="8">
        <v>402.24</v>
      </c>
      <c r="T1000">
        <v>24.67</v>
      </c>
      <c r="U1000" t="str">
        <f t="shared" si="15"/>
        <v>Monday</v>
      </c>
    </row>
    <row r="1001" spans="1:21" x14ac:dyDescent="0.3">
      <c r="A1001" s="5" t="s">
        <v>2696</v>
      </c>
      <c r="B1001" s="3" t="s">
        <v>3705</v>
      </c>
      <c r="C1001" s="5" t="s">
        <v>538</v>
      </c>
      <c r="D1001" s="5" t="s">
        <v>21</v>
      </c>
      <c r="E1001" s="5" t="s">
        <v>22</v>
      </c>
      <c r="F1001" s="5" t="s">
        <v>37</v>
      </c>
      <c r="G1001" t="s">
        <v>2697</v>
      </c>
      <c r="H1001" s="5" t="s">
        <v>3675</v>
      </c>
      <c r="I1001" s="5" t="s">
        <v>32</v>
      </c>
      <c r="J1001" s="5" t="s">
        <v>33</v>
      </c>
      <c r="K1001" s="5" t="s">
        <v>45</v>
      </c>
      <c r="L1001">
        <v>3</v>
      </c>
      <c r="M1001">
        <v>112.5</v>
      </c>
      <c r="N1001" s="8">
        <v>5.62</v>
      </c>
      <c r="O1001" s="8">
        <v>331.88</v>
      </c>
      <c r="P1001" s="8">
        <v>16.59</v>
      </c>
      <c r="Q1001" s="10">
        <v>30</v>
      </c>
      <c r="R1001" s="10">
        <v>20</v>
      </c>
      <c r="S1001" s="8">
        <v>398.47</v>
      </c>
      <c r="T1001">
        <v>24.67</v>
      </c>
      <c r="U1001" t="str">
        <f t="shared" si="15"/>
        <v>Tuesday</v>
      </c>
    </row>
    <row r="1002" spans="1:21" x14ac:dyDescent="0.3">
      <c r="A1002" s="5" t="s">
        <v>2698</v>
      </c>
      <c r="B1002" s="3" t="s">
        <v>3728</v>
      </c>
      <c r="C1002" s="5" t="s">
        <v>542</v>
      </c>
      <c r="D1002" s="5" t="s">
        <v>21</v>
      </c>
      <c r="E1002" s="5" t="s">
        <v>76</v>
      </c>
      <c r="F1002" s="5" t="s">
        <v>37</v>
      </c>
      <c r="G1002" t="s">
        <v>2699</v>
      </c>
      <c r="H1002" s="5" t="s">
        <v>3673</v>
      </c>
      <c r="I1002" s="5" t="s">
        <v>38</v>
      </c>
      <c r="J1002" s="5" t="s">
        <v>39</v>
      </c>
      <c r="K1002" s="5" t="s">
        <v>145</v>
      </c>
      <c r="L1002">
        <v>1</v>
      </c>
      <c r="M1002">
        <v>54.47</v>
      </c>
      <c r="N1002" s="8">
        <v>8.17</v>
      </c>
      <c r="O1002" s="8">
        <v>46.3</v>
      </c>
      <c r="P1002" s="8">
        <v>2.31</v>
      </c>
      <c r="Q1002" s="10">
        <v>0</v>
      </c>
      <c r="R1002" s="10">
        <v>0</v>
      </c>
      <c r="S1002" s="8">
        <v>48.61</v>
      </c>
      <c r="T1002">
        <v>26</v>
      </c>
      <c r="U1002" t="str">
        <f t="shared" si="15"/>
        <v>Friday</v>
      </c>
    </row>
    <row r="1003" spans="1:21" x14ac:dyDescent="0.3">
      <c r="A1003" s="5" t="s">
        <v>2700</v>
      </c>
      <c r="B1003" s="3" t="s">
        <v>3681</v>
      </c>
      <c r="C1003" s="5" t="s">
        <v>547</v>
      </c>
      <c r="D1003" s="5" t="s">
        <v>21</v>
      </c>
      <c r="E1003" s="5" t="s">
        <v>76</v>
      </c>
      <c r="F1003" s="5" t="s">
        <v>42</v>
      </c>
      <c r="G1003" t="s">
        <v>2701</v>
      </c>
      <c r="H1003" s="5" t="s">
        <v>25</v>
      </c>
      <c r="I1003" s="5" t="s">
        <v>43</v>
      </c>
      <c r="J1003" s="5" t="s">
        <v>44</v>
      </c>
      <c r="K1003" s="5" t="s">
        <v>145</v>
      </c>
      <c r="L1003">
        <v>1</v>
      </c>
      <c r="M1003">
        <v>146.31</v>
      </c>
      <c r="N1003" s="8">
        <v>0</v>
      </c>
      <c r="O1003" s="8">
        <v>146.31</v>
      </c>
      <c r="P1003" s="8">
        <v>7.32</v>
      </c>
      <c r="Q1003" s="10">
        <v>20</v>
      </c>
      <c r="R1003" s="10">
        <v>0</v>
      </c>
      <c r="S1003" s="8">
        <v>173.63</v>
      </c>
      <c r="T1003">
        <v>21</v>
      </c>
      <c r="U1003" t="str">
        <f t="shared" si="15"/>
        <v>Wednesday</v>
      </c>
    </row>
    <row r="1004" spans="1:21" x14ac:dyDescent="0.3">
      <c r="A1004" s="5" t="s">
        <v>2702</v>
      </c>
      <c r="B1004" s="3" t="s">
        <v>3678</v>
      </c>
      <c r="C1004" s="5" t="s">
        <v>552</v>
      </c>
      <c r="D1004" s="5" t="s">
        <v>21</v>
      </c>
      <c r="E1004" s="5" t="s">
        <v>76</v>
      </c>
      <c r="F1004" s="5" t="s">
        <v>37</v>
      </c>
      <c r="G1004" t="s">
        <v>2703</v>
      </c>
      <c r="H1004" s="5" t="s">
        <v>100</v>
      </c>
      <c r="I1004" s="5" t="s">
        <v>49</v>
      </c>
      <c r="J1004" s="5" t="s">
        <v>50</v>
      </c>
      <c r="K1004" s="5" t="s">
        <v>45</v>
      </c>
      <c r="L1004">
        <v>8</v>
      </c>
      <c r="M1004">
        <v>22.3</v>
      </c>
      <c r="N1004" s="8">
        <v>0</v>
      </c>
      <c r="O1004" s="8">
        <v>178.4</v>
      </c>
      <c r="P1004" s="8">
        <v>8.92</v>
      </c>
      <c r="Q1004" s="10">
        <v>10</v>
      </c>
      <c r="R1004" s="10">
        <v>5</v>
      </c>
      <c r="S1004" s="8">
        <v>202.32</v>
      </c>
      <c r="T1004">
        <v>45</v>
      </c>
      <c r="U1004" t="str">
        <f t="shared" si="15"/>
        <v>Saturday</v>
      </c>
    </row>
    <row r="1005" spans="1:21" x14ac:dyDescent="0.3">
      <c r="A1005" s="5" t="s">
        <v>2704</v>
      </c>
      <c r="B1005" s="3" t="s">
        <v>3719</v>
      </c>
      <c r="C1005" s="5" t="s">
        <v>557</v>
      </c>
      <c r="D1005" s="5" t="s">
        <v>21</v>
      </c>
      <c r="E1005" s="5" t="s">
        <v>76</v>
      </c>
      <c r="F1005" s="5" t="s">
        <v>42</v>
      </c>
      <c r="G1005" t="s">
        <v>2705</v>
      </c>
      <c r="H1005" s="5" t="s">
        <v>3677</v>
      </c>
      <c r="I1005" s="5" t="s">
        <v>54</v>
      </c>
      <c r="J1005" s="5" t="s">
        <v>55</v>
      </c>
      <c r="K1005" s="5" t="s">
        <v>103</v>
      </c>
      <c r="L1005">
        <v>4</v>
      </c>
      <c r="M1005">
        <v>141.66999999999999</v>
      </c>
      <c r="N1005" s="8">
        <v>21.25</v>
      </c>
      <c r="O1005" s="8">
        <v>545.42999999999995</v>
      </c>
      <c r="P1005" s="8">
        <v>27.27</v>
      </c>
      <c r="Q1005" s="10">
        <v>10</v>
      </c>
      <c r="R1005" s="10">
        <v>10</v>
      </c>
      <c r="S1005" s="8">
        <v>592.69999999999993</v>
      </c>
      <c r="T1005">
        <v>32</v>
      </c>
      <c r="U1005" t="str">
        <f t="shared" si="15"/>
        <v>Sunday</v>
      </c>
    </row>
    <row r="1006" spans="1:21" x14ac:dyDescent="0.3">
      <c r="A1006" s="5" t="s">
        <v>2706</v>
      </c>
      <c r="B1006" s="3" t="s">
        <v>3683</v>
      </c>
      <c r="C1006" s="5" t="s">
        <v>562</v>
      </c>
      <c r="D1006" s="5" t="s">
        <v>106</v>
      </c>
      <c r="E1006" s="5" t="s">
        <v>83</v>
      </c>
      <c r="F1006" s="5" t="s">
        <v>23</v>
      </c>
      <c r="G1006" t="s">
        <v>2707</v>
      </c>
      <c r="H1006" s="5" t="s">
        <v>3677</v>
      </c>
      <c r="I1006" s="5" t="s">
        <v>60</v>
      </c>
      <c r="J1006" s="5" t="s">
        <v>61</v>
      </c>
      <c r="K1006" s="5" t="s">
        <v>28</v>
      </c>
      <c r="L1006">
        <v>5</v>
      </c>
      <c r="M1006">
        <v>83.55</v>
      </c>
      <c r="N1006" s="8">
        <v>12.53</v>
      </c>
      <c r="O1006" s="8">
        <v>405.22</v>
      </c>
      <c r="P1006" s="8">
        <v>20.260000000000002</v>
      </c>
      <c r="Q1006" s="10">
        <v>30</v>
      </c>
      <c r="R1006" s="10">
        <v>0</v>
      </c>
      <c r="S1006" s="8">
        <v>455.48</v>
      </c>
      <c r="T1006">
        <v>20</v>
      </c>
      <c r="U1006" t="str">
        <f t="shared" si="15"/>
        <v>Thursday</v>
      </c>
    </row>
    <row r="1007" spans="1:21" x14ac:dyDescent="0.3">
      <c r="A1007" s="5" t="s">
        <v>2708</v>
      </c>
      <c r="B1007" s="3" t="s">
        <v>3726</v>
      </c>
      <c r="C1007" s="5" t="s">
        <v>567</v>
      </c>
      <c r="D1007" s="5" t="s">
        <v>21</v>
      </c>
      <c r="E1007" s="5" t="s">
        <v>76</v>
      </c>
      <c r="F1007" s="5" t="s">
        <v>37</v>
      </c>
      <c r="G1007" t="s">
        <v>2709</v>
      </c>
      <c r="H1007" s="5" t="s">
        <v>100</v>
      </c>
      <c r="I1007" s="5" t="s">
        <v>65</v>
      </c>
      <c r="J1007" s="5" t="s">
        <v>66</v>
      </c>
      <c r="K1007" s="5" t="s">
        <v>56</v>
      </c>
      <c r="L1007">
        <v>5</v>
      </c>
      <c r="M1007">
        <v>95.26</v>
      </c>
      <c r="N1007" s="8">
        <v>9.5299999999999994</v>
      </c>
      <c r="O1007" s="8">
        <v>466.77</v>
      </c>
      <c r="P1007" s="8">
        <v>23.34</v>
      </c>
      <c r="Q1007" s="10">
        <v>10</v>
      </c>
      <c r="R1007" s="10">
        <v>10</v>
      </c>
      <c r="S1007" s="8">
        <v>510.11</v>
      </c>
      <c r="T1007">
        <v>30</v>
      </c>
      <c r="U1007" t="str">
        <f t="shared" si="15"/>
        <v>Monday</v>
      </c>
    </row>
    <row r="1008" spans="1:21" x14ac:dyDescent="0.3">
      <c r="A1008" s="5" t="s">
        <v>2710</v>
      </c>
      <c r="B1008" s="3" t="s">
        <v>3724</v>
      </c>
      <c r="C1008" s="5" t="s">
        <v>572</v>
      </c>
      <c r="D1008" s="5" t="s">
        <v>21</v>
      </c>
      <c r="E1008" s="5" t="s">
        <v>69</v>
      </c>
      <c r="F1008" s="5" t="s">
        <v>42</v>
      </c>
      <c r="G1008" t="s">
        <v>2711</v>
      </c>
      <c r="H1008" s="5" t="s">
        <v>3673</v>
      </c>
      <c r="I1008" s="5" t="s">
        <v>71</v>
      </c>
      <c r="J1008" s="5" t="s">
        <v>72</v>
      </c>
      <c r="K1008" s="5" t="s">
        <v>145</v>
      </c>
      <c r="L1008">
        <v>4</v>
      </c>
      <c r="M1008">
        <v>162.94</v>
      </c>
      <c r="N1008" s="8">
        <v>0</v>
      </c>
      <c r="O1008" s="8">
        <v>651.76</v>
      </c>
      <c r="P1008" s="8">
        <v>32.590000000000003</v>
      </c>
      <c r="Q1008" s="10">
        <v>0</v>
      </c>
      <c r="R1008" s="10">
        <v>0</v>
      </c>
      <c r="S1008" s="8">
        <v>684.35</v>
      </c>
      <c r="T1008">
        <v>26</v>
      </c>
      <c r="U1008" t="str">
        <f t="shared" si="15"/>
        <v>Sunday</v>
      </c>
    </row>
    <row r="1009" spans="1:21" x14ac:dyDescent="0.3">
      <c r="A1009" s="5" t="s">
        <v>2712</v>
      </c>
      <c r="B1009" s="3" t="s">
        <v>3724</v>
      </c>
      <c r="C1009" s="5" t="s">
        <v>577</v>
      </c>
      <c r="D1009" s="5" t="s">
        <v>21</v>
      </c>
      <c r="E1009" s="5" t="s">
        <v>69</v>
      </c>
      <c r="F1009" s="5" t="s">
        <v>42</v>
      </c>
      <c r="G1009" t="s">
        <v>2713</v>
      </c>
      <c r="H1009" s="5" t="s">
        <v>3673</v>
      </c>
      <c r="I1009" s="5" t="s">
        <v>78</v>
      </c>
      <c r="J1009" s="5" t="s">
        <v>79</v>
      </c>
      <c r="K1009" s="5" t="s">
        <v>28</v>
      </c>
      <c r="L1009">
        <v>2</v>
      </c>
      <c r="M1009">
        <v>45.54</v>
      </c>
      <c r="N1009" s="8">
        <v>2.2799999999999998</v>
      </c>
      <c r="O1009" s="8">
        <v>88.8</v>
      </c>
      <c r="P1009" s="8">
        <v>4.4400000000000004</v>
      </c>
      <c r="Q1009" s="10">
        <v>10</v>
      </c>
      <c r="R1009" s="10">
        <v>10</v>
      </c>
      <c r="S1009" s="8">
        <v>113.24</v>
      </c>
      <c r="T1009">
        <v>15</v>
      </c>
      <c r="U1009" t="str">
        <f t="shared" si="15"/>
        <v>Sunday</v>
      </c>
    </row>
    <row r="1010" spans="1:21" x14ac:dyDescent="0.3">
      <c r="A1010" s="5" t="s">
        <v>2714</v>
      </c>
      <c r="B1010" s="3" t="s">
        <v>3691</v>
      </c>
      <c r="C1010" s="5" t="s">
        <v>582</v>
      </c>
      <c r="D1010" s="5" t="s">
        <v>21</v>
      </c>
      <c r="E1010" s="5" t="s">
        <v>112</v>
      </c>
      <c r="F1010" s="5" t="s">
        <v>37</v>
      </c>
      <c r="G1010" t="s">
        <v>2715</v>
      </c>
      <c r="H1010" s="5" t="s">
        <v>3674</v>
      </c>
      <c r="I1010" s="5" t="s">
        <v>85</v>
      </c>
      <c r="J1010" s="5" t="s">
        <v>86</v>
      </c>
      <c r="K1010" s="5" t="s">
        <v>196</v>
      </c>
      <c r="L1010">
        <v>1</v>
      </c>
      <c r="M1010">
        <v>15.64</v>
      </c>
      <c r="N1010" s="8">
        <v>0</v>
      </c>
      <c r="O1010" s="8">
        <v>15.64</v>
      </c>
      <c r="P1010" s="8">
        <v>0.78</v>
      </c>
      <c r="Q1010" s="10">
        <v>20</v>
      </c>
      <c r="R1010" s="10">
        <v>10</v>
      </c>
      <c r="S1010" s="8">
        <v>46.42</v>
      </c>
      <c r="T1010">
        <v>14</v>
      </c>
      <c r="U1010" t="str">
        <f t="shared" si="15"/>
        <v>Friday</v>
      </c>
    </row>
    <row r="1011" spans="1:21" x14ac:dyDescent="0.3">
      <c r="A1011" s="5" t="s">
        <v>2716</v>
      </c>
      <c r="B1011" s="3" t="s">
        <v>3703</v>
      </c>
      <c r="C1011" s="5" t="s">
        <v>587</v>
      </c>
      <c r="D1011" s="5" t="s">
        <v>21</v>
      </c>
      <c r="E1011" s="5" t="s">
        <v>112</v>
      </c>
      <c r="F1011" s="5" t="s">
        <v>23</v>
      </c>
      <c r="G1011" t="s">
        <v>2717</v>
      </c>
      <c r="H1011" s="5" t="s">
        <v>3675</v>
      </c>
      <c r="I1011" s="5" t="s">
        <v>90</v>
      </c>
      <c r="J1011" s="5" t="s">
        <v>91</v>
      </c>
      <c r="K1011" s="5" t="s">
        <v>45</v>
      </c>
      <c r="L1011">
        <v>3</v>
      </c>
      <c r="M1011">
        <v>83.11</v>
      </c>
      <c r="N1011" s="8">
        <v>12.47</v>
      </c>
      <c r="O1011" s="8">
        <v>236.86</v>
      </c>
      <c r="P1011" s="8">
        <v>11.84</v>
      </c>
      <c r="Q1011" s="10">
        <v>30</v>
      </c>
      <c r="R1011" s="10">
        <v>0</v>
      </c>
      <c r="S1011" s="8">
        <v>278.7</v>
      </c>
      <c r="T1011">
        <v>24.67</v>
      </c>
      <c r="U1011" t="str">
        <f t="shared" si="15"/>
        <v>Friday</v>
      </c>
    </row>
    <row r="1012" spans="1:21" x14ac:dyDescent="0.3">
      <c r="A1012" s="5" t="s">
        <v>2718</v>
      </c>
      <c r="B1012" s="3" t="s">
        <v>3718</v>
      </c>
      <c r="C1012" s="5" t="s">
        <v>592</v>
      </c>
      <c r="D1012" s="5" t="s">
        <v>21</v>
      </c>
      <c r="E1012" s="5" t="s">
        <v>69</v>
      </c>
      <c r="F1012" s="5" t="s">
        <v>42</v>
      </c>
      <c r="G1012" t="s">
        <v>2719</v>
      </c>
      <c r="H1012" s="5" t="s">
        <v>3676</v>
      </c>
      <c r="I1012" s="5" t="s">
        <v>95</v>
      </c>
      <c r="J1012" s="5" t="s">
        <v>96</v>
      </c>
      <c r="K1012" s="5" t="s">
        <v>22</v>
      </c>
      <c r="L1012">
        <v>8</v>
      </c>
      <c r="M1012">
        <v>184.54</v>
      </c>
      <c r="N1012" s="8">
        <v>9.23</v>
      </c>
      <c r="O1012" s="8">
        <v>1467.09</v>
      </c>
      <c r="P1012" s="8">
        <v>73.349999999999994</v>
      </c>
      <c r="Q1012" s="10">
        <v>0</v>
      </c>
      <c r="R1012" s="10">
        <v>15</v>
      </c>
      <c r="S1012" s="8">
        <v>1555.44</v>
      </c>
      <c r="T1012">
        <v>19</v>
      </c>
      <c r="U1012" t="str">
        <f t="shared" si="15"/>
        <v>Wednesday</v>
      </c>
    </row>
    <row r="1013" spans="1:21" x14ac:dyDescent="0.3">
      <c r="A1013" s="5" t="s">
        <v>2720</v>
      </c>
      <c r="B1013" s="3" t="s">
        <v>3699</v>
      </c>
      <c r="C1013" s="5" t="s">
        <v>597</v>
      </c>
      <c r="D1013" s="5" t="s">
        <v>21</v>
      </c>
      <c r="E1013" s="5" t="s">
        <v>36</v>
      </c>
      <c r="F1013" s="5" t="s">
        <v>42</v>
      </c>
      <c r="G1013" t="s">
        <v>2721</v>
      </c>
      <c r="H1013" s="5" t="s">
        <v>100</v>
      </c>
      <c r="I1013" s="5" t="s">
        <v>101</v>
      </c>
      <c r="J1013" s="5" t="s">
        <v>102</v>
      </c>
      <c r="K1013" s="5" t="s">
        <v>28</v>
      </c>
      <c r="L1013">
        <v>2</v>
      </c>
      <c r="M1013">
        <v>152.44999999999999</v>
      </c>
      <c r="N1013" s="8">
        <v>7.62</v>
      </c>
      <c r="O1013" s="8">
        <v>297.27999999999997</v>
      </c>
      <c r="P1013" s="8">
        <v>14.86</v>
      </c>
      <c r="Q1013" s="10">
        <v>30</v>
      </c>
      <c r="R1013" s="10">
        <v>10</v>
      </c>
      <c r="S1013" s="8">
        <v>352.14</v>
      </c>
      <c r="T1013">
        <v>33</v>
      </c>
      <c r="U1013" t="str">
        <f t="shared" si="15"/>
        <v>Sunday</v>
      </c>
    </row>
    <row r="1014" spans="1:21" x14ac:dyDescent="0.3">
      <c r="A1014" s="5" t="s">
        <v>2722</v>
      </c>
      <c r="B1014" s="3" t="s">
        <v>3732</v>
      </c>
      <c r="C1014" s="5" t="s">
        <v>602</v>
      </c>
      <c r="D1014" s="5" t="s">
        <v>106</v>
      </c>
      <c r="E1014" s="5" t="s">
        <v>83</v>
      </c>
      <c r="F1014" s="5" t="s">
        <v>42</v>
      </c>
      <c r="G1014" t="s">
        <v>2723</v>
      </c>
      <c r="H1014" s="5" t="s">
        <v>3675</v>
      </c>
      <c r="I1014" s="5" t="s">
        <v>108</v>
      </c>
      <c r="J1014" s="5" t="s">
        <v>109</v>
      </c>
      <c r="K1014" s="5" t="s">
        <v>196</v>
      </c>
      <c r="L1014">
        <v>1</v>
      </c>
      <c r="M1014">
        <v>29.88</v>
      </c>
      <c r="N1014" s="8">
        <v>0</v>
      </c>
      <c r="O1014" s="8">
        <v>29.88</v>
      </c>
      <c r="P1014" s="8">
        <v>1.49</v>
      </c>
      <c r="Q1014" s="10">
        <v>30</v>
      </c>
      <c r="R1014" s="10">
        <v>0</v>
      </c>
      <c r="S1014" s="8">
        <v>61.37</v>
      </c>
      <c r="T1014">
        <v>31</v>
      </c>
      <c r="U1014" t="str">
        <f t="shared" si="15"/>
        <v>Wednesday</v>
      </c>
    </row>
    <row r="1015" spans="1:21" x14ac:dyDescent="0.3">
      <c r="A1015" s="5" t="s">
        <v>2724</v>
      </c>
      <c r="B1015" s="3" t="s">
        <v>3724</v>
      </c>
      <c r="C1015" s="5" t="s">
        <v>607</v>
      </c>
      <c r="D1015" s="5" t="s">
        <v>21</v>
      </c>
      <c r="E1015" s="5" t="s">
        <v>69</v>
      </c>
      <c r="F1015" s="5" t="s">
        <v>37</v>
      </c>
      <c r="G1015" t="s">
        <v>2725</v>
      </c>
      <c r="H1015" s="5" t="s">
        <v>3674</v>
      </c>
      <c r="I1015" s="5" t="s">
        <v>114</v>
      </c>
      <c r="J1015" s="5" t="s">
        <v>115</v>
      </c>
      <c r="K1015" s="5" t="s">
        <v>45</v>
      </c>
      <c r="L1015">
        <v>2</v>
      </c>
      <c r="M1015">
        <v>115.91</v>
      </c>
      <c r="N1015" s="8">
        <v>11.59</v>
      </c>
      <c r="O1015" s="8">
        <v>220.23</v>
      </c>
      <c r="P1015" s="8">
        <v>11.01</v>
      </c>
      <c r="Q1015" s="10">
        <v>10</v>
      </c>
      <c r="R1015" s="10">
        <v>20</v>
      </c>
      <c r="S1015" s="8">
        <v>261.24</v>
      </c>
      <c r="T1015">
        <v>27</v>
      </c>
      <c r="U1015" t="str">
        <f t="shared" si="15"/>
        <v>Sunday</v>
      </c>
    </row>
    <row r="1016" spans="1:21" x14ac:dyDescent="0.3">
      <c r="A1016" s="5" t="s">
        <v>2726</v>
      </c>
      <c r="B1016" s="3" t="s">
        <v>3694</v>
      </c>
      <c r="C1016" s="5" t="s">
        <v>612</v>
      </c>
      <c r="D1016" s="5" t="s">
        <v>21</v>
      </c>
      <c r="E1016" s="5" t="s">
        <v>69</v>
      </c>
      <c r="F1016" s="5" t="s">
        <v>42</v>
      </c>
      <c r="G1016" t="s">
        <v>2727</v>
      </c>
      <c r="H1016" s="5" t="s">
        <v>3673</v>
      </c>
      <c r="I1016" s="5" t="s">
        <v>119</v>
      </c>
      <c r="J1016" s="5" t="s">
        <v>120</v>
      </c>
      <c r="K1016" s="5" t="s">
        <v>73</v>
      </c>
      <c r="L1016">
        <v>4</v>
      </c>
      <c r="M1016">
        <v>163.69</v>
      </c>
      <c r="N1016" s="8">
        <v>24.55</v>
      </c>
      <c r="O1016" s="8">
        <v>630.21</v>
      </c>
      <c r="P1016" s="8">
        <v>31.51</v>
      </c>
      <c r="Q1016" s="10">
        <v>0</v>
      </c>
      <c r="R1016" s="10">
        <v>20</v>
      </c>
      <c r="S1016" s="8">
        <v>681.72</v>
      </c>
      <c r="T1016">
        <v>15</v>
      </c>
      <c r="U1016" t="str">
        <f t="shared" si="15"/>
        <v>Thursday</v>
      </c>
    </row>
    <row r="1017" spans="1:21" x14ac:dyDescent="0.3">
      <c r="A1017" s="5" t="s">
        <v>2728</v>
      </c>
      <c r="B1017" s="3" t="s">
        <v>3733</v>
      </c>
      <c r="C1017" s="5" t="s">
        <v>617</v>
      </c>
      <c r="D1017" s="5" t="s">
        <v>21</v>
      </c>
      <c r="E1017" s="5" t="s">
        <v>112</v>
      </c>
      <c r="F1017" s="5" t="s">
        <v>23</v>
      </c>
      <c r="H1017" s="5" t="s">
        <v>100</v>
      </c>
      <c r="I1017" s="5" t="s">
        <v>124</v>
      </c>
      <c r="J1017" s="5" t="s">
        <v>125</v>
      </c>
      <c r="K1017" s="5" t="s">
        <v>45</v>
      </c>
      <c r="L1017">
        <v>4</v>
      </c>
      <c r="M1017">
        <v>141.02000000000001</v>
      </c>
      <c r="N1017" s="8">
        <v>21.15</v>
      </c>
      <c r="O1017" s="8">
        <v>542.93000000000006</v>
      </c>
      <c r="P1017" s="8">
        <v>27.15</v>
      </c>
      <c r="Q1017" s="10">
        <v>30</v>
      </c>
      <c r="R1017" s="10">
        <v>5</v>
      </c>
      <c r="S1017" s="8">
        <v>605.08000000000004</v>
      </c>
      <c r="T1017">
        <v>24.67</v>
      </c>
      <c r="U1017" t="str">
        <f t="shared" si="15"/>
        <v>Sunday</v>
      </c>
    </row>
    <row r="1018" spans="1:21" x14ac:dyDescent="0.3">
      <c r="A1018" s="5" t="s">
        <v>2729</v>
      </c>
      <c r="B1018" s="3" t="s">
        <v>3695</v>
      </c>
      <c r="C1018" s="5" t="s">
        <v>622</v>
      </c>
      <c r="D1018" s="5" t="s">
        <v>21</v>
      </c>
      <c r="E1018" s="5" t="s">
        <v>112</v>
      </c>
      <c r="F1018" s="5" t="s">
        <v>3671</v>
      </c>
      <c r="G1018" t="s">
        <v>2730</v>
      </c>
      <c r="H1018" s="5" t="s">
        <v>3673</v>
      </c>
      <c r="I1018" s="5" t="s">
        <v>129</v>
      </c>
      <c r="J1018" s="5" t="s">
        <v>130</v>
      </c>
      <c r="K1018" s="5" t="s">
        <v>28</v>
      </c>
      <c r="L1018">
        <v>1</v>
      </c>
      <c r="M1018">
        <v>119.72</v>
      </c>
      <c r="N1018" s="8">
        <v>0</v>
      </c>
      <c r="O1018" s="8">
        <v>119.72</v>
      </c>
      <c r="P1018" s="8">
        <v>5.99</v>
      </c>
      <c r="Q1018" s="10">
        <v>20</v>
      </c>
      <c r="R1018" s="10">
        <v>0</v>
      </c>
      <c r="S1018" s="8">
        <v>145.71</v>
      </c>
      <c r="T1018">
        <v>24.67</v>
      </c>
      <c r="U1018" t="str">
        <f t="shared" si="15"/>
        <v>Thursday</v>
      </c>
    </row>
    <row r="1019" spans="1:21" x14ac:dyDescent="0.3">
      <c r="A1019" s="5" t="s">
        <v>2731</v>
      </c>
      <c r="B1019" s="3" t="s">
        <v>3695</v>
      </c>
      <c r="C1019" s="5" t="s">
        <v>627</v>
      </c>
      <c r="D1019" s="5" t="s">
        <v>21</v>
      </c>
      <c r="E1019" s="5" t="s">
        <v>36</v>
      </c>
      <c r="F1019" s="5" t="s">
        <v>42</v>
      </c>
      <c r="G1019" t="s">
        <v>2732</v>
      </c>
      <c r="H1019" s="5" t="s">
        <v>3677</v>
      </c>
      <c r="I1019" s="5" t="s">
        <v>133</v>
      </c>
      <c r="J1019" s="5" t="s">
        <v>134</v>
      </c>
      <c r="K1019" s="5" t="s">
        <v>28</v>
      </c>
      <c r="L1019">
        <v>3</v>
      </c>
      <c r="M1019">
        <v>120.46</v>
      </c>
      <c r="N1019" s="8">
        <v>6.02</v>
      </c>
      <c r="O1019" s="8">
        <v>355.36</v>
      </c>
      <c r="P1019" s="8">
        <v>17.77</v>
      </c>
      <c r="Q1019" s="10">
        <v>0</v>
      </c>
      <c r="R1019" s="10">
        <v>0</v>
      </c>
      <c r="S1019" s="8">
        <v>373.13</v>
      </c>
      <c r="T1019">
        <v>42</v>
      </c>
      <c r="U1019" t="str">
        <f t="shared" si="15"/>
        <v>Thursday</v>
      </c>
    </row>
    <row r="1020" spans="1:21" x14ac:dyDescent="0.3">
      <c r="A1020" s="5" t="s">
        <v>2733</v>
      </c>
      <c r="B1020" s="3" t="s">
        <v>3703</v>
      </c>
      <c r="C1020" s="5" t="s">
        <v>632</v>
      </c>
      <c r="D1020" s="5" t="s">
        <v>21</v>
      </c>
      <c r="E1020" s="5" t="s">
        <v>69</v>
      </c>
      <c r="F1020" s="5" t="s">
        <v>42</v>
      </c>
      <c r="G1020" t="s">
        <v>2734</v>
      </c>
      <c r="H1020" s="5" t="s">
        <v>25</v>
      </c>
      <c r="I1020" s="5" t="s">
        <v>138</v>
      </c>
      <c r="J1020" s="5" t="s">
        <v>139</v>
      </c>
      <c r="K1020" s="5" t="s">
        <v>196</v>
      </c>
      <c r="L1020">
        <v>1</v>
      </c>
      <c r="M1020">
        <v>1.19</v>
      </c>
      <c r="N1020" s="8">
        <v>0.18</v>
      </c>
      <c r="O1020" s="8">
        <v>1.01</v>
      </c>
      <c r="P1020" s="8">
        <v>0.05</v>
      </c>
      <c r="Q1020" s="10">
        <v>10</v>
      </c>
      <c r="R1020" s="10">
        <v>5</v>
      </c>
      <c r="S1020" s="8">
        <v>16.059999999999999</v>
      </c>
      <c r="T1020">
        <v>22</v>
      </c>
      <c r="U1020" t="str">
        <f t="shared" si="15"/>
        <v>Friday</v>
      </c>
    </row>
    <row r="1021" spans="1:21" x14ac:dyDescent="0.3">
      <c r="A1021" s="5" t="s">
        <v>2735</v>
      </c>
      <c r="B1021" s="3" t="s">
        <v>3711</v>
      </c>
      <c r="C1021" s="5" t="s">
        <v>637</v>
      </c>
      <c r="D1021" s="5" t="s">
        <v>21</v>
      </c>
      <c r="E1021" s="5" t="s">
        <v>22</v>
      </c>
      <c r="F1021" s="5" t="s">
        <v>23</v>
      </c>
      <c r="G1021" t="s">
        <v>2736</v>
      </c>
      <c r="H1021" s="5" t="s">
        <v>3675</v>
      </c>
      <c r="I1021" s="5" t="s">
        <v>143</v>
      </c>
      <c r="J1021" s="5" t="s">
        <v>144</v>
      </c>
      <c r="K1021" s="5" t="s">
        <v>73</v>
      </c>
      <c r="L1021">
        <v>5</v>
      </c>
      <c r="M1021">
        <v>270.87</v>
      </c>
      <c r="N1021" s="8">
        <v>40.630000000000003</v>
      </c>
      <c r="O1021" s="8">
        <v>1313.72</v>
      </c>
      <c r="P1021" s="8">
        <v>65.69</v>
      </c>
      <c r="Q1021" s="10">
        <v>0</v>
      </c>
      <c r="R1021" s="10">
        <v>20</v>
      </c>
      <c r="S1021" s="8">
        <v>1399.41</v>
      </c>
      <c r="T1021">
        <v>33</v>
      </c>
      <c r="U1021" t="str">
        <f t="shared" si="15"/>
        <v>Wednesday</v>
      </c>
    </row>
    <row r="1022" spans="1:21" x14ac:dyDescent="0.3">
      <c r="A1022" s="5" t="s">
        <v>2737</v>
      </c>
      <c r="B1022" s="3" t="s">
        <v>3722</v>
      </c>
      <c r="C1022" s="5" t="s">
        <v>642</v>
      </c>
      <c r="D1022" s="5" t="s">
        <v>106</v>
      </c>
      <c r="E1022" s="5" t="s">
        <v>83</v>
      </c>
      <c r="F1022" s="5" t="s">
        <v>42</v>
      </c>
      <c r="G1022" t="s">
        <v>2738</v>
      </c>
      <c r="H1022" s="5" t="s">
        <v>100</v>
      </c>
      <c r="I1022" s="5" t="s">
        <v>149</v>
      </c>
      <c r="J1022" s="5" t="s">
        <v>150</v>
      </c>
      <c r="K1022" s="5" t="s">
        <v>73</v>
      </c>
      <c r="L1022">
        <v>4</v>
      </c>
      <c r="M1022">
        <v>175.37</v>
      </c>
      <c r="N1022" s="8">
        <v>8.77</v>
      </c>
      <c r="O1022" s="8">
        <v>692.71</v>
      </c>
      <c r="P1022" s="8">
        <v>34.64</v>
      </c>
      <c r="Q1022" s="10">
        <v>20</v>
      </c>
      <c r="R1022" s="10">
        <v>0</v>
      </c>
      <c r="S1022" s="8">
        <v>747.35</v>
      </c>
      <c r="T1022">
        <v>20</v>
      </c>
      <c r="U1022" t="str">
        <f t="shared" si="15"/>
        <v>Friday</v>
      </c>
    </row>
    <row r="1023" spans="1:21" x14ac:dyDescent="0.3">
      <c r="A1023" s="5" t="s">
        <v>2739</v>
      </c>
      <c r="B1023" s="3" t="s">
        <v>3729</v>
      </c>
      <c r="C1023" s="5" t="s">
        <v>647</v>
      </c>
      <c r="D1023" s="5" t="s">
        <v>21</v>
      </c>
      <c r="E1023" s="5" t="s">
        <v>36</v>
      </c>
      <c r="F1023" s="5" t="s">
        <v>42</v>
      </c>
      <c r="G1023" t="s">
        <v>2740</v>
      </c>
      <c r="H1023" s="5" t="s">
        <v>3673</v>
      </c>
      <c r="I1023" s="5" t="s">
        <v>154</v>
      </c>
      <c r="J1023" s="5" t="s">
        <v>155</v>
      </c>
      <c r="K1023" s="5" t="s">
        <v>40</v>
      </c>
      <c r="L1023">
        <v>2</v>
      </c>
      <c r="M1023">
        <v>112.16</v>
      </c>
      <c r="N1023" s="8">
        <v>0</v>
      </c>
      <c r="O1023" s="8">
        <v>224.32</v>
      </c>
      <c r="P1023" s="8">
        <v>11.22</v>
      </c>
      <c r="Q1023" s="10">
        <v>10</v>
      </c>
      <c r="R1023" s="10">
        <v>0</v>
      </c>
      <c r="S1023" s="8">
        <v>245.54</v>
      </c>
      <c r="T1023">
        <v>30</v>
      </c>
      <c r="U1023" t="str">
        <f t="shared" si="15"/>
        <v>Monday</v>
      </c>
    </row>
    <row r="1024" spans="1:21" x14ac:dyDescent="0.3">
      <c r="A1024" s="5" t="s">
        <v>2741</v>
      </c>
      <c r="B1024" s="3" t="s">
        <v>3708</v>
      </c>
      <c r="C1024" s="5" t="s">
        <v>652</v>
      </c>
      <c r="D1024" s="5" t="s">
        <v>21</v>
      </c>
      <c r="E1024" s="5" t="s">
        <v>76</v>
      </c>
      <c r="F1024" s="5" t="s">
        <v>42</v>
      </c>
      <c r="G1024" t="s">
        <v>2742</v>
      </c>
      <c r="H1024" s="5" t="s">
        <v>3673</v>
      </c>
      <c r="I1024" s="5" t="s">
        <v>159</v>
      </c>
      <c r="J1024" s="5" t="s">
        <v>160</v>
      </c>
      <c r="K1024" s="5" t="s">
        <v>40</v>
      </c>
      <c r="L1024">
        <v>1</v>
      </c>
      <c r="M1024">
        <v>123.86</v>
      </c>
      <c r="N1024" s="8">
        <v>12.39</v>
      </c>
      <c r="O1024" s="8">
        <v>111.47</v>
      </c>
      <c r="P1024" s="8">
        <v>5.57</v>
      </c>
      <c r="Q1024" s="10">
        <v>0</v>
      </c>
      <c r="R1024" s="10">
        <v>15</v>
      </c>
      <c r="S1024" s="8">
        <v>132.04</v>
      </c>
      <c r="T1024">
        <v>19</v>
      </c>
      <c r="U1024" t="str">
        <f t="shared" si="15"/>
        <v>Sunday</v>
      </c>
    </row>
    <row r="1025" spans="1:21" x14ac:dyDescent="0.3">
      <c r="A1025" s="5" t="s">
        <v>2743</v>
      </c>
      <c r="B1025" s="3" t="s">
        <v>3685</v>
      </c>
      <c r="C1025" s="5" t="s">
        <v>657</v>
      </c>
      <c r="D1025" s="5" t="s">
        <v>21</v>
      </c>
      <c r="E1025" s="5" t="s">
        <v>69</v>
      </c>
      <c r="F1025" s="5" t="s">
        <v>37</v>
      </c>
      <c r="G1025" t="s">
        <v>2744</v>
      </c>
      <c r="H1025" s="5" t="s">
        <v>3673</v>
      </c>
      <c r="I1025" s="5" t="s">
        <v>164</v>
      </c>
      <c r="J1025" s="5" t="s">
        <v>165</v>
      </c>
      <c r="K1025" s="5" t="s">
        <v>73</v>
      </c>
      <c r="L1025">
        <v>4</v>
      </c>
      <c r="M1025">
        <v>116.26</v>
      </c>
      <c r="N1025" s="8">
        <v>0</v>
      </c>
      <c r="O1025" s="8">
        <v>465.04</v>
      </c>
      <c r="P1025" s="8">
        <v>23.25</v>
      </c>
      <c r="Q1025" s="10">
        <v>30</v>
      </c>
      <c r="R1025" s="10">
        <v>0</v>
      </c>
      <c r="S1025" s="8">
        <v>518.29</v>
      </c>
      <c r="T1025">
        <v>29</v>
      </c>
      <c r="U1025" t="str">
        <f t="shared" si="15"/>
        <v>Thursday</v>
      </c>
    </row>
    <row r="1026" spans="1:21" x14ac:dyDescent="0.3">
      <c r="A1026" s="5" t="s">
        <v>2745</v>
      </c>
      <c r="B1026" s="3" t="s">
        <v>3707</v>
      </c>
      <c r="C1026" s="5" t="s">
        <v>662</v>
      </c>
      <c r="D1026" s="5" t="s">
        <v>82</v>
      </c>
      <c r="E1026" s="5" t="s">
        <v>83</v>
      </c>
      <c r="F1026" s="5" t="s">
        <v>42</v>
      </c>
      <c r="G1026" t="s">
        <v>2746</v>
      </c>
      <c r="H1026" s="5" t="s">
        <v>3675</v>
      </c>
      <c r="I1026" s="5" t="s">
        <v>169</v>
      </c>
      <c r="J1026" s="5" t="s">
        <v>170</v>
      </c>
      <c r="K1026" s="5" t="s">
        <v>45</v>
      </c>
      <c r="L1026">
        <v>4</v>
      </c>
      <c r="M1026">
        <v>167.47</v>
      </c>
      <c r="N1026" s="8">
        <v>16.75</v>
      </c>
      <c r="O1026" s="8">
        <v>653.13</v>
      </c>
      <c r="P1026" s="8">
        <v>32.659999999999997</v>
      </c>
      <c r="Q1026" s="10">
        <v>30</v>
      </c>
      <c r="R1026" s="10">
        <v>5</v>
      </c>
      <c r="S1026" s="8">
        <v>720.79</v>
      </c>
      <c r="T1026">
        <v>24.67</v>
      </c>
      <c r="U1026" t="str">
        <f t="shared" si="15"/>
        <v>Wednesday</v>
      </c>
    </row>
    <row r="1027" spans="1:21" x14ac:dyDescent="0.3">
      <c r="A1027" s="5" t="s">
        <v>2747</v>
      </c>
      <c r="B1027" s="3" t="s">
        <v>3712</v>
      </c>
      <c r="C1027" s="5" t="s">
        <v>667</v>
      </c>
      <c r="D1027" s="5" t="s">
        <v>21</v>
      </c>
      <c r="E1027" s="5" t="s">
        <v>76</v>
      </c>
      <c r="F1027" s="5" t="s">
        <v>37</v>
      </c>
      <c r="G1027" t="s">
        <v>2748</v>
      </c>
      <c r="H1027" s="5" t="s">
        <v>3677</v>
      </c>
      <c r="I1027" s="5" t="s">
        <v>174</v>
      </c>
      <c r="J1027" s="5" t="s">
        <v>175</v>
      </c>
      <c r="K1027" s="5" t="s">
        <v>28</v>
      </c>
      <c r="L1027">
        <v>3</v>
      </c>
      <c r="M1027">
        <v>159.88999999999999</v>
      </c>
      <c r="N1027" s="8">
        <v>0</v>
      </c>
      <c r="O1027" s="8">
        <v>479.67</v>
      </c>
      <c r="P1027" s="8">
        <v>23.98</v>
      </c>
      <c r="Q1027" s="10">
        <v>30</v>
      </c>
      <c r="R1027" s="10">
        <v>20</v>
      </c>
      <c r="S1027" s="8">
        <v>553.65</v>
      </c>
      <c r="T1027">
        <v>24.67</v>
      </c>
      <c r="U1027" t="str">
        <f t="shared" ref="U1027:U1090" si="16">TEXT(B1027,"dddd")</f>
        <v>Thursday</v>
      </c>
    </row>
    <row r="1028" spans="1:21" x14ac:dyDescent="0.3">
      <c r="A1028" s="5" t="s">
        <v>2749</v>
      </c>
      <c r="B1028" s="3" t="s">
        <v>3682</v>
      </c>
      <c r="C1028" s="5" t="s">
        <v>672</v>
      </c>
      <c r="D1028" s="5" t="s">
        <v>21</v>
      </c>
      <c r="E1028" s="5" t="s">
        <v>112</v>
      </c>
      <c r="F1028" s="5" t="s">
        <v>42</v>
      </c>
      <c r="G1028" t="s">
        <v>2750</v>
      </c>
      <c r="H1028" s="5" t="s">
        <v>100</v>
      </c>
      <c r="I1028" s="5" t="s">
        <v>179</v>
      </c>
      <c r="J1028" s="5" t="s">
        <v>180</v>
      </c>
      <c r="K1028" s="5" t="s">
        <v>73</v>
      </c>
      <c r="L1028">
        <v>1</v>
      </c>
      <c r="M1028">
        <v>185.67</v>
      </c>
      <c r="N1028" s="8">
        <v>0</v>
      </c>
      <c r="O1028" s="8">
        <v>185.67</v>
      </c>
      <c r="P1028" s="8">
        <v>9.2799999999999994</v>
      </c>
      <c r="Q1028" s="10">
        <v>20</v>
      </c>
      <c r="R1028" s="10">
        <v>0</v>
      </c>
      <c r="S1028" s="8">
        <v>214.95</v>
      </c>
      <c r="T1028">
        <v>24.67</v>
      </c>
      <c r="U1028" t="str">
        <f t="shared" si="16"/>
        <v>Tuesday</v>
      </c>
    </row>
    <row r="1029" spans="1:21" x14ac:dyDescent="0.3">
      <c r="A1029" s="5" t="s">
        <v>2751</v>
      </c>
      <c r="B1029" s="3" t="s">
        <v>3717</v>
      </c>
      <c r="C1029" s="5" t="s">
        <v>677</v>
      </c>
      <c r="D1029" s="5" t="s">
        <v>21</v>
      </c>
      <c r="E1029" s="5" t="s">
        <v>22</v>
      </c>
      <c r="F1029" s="5" t="s">
        <v>37</v>
      </c>
      <c r="G1029" t="s">
        <v>2752</v>
      </c>
      <c r="H1029" s="5" t="s">
        <v>3677</v>
      </c>
      <c r="I1029" s="5" t="s">
        <v>184</v>
      </c>
      <c r="J1029" s="5" t="s">
        <v>185</v>
      </c>
      <c r="K1029" s="5" t="s">
        <v>28</v>
      </c>
      <c r="L1029">
        <v>1</v>
      </c>
      <c r="M1029">
        <v>131.78</v>
      </c>
      <c r="N1029" s="8">
        <v>13.18</v>
      </c>
      <c r="O1029" s="8">
        <v>118.6</v>
      </c>
      <c r="P1029" s="8">
        <v>5.93</v>
      </c>
      <c r="Q1029" s="10">
        <v>20</v>
      </c>
      <c r="R1029" s="10">
        <v>10</v>
      </c>
      <c r="S1029" s="8">
        <v>154.53</v>
      </c>
      <c r="T1029">
        <v>28</v>
      </c>
      <c r="U1029" t="str">
        <f t="shared" si="16"/>
        <v>Tuesday</v>
      </c>
    </row>
    <row r="1030" spans="1:21" x14ac:dyDescent="0.3">
      <c r="A1030" s="5" t="s">
        <v>2753</v>
      </c>
      <c r="B1030" s="3" t="s">
        <v>3693</v>
      </c>
      <c r="C1030" s="5" t="s">
        <v>682</v>
      </c>
      <c r="D1030" s="5" t="s">
        <v>21</v>
      </c>
      <c r="E1030" s="5" t="s">
        <v>69</v>
      </c>
      <c r="F1030" s="5" t="s">
        <v>37</v>
      </c>
      <c r="G1030" t="s">
        <v>2754</v>
      </c>
      <c r="H1030" s="5" t="s">
        <v>3673</v>
      </c>
      <c r="I1030" s="5" t="s">
        <v>189</v>
      </c>
      <c r="J1030" s="5" t="s">
        <v>190</v>
      </c>
      <c r="K1030" s="5" t="s">
        <v>40</v>
      </c>
      <c r="L1030">
        <v>5</v>
      </c>
      <c r="M1030">
        <v>184.05</v>
      </c>
      <c r="N1030" s="8">
        <v>18.41</v>
      </c>
      <c r="O1030" s="8">
        <v>901.84</v>
      </c>
      <c r="P1030" s="8">
        <v>45.09</v>
      </c>
      <c r="Q1030" s="10">
        <v>30</v>
      </c>
      <c r="R1030" s="10">
        <v>0</v>
      </c>
      <c r="S1030" s="8">
        <v>976.93000000000006</v>
      </c>
      <c r="T1030">
        <v>24.67</v>
      </c>
      <c r="U1030" t="str">
        <f t="shared" si="16"/>
        <v>Thursday</v>
      </c>
    </row>
    <row r="1031" spans="1:21" x14ac:dyDescent="0.3">
      <c r="A1031" s="5" t="s">
        <v>2755</v>
      </c>
      <c r="B1031" s="3" t="s">
        <v>3686</v>
      </c>
      <c r="C1031" s="5" t="s">
        <v>687</v>
      </c>
      <c r="D1031" s="5" t="s">
        <v>21</v>
      </c>
      <c r="E1031" s="5" t="s">
        <v>112</v>
      </c>
      <c r="F1031" s="5" t="s">
        <v>37</v>
      </c>
      <c r="G1031" t="s">
        <v>2756</v>
      </c>
      <c r="H1031" s="5" t="s">
        <v>3675</v>
      </c>
      <c r="I1031" s="5" t="s">
        <v>194</v>
      </c>
      <c r="J1031" s="5" t="s">
        <v>195</v>
      </c>
      <c r="K1031" s="5" t="s">
        <v>28</v>
      </c>
      <c r="L1031">
        <v>4</v>
      </c>
      <c r="M1031">
        <v>158.82</v>
      </c>
      <c r="N1031" s="8">
        <v>15.88</v>
      </c>
      <c r="O1031" s="8">
        <v>619.4</v>
      </c>
      <c r="P1031" s="8">
        <v>30.97</v>
      </c>
      <c r="Q1031" s="10">
        <v>20</v>
      </c>
      <c r="R1031" s="10">
        <v>10</v>
      </c>
      <c r="S1031" s="8">
        <v>680.37</v>
      </c>
      <c r="T1031">
        <v>24</v>
      </c>
      <c r="U1031" t="str">
        <f t="shared" si="16"/>
        <v>Saturday</v>
      </c>
    </row>
    <row r="1032" spans="1:21" x14ac:dyDescent="0.3">
      <c r="A1032" s="5" t="s">
        <v>2757</v>
      </c>
      <c r="B1032" s="3" t="s">
        <v>3709</v>
      </c>
      <c r="C1032" s="5" t="s">
        <v>692</v>
      </c>
      <c r="D1032" s="5" t="s">
        <v>21</v>
      </c>
      <c r="E1032" s="5" t="s">
        <v>36</v>
      </c>
      <c r="F1032" s="5" t="s">
        <v>37</v>
      </c>
      <c r="G1032" t="s">
        <v>2758</v>
      </c>
      <c r="H1032" s="5" t="s">
        <v>3673</v>
      </c>
      <c r="I1032" s="5" t="s">
        <v>200</v>
      </c>
      <c r="J1032" s="5" t="s">
        <v>201</v>
      </c>
      <c r="K1032" s="5" t="s">
        <v>56</v>
      </c>
      <c r="L1032">
        <v>2</v>
      </c>
      <c r="M1032">
        <v>99.7</v>
      </c>
      <c r="N1032" s="8">
        <v>0</v>
      </c>
      <c r="O1032" s="8">
        <v>199.4</v>
      </c>
      <c r="P1032" s="8">
        <v>9.9700000000000006</v>
      </c>
      <c r="Q1032" s="10">
        <v>10</v>
      </c>
      <c r="R1032" s="10">
        <v>5</v>
      </c>
      <c r="S1032" s="8">
        <v>224.37</v>
      </c>
      <c r="T1032">
        <v>25</v>
      </c>
      <c r="U1032" t="str">
        <f t="shared" si="16"/>
        <v>Thursday</v>
      </c>
    </row>
    <row r="1033" spans="1:21" x14ac:dyDescent="0.3">
      <c r="A1033" s="5" t="s">
        <v>2759</v>
      </c>
      <c r="B1033" s="3" t="s">
        <v>3678</v>
      </c>
      <c r="C1033" s="5" t="s">
        <v>697</v>
      </c>
      <c r="D1033" s="5" t="s">
        <v>21</v>
      </c>
      <c r="E1033" s="5" t="s">
        <v>36</v>
      </c>
      <c r="F1033" s="5" t="s">
        <v>37</v>
      </c>
      <c r="G1033" t="s">
        <v>2760</v>
      </c>
      <c r="H1033" s="5" t="s">
        <v>3673</v>
      </c>
      <c r="I1033" s="5" t="s">
        <v>205</v>
      </c>
      <c r="J1033" s="5" t="s">
        <v>206</v>
      </c>
      <c r="K1033" s="5" t="s">
        <v>28</v>
      </c>
      <c r="L1033">
        <v>2</v>
      </c>
      <c r="M1033">
        <v>69.290000000000006</v>
      </c>
      <c r="N1033" s="8">
        <v>3.46</v>
      </c>
      <c r="O1033" s="8">
        <v>135.12</v>
      </c>
      <c r="P1033" s="8">
        <v>6.76</v>
      </c>
      <c r="Q1033" s="10">
        <v>20</v>
      </c>
      <c r="R1033" s="10">
        <v>20</v>
      </c>
      <c r="S1033" s="8">
        <v>181.88</v>
      </c>
      <c r="T1033">
        <v>30</v>
      </c>
      <c r="U1033" t="str">
        <f t="shared" si="16"/>
        <v>Saturday</v>
      </c>
    </row>
    <row r="1034" spans="1:21" x14ac:dyDescent="0.3">
      <c r="A1034" s="5" t="s">
        <v>2761</v>
      </c>
      <c r="B1034" s="3" t="s">
        <v>3696</v>
      </c>
      <c r="C1034" s="5" t="s">
        <v>702</v>
      </c>
      <c r="D1034" s="5" t="s">
        <v>21</v>
      </c>
      <c r="E1034" s="5" t="s">
        <v>112</v>
      </c>
      <c r="F1034" s="5" t="s">
        <v>42</v>
      </c>
      <c r="G1034" t="s">
        <v>2762</v>
      </c>
      <c r="H1034" s="5" t="s">
        <v>3674</v>
      </c>
      <c r="I1034" s="5" t="s">
        <v>210</v>
      </c>
      <c r="J1034" s="5" t="s">
        <v>211</v>
      </c>
      <c r="K1034" s="5" t="s">
        <v>40</v>
      </c>
      <c r="L1034">
        <v>2</v>
      </c>
      <c r="M1034">
        <v>119.31</v>
      </c>
      <c r="N1034" s="8">
        <v>5.97</v>
      </c>
      <c r="O1034" s="8">
        <v>232.65</v>
      </c>
      <c r="P1034" s="8">
        <v>11.63</v>
      </c>
      <c r="Q1034" s="10">
        <v>10</v>
      </c>
      <c r="R1034" s="10">
        <v>20</v>
      </c>
      <c r="S1034" s="8">
        <v>274.27999999999997</v>
      </c>
      <c r="T1034">
        <v>25</v>
      </c>
      <c r="U1034" t="str">
        <f t="shared" si="16"/>
        <v>Friday</v>
      </c>
    </row>
    <row r="1035" spans="1:21" x14ac:dyDescent="0.3">
      <c r="A1035" s="5" t="s">
        <v>2763</v>
      </c>
      <c r="B1035" s="3" t="s">
        <v>3697</v>
      </c>
      <c r="C1035" s="5" t="s">
        <v>707</v>
      </c>
      <c r="D1035" s="5" t="s">
        <v>21</v>
      </c>
      <c r="E1035" s="5" t="s">
        <v>36</v>
      </c>
      <c r="F1035" s="5" t="s">
        <v>23</v>
      </c>
      <c r="G1035" t="s">
        <v>2764</v>
      </c>
      <c r="H1035" s="5" t="s">
        <v>3675</v>
      </c>
      <c r="I1035" s="5" t="s">
        <v>215</v>
      </c>
      <c r="J1035" s="5" t="s">
        <v>216</v>
      </c>
      <c r="K1035" s="5" t="s">
        <v>34</v>
      </c>
      <c r="L1035">
        <v>6</v>
      </c>
      <c r="M1035">
        <v>159.9</v>
      </c>
      <c r="N1035" s="8">
        <v>0</v>
      </c>
      <c r="O1035" s="8">
        <v>959.40000000000009</v>
      </c>
      <c r="P1035" s="8">
        <v>47.97</v>
      </c>
      <c r="Q1035" s="10">
        <v>0</v>
      </c>
      <c r="R1035" s="10">
        <v>20</v>
      </c>
      <c r="S1035" s="8">
        <v>1027.3699999999999</v>
      </c>
      <c r="T1035">
        <v>17</v>
      </c>
      <c r="U1035" t="str">
        <f t="shared" si="16"/>
        <v>Saturday</v>
      </c>
    </row>
    <row r="1036" spans="1:21" x14ac:dyDescent="0.3">
      <c r="A1036" s="5" t="s">
        <v>2765</v>
      </c>
      <c r="B1036" s="3" t="s">
        <v>3726</v>
      </c>
      <c r="C1036" s="5" t="s">
        <v>712</v>
      </c>
      <c r="D1036" s="5" t="s">
        <v>21</v>
      </c>
      <c r="E1036" s="5" t="s">
        <v>22</v>
      </c>
      <c r="F1036" s="5" t="s">
        <v>23</v>
      </c>
      <c r="G1036" t="s">
        <v>2766</v>
      </c>
      <c r="H1036" s="5" t="s">
        <v>3673</v>
      </c>
      <c r="I1036" s="5" t="s">
        <v>220</v>
      </c>
      <c r="J1036" s="5" t="s">
        <v>221</v>
      </c>
      <c r="K1036" s="5" t="s">
        <v>56</v>
      </c>
      <c r="L1036">
        <v>3</v>
      </c>
      <c r="M1036">
        <v>67.02</v>
      </c>
      <c r="N1036" s="8">
        <v>0</v>
      </c>
      <c r="O1036" s="8">
        <v>201.06</v>
      </c>
      <c r="P1036" s="8">
        <v>10.050000000000001</v>
      </c>
      <c r="Q1036" s="10">
        <v>20</v>
      </c>
      <c r="R1036" s="10">
        <v>20</v>
      </c>
      <c r="S1036" s="8">
        <v>251.11</v>
      </c>
      <c r="T1036">
        <v>24</v>
      </c>
      <c r="U1036" t="str">
        <f t="shared" si="16"/>
        <v>Monday</v>
      </c>
    </row>
    <row r="1037" spans="1:21" x14ac:dyDescent="0.3">
      <c r="A1037" s="5" t="s">
        <v>2767</v>
      </c>
      <c r="B1037" s="3" t="s">
        <v>3696</v>
      </c>
      <c r="C1037" s="5" t="s">
        <v>717</v>
      </c>
      <c r="D1037" s="5" t="s">
        <v>82</v>
      </c>
      <c r="E1037" s="5" t="s">
        <v>83</v>
      </c>
      <c r="F1037" s="5" t="s">
        <v>37</v>
      </c>
      <c r="G1037" t="s">
        <v>2768</v>
      </c>
      <c r="H1037" s="5" t="s">
        <v>25</v>
      </c>
      <c r="I1037" s="5" t="s">
        <v>225</v>
      </c>
      <c r="J1037" s="5" t="s">
        <v>226</v>
      </c>
      <c r="K1037" s="5" t="s">
        <v>145</v>
      </c>
      <c r="L1037">
        <v>5</v>
      </c>
      <c r="M1037">
        <v>10.18</v>
      </c>
      <c r="N1037" s="8">
        <v>1.02</v>
      </c>
      <c r="O1037" s="8">
        <v>49.88</v>
      </c>
      <c r="P1037" s="8">
        <v>2.4900000000000002</v>
      </c>
      <c r="Q1037" s="10">
        <v>30</v>
      </c>
      <c r="R1037" s="10">
        <v>15</v>
      </c>
      <c r="S1037" s="8">
        <v>97.37</v>
      </c>
      <c r="T1037">
        <v>13</v>
      </c>
      <c r="U1037" t="str">
        <f t="shared" si="16"/>
        <v>Friday</v>
      </c>
    </row>
    <row r="1038" spans="1:21" x14ac:dyDescent="0.3">
      <c r="A1038" s="5" t="s">
        <v>2769</v>
      </c>
      <c r="B1038" s="3" t="s">
        <v>3718</v>
      </c>
      <c r="C1038" s="5" t="s">
        <v>722</v>
      </c>
      <c r="D1038" s="5" t="s">
        <v>21</v>
      </c>
      <c r="E1038" s="5" t="s">
        <v>76</v>
      </c>
      <c r="F1038" s="5" t="s">
        <v>37</v>
      </c>
      <c r="G1038" t="s">
        <v>2770</v>
      </c>
      <c r="H1038" s="5" t="s">
        <v>3676</v>
      </c>
      <c r="I1038" s="5" t="s">
        <v>230</v>
      </c>
      <c r="J1038" s="5" t="s">
        <v>231</v>
      </c>
      <c r="K1038" s="5" t="s">
        <v>145</v>
      </c>
      <c r="L1038">
        <v>1</v>
      </c>
      <c r="M1038">
        <v>57.38</v>
      </c>
      <c r="N1038" s="8">
        <v>5.74</v>
      </c>
      <c r="O1038" s="8">
        <v>51.64</v>
      </c>
      <c r="P1038" s="8">
        <v>2.58</v>
      </c>
      <c r="Q1038" s="10">
        <v>30</v>
      </c>
      <c r="R1038" s="10">
        <v>10</v>
      </c>
      <c r="S1038" s="8">
        <v>94.22</v>
      </c>
      <c r="T1038">
        <v>9</v>
      </c>
      <c r="U1038" t="str">
        <f t="shared" si="16"/>
        <v>Wednesday</v>
      </c>
    </row>
    <row r="1039" spans="1:21" x14ac:dyDescent="0.3">
      <c r="A1039" s="5" t="s">
        <v>2771</v>
      </c>
      <c r="B1039" s="3" t="s">
        <v>3726</v>
      </c>
      <c r="C1039" s="5" t="s">
        <v>727</v>
      </c>
      <c r="D1039" s="5" t="s">
        <v>82</v>
      </c>
      <c r="E1039" s="5" t="s">
        <v>83</v>
      </c>
      <c r="F1039" s="5" t="s">
        <v>23</v>
      </c>
      <c r="G1039" t="s">
        <v>2772</v>
      </c>
      <c r="H1039" s="5" t="s">
        <v>100</v>
      </c>
      <c r="I1039" s="5" t="s">
        <v>235</v>
      </c>
      <c r="J1039" s="5" t="s">
        <v>236</v>
      </c>
      <c r="K1039" s="5" t="s">
        <v>145</v>
      </c>
      <c r="L1039">
        <v>3</v>
      </c>
      <c r="M1039">
        <v>153.22999999999999</v>
      </c>
      <c r="N1039" s="8">
        <v>7.66</v>
      </c>
      <c r="O1039" s="8">
        <v>452.02999999999992</v>
      </c>
      <c r="P1039" s="8">
        <v>22.6</v>
      </c>
      <c r="Q1039" s="10">
        <v>20</v>
      </c>
      <c r="R1039" s="10">
        <v>15</v>
      </c>
      <c r="S1039" s="8">
        <v>509.62999999999988</v>
      </c>
      <c r="T1039">
        <v>24.67</v>
      </c>
      <c r="U1039" t="str">
        <f t="shared" si="16"/>
        <v>Monday</v>
      </c>
    </row>
    <row r="1040" spans="1:21" x14ac:dyDescent="0.3">
      <c r="A1040" s="5" t="s">
        <v>2773</v>
      </c>
      <c r="B1040" s="3" t="s">
        <v>3715</v>
      </c>
      <c r="C1040" s="5" t="s">
        <v>732</v>
      </c>
      <c r="D1040" s="5" t="s">
        <v>82</v>
      </c>
      <c r="E1040" s="5" t="s">
        <v>83</v>
      </c>
      <c r="F1040" s="5" t="s">
        <v>37</v>
      </c>
      <c r="G1040" t="s">
        <v>2774</v>
      </c>
      <c r="H1040" s="5" t="s">
        <v>3673</v>
      </c>
      <c r="I1040" s="5" t="s">
        <v>240</v>
      </c>
      <c r="J1040" s="5" t="s">
        <v>241</v>
      </c>
      <c r="K1040" s="5" t="s">
        <v>45</v>
      </c>
      <c r="L1040">
        <v>2</v>
      </c>
      <c r="M1040">
        <v>40.49</v>
      </c>
      <c r="N1040" s="8">
        <v>6.07</v>
      </c>
      <c r="O1040" s="8">
        <v>74.91</v>
      </c>
      <c r="P1040" s="8">
        <v>3.75</v>
      </c>
      <c r="Q1040" s="10">
        <v>30</v>
      </c>
      <c r="R1040" s="10">
        <v>0</v>
      </c>
      <c r="S1040" s="8">
        <v>108.66</v>
      </c>
      <c r="T1040">
        <v>30</v>
      </c>
      <c r="U1040" t="str">
        <f t="shared" si="16"/>
        <v>Saturday</v>
      </c>
    </row>
    <row r="1041" spans="1:21" x14ac:dyDescent="0.3">
      <c r="A1041" s="5" t="s">
        <v>2775</v>
      </c>
      <c r="B1041" s="3" t="s">
        <v>3695</v>
      </c>
      <c r="C1041" s="5" t="s">
        <v>737</v>
      </c>
      <c r="D1041" s="5" t="s">
        <v>21</v>
      </c>
      <c r="E1041" s="5" t="s">
        <v>76</v>
      </c>
      <c r="F1041" s="5" t="s">
        <v>23</v>
      </c>
      <c r="G1041" t="s">
        <v>2776</v>
      </c>
      <c r="H1041" s="5" t="s">
        <v>3674</v>
      </c>
      <c r="I1041" s="5" t="s">
        <v>245</v>
      </c>
      <c r="J1041" s="5" t="s">
        <v>246</v>
      </c>
      <c r="K1041" s="5" t="s">
        <v>28</v>
      </c>
      <c r="L1041">
        <v>1</v>
      </c>
      <c r="M1041">
        <v>155.08000000000001</v>
      </c>
      <c r="N1041" s="8">
        <v>7.75</v>
      </c>
      <c r="O1041" s="8">
        <v>147.33000000000001</v>
      </c>
      <c r="P1041" s="8">
        <v>7.37</v>
      </c>
      <c r="Q1041" s="10">
        <v>30</v>
      </c>
      <c r="R1041" s="10">
        <v>15</v>
      </c>
      <c r="S1041" s="8">
        <v>199.7</v>
      </c>
      <c r="T1041">
        <v>24.67</v>
      </c>
      <c r="U1041" t="str">
        <f t="shared" si="16"/>
        <v>Thursday</v>
      </c>
    </row>
    <row r="1042" spans="1:21" x14ac:dyDescent="0.3">
      <c r="A1042" s="5" t="s">
        <v>2777</v>
      </c>
      <c r="B1042" s="3" t="s">
        <v>3707</v>
      </c>
      <c r="C1042" s="5" t="s">
        <v>742</v>
      </c>
      <c r="D1042" s="5" t="s">
        <v>21</v>
      </c>
      <c r="E1042" s="5" t="s">
        <v>69</v>
      </c>
      <c r="F1042" s="5" t="s">
        <v>37</v>
      </c>
      <c r="G1042" t="s">
        <v>2778</v>
      </c>
      <c r="H1042" s="5" t="s">
        <v>25</v>
      </c>
      <c r="I1042" s="5" t="s">
        <v>250</v>
      </c>
      <c r="J1042" s="5" t="s">
        <v>251</v>
      </c>
      <c r="K1042" s="5" t="s">
        <v>56</v>
      </c>
      <c r="L1042">
        <v>1</v>
      </c>
      <c r="M1042">
        <v>116.65</v>
      </c>
      <c r="N1042" s="8">
        <v>0</v>
      </c>
      <c r="O1042" s="8">
        <v>116.65</v>
      </c>
      <c r="P1042" s="8">
        <v>5.83</v>
      </c>
      <c r="Q1042" s="10">
        <v>30</v>
      </c>
      <c r="R1042" s="10">
        <v>20</v>
      </c>
      <c r="S1042" s="8">
        <v>172.48</v>
      </c>
      <c r="T1042">
        <v>24.67</v>
      </c>
      <c r="U1042" t="str">
        <f t="shared" si="16"/>
        <v>Wednesday</v>
      </c>
    </row>
    <row r="1043" spans="1:21" x14ac:dyDescent="0.3">
      <c r="A1043" s="5" t="s">
        <v>2779</v>
      </c>
      <c r="B1043" s="3" t="s">
        <v>3702</v>
      </c>
      <c r="C1043" s="5" t="s">
        <v>747</v>
      </c>
      <c r="D1043" s="5" t="s">
        <v>82</v>
      </c>
      <c r="E1043" s="5" t="s">
        <v>83</v>
      </c>
      <c r="F1043" s="5" t="s">
        <v>37</v>
      </c>
      <c r="G1043" t="s">
        <v>2780</v>
      </c>
      <c r="H1043" s="5" t="s">
        <v>3673</v>
      </c>
      <c r="I1043" s="5" t="s">
        <v>255</v>
      </c>
      <c r="J1043" s="5" t="s">
        <v>256</v>
      </c>
      <c r="K1043" s="5" t="s">
        <v>28</v>
      </c>
      <c r="L1043">
        <v>4</v>
      </c>
      <c r="M1043">
        <v>281.54000000000002</v>
      </c>
      <c r="N1043" s="8">
        <v>42.23</v>
      </c>
      <c r="O1043" s="8">
        <v>1083.93</v>
      </c>
      <c r="P1043" s="8">
        <v>54.2</v>
      </c>
      <c r="Q1043" s="10">
        <v>30</v>
      </c>
      <c r="R1043" s="10">
        <v>10</v>
      </c>
      <c r="S1043" s="8">
        <v>1178.1300000000001</v>
      </c>
      <c r="T1043">
        <v>20</v>
      </c>
      <c r="U1043" t="str">
        <f t="shared" si="16"/>
        <v>Monday</v>
      </c>
    </row>
    <row r="1044" spans="1:21" x14ac:dyDescent="0.3">
      <c r="A1044" s="5" t="s">
        <v>2781</v>
      </c>
      <c r="B1044" s="3" t="s">
        <v>3709</v>
      </c>
      <c r="C1044" s="5" t="s">
        <v>752</v>
      </c>
      <c r="D1044" s="5" t="s">
        <v>21</v>
      </c>
      <c r="E1044" s="5" t="s">
        <v>22</v>
      </c>
      <c r="F1044" s="5" t="s">
        <v>37</v>
      </c>
      <c r="G1044" t="s">
        <v>2782</v>
      </c>
      <c r="H1044" s="5" t="s">
        <v>100</v>
      </c>
      <c r="I1044" s="5" t="s">
        <v>260</v>
      </c>
      <c r="J1044" s="5" t="s">
        <v>261</v>
      </c>
      <c r="K1044" s="5" t="s">
        <v>145</v>
      </c>
      <c r="L1044">
        <v>3</v>
      </c>
      <c r="M1044">
        <v>221.18</v>
      </c>
      <c r="N1044" s="8">
        <v>11.06</v>
      </c>
      <c r="O1044" s="8">
        <v>652.48</v>
      </c>
      <c r="P1044" s="8">
        <v>32.619999999999997</v>
      </c>
      <c r="Q1044" s="10">
        <v>10</v>
      </c>
      <c r="R1044" s="10">
        <v>15</v>
      </c>
      <c r="S1044" s="8">
        <v>710.1</v>
      </c>
      <c r="T1044">
        <v>21</v>
      </c>
      <c r="U1044" t="str">
        <f t="shared" si="16"/>
        <v>Thursday</v>
      </c>
    </row>
    <row r="1045" spans="1:21" x14ac:dyDescent="0.3">
      <c r="A1045" s="5" t="s">
        <v>2783</v>
      </c>
      <c r="B1045" s="3" t="s">
        <v>3726</v>
      </c>
      <c r="C1045" s="5" t="s">
        <v>757</v>
      </c>
      <c r="D1045" s="5" t="s">
        <v>21</v>
      </c>
      <c r="E1045" s="5" t="s">
        <v>22</v>
      </c>
      <c r="F1045" s="5" t="s">
        <v>37</v>
      </c>
      <c r="G1045" t="s">
        <v>2784</v>
      </c>
      <c r="H1045" s="5" t="s">
        <v>3673</v>
      </c>
      <c r="I1045" s="5" t="s">
        <v>265</v>
      </c>
      <c r="J1045" s="5" t="s">
        <v>266</v>
      </c>
      <c r="K1045" s="5" t="s">
        <v>34</v>
      </c>
      <c r="L1045">
        <v>1</v>
      </c>
      <c r="M1045">
        <v>125.58</v>
      </c>
      <c r="N1045" s="8">
        <v>0</v>
      </c>
      <c r="O1045" s="8">
        <v>125.58</v>
      </c>
      <c r="P1045" s="8">
        <v>6.28</v>
      </c>
      <c r="Q1045" s="10">
        <v>10</v>
      </c>
      <c r="R1045" s="10">
        <v>15</v>
      </c>
      <c r="S1045" s="8">
        <v>156.86000000000001</v>
      </c>
      <c r="T1045">
        <v>20</v>
      </c>
      <c r="U1045" t="str">
        <f t="shared" si="16"/>
        <v>Monday</v>
      </c>
    </row>
    <row r="1046" spans="1:21" x14ac:dyDescent="0.3">
      <c r="A1046" s="5" t="s">
        <v>2785</v>
      </c>
      <c r="B1046" s="3" t="s">
        <v>3679</v>
      </c>
      <c r="C1046" s="5" t="s">
        <v>762</v>
      </c>
      <c r="D1046" s="5" t="s">
        <v>21</v>
      </c>
      <c r="E1046" s="5" t="s">
        <v>76</v>
      </c>
      <c r="F1046" s="5" t="s">
        <v>37</v>
      </c>
      <c r="G1046" t="s">
        <v>2786</v>
      </c>
      <c r="H1046" s="5" t="s">
        <v>25</v>
      </c>
      <c r="I1046" s="5" t="s">
        <v>270</v>
      </c>
      <c r="J1046" s="5" t="s">
        <v>271</v>
      </c>
      <c r="K1046" s="5" t="s">
        <v>40</v>
      </c>
      <c r="L1046">
        <v>5</v>
      </c>
      <c r="M1046">
        <v>43.66</v>
      </c>
      <c r="N1046" s="8">
        <v>4.37</v>
      </c>
      <c r="O1046" s="8">
        <v>213.93</v>
      </c>
      <c r="P1046" s="8">
        <v>10.7</v>
      </c>
      <c r="Q1046" s="10">
        <v>0</v>
      </c>
      <c r="R1046" s="10">
        <v>15</v>
      </c>
      <c r="S1046" s="8">
        <v>239.63</v>
      </c>
      <c r="T1046">
        <v>18</v>
      </c>
      <c r="U1046" t="str">
        <f t="shared" si="16"/>
        <v>Friday</v>
      </c>
    </row>
    <row r="1047" spans="1:21" x14ac:dyDescent="0.3">
      <c r="A1047" s="5" t="s">
        <v>2787</v>
      </c>
      <c r="B1047" s="3" t="s">
        <v>3711</v>
      </c>
      <c r="C1047" s="5" t="s">
        <v>767</v>
      </c>
      <c r="D1047" s="5" t="s">
        <v>21</v>
      </c>
      <c r="E1047" s="5" t="s">
        <v>22</v>
      </c>
      <c r="F1047" s="5" t="s">
        <v>37</v>
      </c>
      <c r="G1047" t="s">
        <v>2788</v>
      </c>
      <c r="H1047" s="5" t="s">
        <v>3673</v>
      </c>
      <c r="I1047" s="5" t="s">
        <v>275</v>
      </c>
      <c r="J1047" s="5" t="s">
        <v>276</v>
      </c>
      <c r="K1047" s="5" t="s">
        <v>103</v>
      </c>
      <c r="L1047">
        <v>3</v>
      </c>
      <c r="M1047">
        <v>46.45</v>
      </c>
      <c r="N1047" s="8">
        <v>0</v>
      </c>
      <c r="O1047" s="8">
        <v>139.35</v>
      </c>
      <c r="P1047" s="8">
        <v>6.97</v>
      </c>
      <c r="Q1047" s="10">
        <v>20</v>
      </c>
      <c r="R1047" s="10">
        <v>0</v>
      </c>
      <c r="S1047" s="8">
        <v>166.32</v>
      </c>
      <c r="T1047">
        <v>30</v>
      </c>
      <c r="U1047" t="str">
        <f t="shared" si="16"/>
        <v>Wednesday</v>
      </c>
    </row>
    <row r="1048" spans="1:21" x14ac:dyDescent="0.3">
      <c r="A1048" s="5" t="s">
        <v>2789</v>
      </c>
      <c r="B1048" s="3" t="s">
        <v>3696</v>
      </c>
      <c r="C1048" s="5" t="s">
        <v>772</v>
      </c>
      <c r="D1048" s="5" t="s">
        <v>82</v>
      </c>
      <c r="E1048" s="5" t="s">
        <v>83</v>
      </c>
      <c r="F1048" s="5" t="s">
        <v>37</v>
      </c>
      <c r="G1048" t="s">
        <v>2790</v>
      </c>
      <c r="H1048" s="5" t="s">
        <v>100</v>
      </c>
      <c r="I1048" s="5" t="s">
        <v>280</v>
      </c>
      <c r="J1048" s="5" t="s">
        <v>281</v>
      </c>
      <c r="K1048" s="5" t="s">
        <v>196</v>
      </c>
      <c r="L1048">
        <v>1</v>
      </c>
      <c r="M1048">
        <v>164.55</v>
      </c>
      <c r="N1048" s="8">
        <v>24.68</v>
      </c>
      <c r="O1048" s="8">
        <v>139.87</v>
      </c>
      <c r="P1048" s="8">
        <v>6.99</v>
      </c>
      <c r="Q1048" s="10">
        <v>10</v>
      </c>
      <c r="R1048" s="10">
        <v>5</v>
      </c>
      <c r="S1048" s="8">
        <v>161.86000000000001</v>
      </c>
      <c r="T1048">
        <v>18</v>
      </c>
      <c r="U1048" t="str">
        <f t="shared" si="16"/>
        <v>Friday</v>
      </c>
    </row>
    <row r="1049" spans="1:21" x14ac:dyDescent="0.3">
      <c r="A1049" s="5" t="s">
        <v>2791</v>
      </c>
      <c r="B1049" s="3" t="s">
        <v>3698</v>
      </c>
      <c r="C1049" s="5" t="s">
        <v>777</v>
      </c>
      <c r="D1049" s="5" t="s">
        <v>21</v>
      </c>
      <c r="E1049" s="5" t="s">
        <v>112</v>
      </c>
      <c r="F1049" s="5" t="s">
        <v>42</v>
      </c>
      <c r="G1049" t="s">
        <v>2792</v>
      </c>
      <c r="H1049" s="5" t="s">
        <v>3676</v>
      </c>
      <c r="I1049" s="5" t="s">
        <v>285</v>
      </c>
      <c r="J1049" s="5" t="s">
        <v>286</v>
      </c>
      <c r="K1049" s="5" t="s">
        <v>28</v>
      </c>
      <c r="L1049">
        <v>3</v>
      </c>
      <c r="M1049">
        <v>139.22</v>
      </c>
      <c r="N1049" s="8">
        <v>0</v>
      </c>
      <c r="O1049" s="8">
        <v>417.66</v>
      </c>
      <c r="P1049" s="8">
        <v>20.88</v>
      </c>
      <c r="Q1049" s="10">
        <v>10</v>
      </c>
      <c r="R1049" s="10">
        <v>0</v>
      </c>
      <c r="S1049" s="8">
        <v>448.54</v>
      </c>
      <c r="T1049">
        <v>14</v>
      </c>
      <c r="U1049" t="str">
        <f t="shared" si="16"/>
        <v>Sunday</v>
      </c>
    </row>
    <row r="1050" spans="1:21" x14ac:dyDescent="0.3">
      <c r="A1050" s="5" t="s">
        <v>2793</v>
      </c>
      <c r="B1050" s="3" t="s">
        <v>3687</v>
      </c>
      <c r="C1050" s="5" t="s">
        <v>782</v>
      </c>
      <c r="D1050" s="5" t="s">
        <v>21</v>
      </c>
      <c r="E1050" s="5" t="s">
        <v>36</v>
      </c>
      <c r="F1050" s="5" t="s">
        <v>23</v>
      </c>
      <c r="G1050" t="s">
        <v>2794</v>
      </c>
      <c r="H1050" s="5" t="s">
        <v>3674</v>
      </c>
      <c r="I1050" s="5" t="s">
        <v>290</v>
      </c>
      <c r="J1050" s="5" t="s">
        <v>291</v>
      </c>
      <c r="K1050" s="5" t="s">
        <v>73</v>
      </c>
      <c r="L1050">
        <v>6</v>
      </c>
      <c r="M1050">
        <v>128.11000000000001</v>
      </c>
      <c r="N1050" s="8">
        <v>0</v>
      </c>
      <c r="O1050" s="8">
        <v>768.66000000000008</v>
      </c>
      <c r="P1050" s="8">
        <v>38.43</v>
      </c>
      <c r="Q1050" s="10">
        <v>30</v>
      </c>
      <c r="R1050" s="10">
        <v>0</v>
      </c>
      <c r="S1050" s="8">
        <v>837.09</v>
      </c>
      <c r="T1050">
        <v>24.67</v>
      </c>
      <c r="U1050" t="str">
        <f t="shared" si="16"/>
        <v>Friday</v>
      </c>
    </row>
    <row r="1051" spans="1:21" x14ac:dyDescent="0.3">
      <c r="A1051" s="5" t="s">
        <v>2795</v>
      </c>
      <c r="B1051" s="3" t="s">
        <v>3707</v>
      </c>
      <c r="C1051" s="5" t="s">
        <v>787</v>
      </c>
      <c r="D1051" s="5" t="s">
        <v>21</v>
      </c>
      <c r="E1051" s="5" t="s">
        <v>69</v>
      </c>
      <c r="F1051" s="5" t="s">
        <v>23</v>
      </c>
      <c r="G1051" t="s">
        <v>2796</v>
      </c>
      <c r="H1051" s="5" t="s">
        <v>3675</v>
      </c>
      <c r="I1051" s="5" t="s">
        <v>295</v>
      </c>
      <c r="J1051" s="5" t="s">
        <v>296</v>
      </c>
      <c r="K1051" s="5" t="s">
        <v>28</v>
      </c>
      <c r="L1051">
        <v>1</v>
      </c>
      <c r="M1051">
        <v>161.32</v>
      </c>
      <c r="N1051" s="8">
        <v>16.13</v>
      </c>
      <c r="O1051" s="8">
        <v>145.19</v>
      </c>
      <c r="P1051" s="8">
        <v>7.26</v>
      </c>
      <c r="Q1051" s="10">
        <v>10</v>
      </c>
      <c r="R1051" s="10">
        <v>10</v>
      </c>
      <c r="S1051" s="8">
        <v>172.45</v>
      </c>
      <c r="T1051">
        <v>24.67</v>
      </c>
      <c r="U1051" t="str">
        <f t="shared" si="16"/>
        <v>Wednesday</v>
      </c>
    </row>
    <row r="1052" spans="1:21" x14ac:dyDescent="0.3">
      <c r="A1052" s="5" t="s">
        <v>2797</v>
      </c>
      <c r="B1052" s="3" t="s">
        <v>3697</v>
      </c>
      <c r="C1052" s="5" t="s">
        <v>792</v>
      </c>
      <c r="D1052" s="5" t="s">
        <v>106</v>
      </c>
      <c r="E1052" s="5" t="s">
        <v>83</v>
      </c>
      <c r="F1052" s="5" t="s">
        <v>42</v>
      </c>
      <c r="G1052" t="s">
        <v>2798</v>
      </c>
      <c r="H1052" s="5" t="s">
        <v>25</v>
      </c>
      <c r="I1052" s="5" t="s">
        <v>300</v>
      </c>
      <c r="J1052" s="5" t="s">
        <v>301</v>
      </c>
      <c r="K1052" s="5" t="s">
        <v>196</v>
      </c>
      <c r="L1052">
        <v>2</v>
      </c>
      <c r="M1052">
        <v>66.819999999999993</v>
      </c>
      <c r="N1052" s="8">
        <v>3.34</v>
      </c>
      <c r="O1052" s="8">
        <v>130.30000000000001</v>
      </c>
      <c r="P1052" s="8">
        <v>6.51</v>
      </c>
      <c r="Q1052" s="10">
        <v>10</v>
      </c>
      <c r="R1052" s="10">
        <v>0</v>
      </c>
      <c r="S1052" s="8">
        <v>146.81</v>
      </c>
      <c r="T1052">
        <v>24.67</v>
      </c>
      <c r="U1052" t="str">
        <f t="shared" si="16"/>
        <v>Saturday</v>
      </c>
    </row>
    <row r="1053" spans="1:21" x14ac:dyDescent="0.3">
      <c r="A1053" s="5" t="s">
        <v>2799</v>
      </c>
      <c r="B1053" s="3" t="s">
        <v>3695</v>
      </c>
      <c r="C1053" s="5" t="s">
        <v>797</v>
      </c>
      <c r="D1053" s="5" t="s">
        <v>21</v>
      </c>
      <c r="E1053" s="5" t="s">
        <v>36</v>
      </c>
      <c r="F1053" s="5" t="s">
        <v>23</v>
      </c>
      <c r="G1053" t="s">
        <v>2800</v>
      </c>
      <c r="H1053" s="5" t="s">
        <v>25</v>
      </c>
      <c r="I1053" s="5" t="s">
        <v>305</v>
      </c>
      <c r="J1053" s="5" t="s">
        <v>306</v>
      </c>
      <c r="K1053" s="5" t="s">
        <v>145</v>
      </c>
      <c r="L1053">
        <v>4</v>
      </c>
      <c r="M1053">
        <v>144.63</v>
      </c>
      <c r="N1053" s="8">
        <v>14.46</v>
      </c>
      <c r="O1053" s="8">
        <v>564.05999999999995</v>
      </c>
      <c r="P1053" s="8">
        <v>28.2</v>
      </c>
      <c r="Q1053" s="10">
        <v>0</v>
      </c>
      <c r="R1053" s="10">
        <v>10</v>
      </c>
      <c r="S1053" s="8">
        <v>602.26</v>
      </c>
      <c r="T1053">
        <v>22</v>
      </c>
      <c r="U1053" t="str">
        <f t="shared" si="16"/>
        <v>Thursday</v>
      </c>
    </row>
    <row r="1054" spans="1:21" x14ac:dyDescent="0.3">
      <c r="A1054" s="5" t="s">
        <v>2801</v>
      </c>
      <c r="B1054" s="3" t="s">
        <v>3710</v>
      </c>
      <c r="C1054" s="5" t="s">
        <v>802</v>
      </c>
      <c r="D1054" s="5" t="s">
        <v>21</v>
      </c>
      <c r="E1054" s="5" t="s">
        <v>112</v>
      </c>
      <c r="F1054" s="5" t="s">
        <v>23</v>
      </c>
      <c r="G1054" t="s">
        <v>2802</v>
      </c>
      <c r="H1054" s="5" t="s">
        <v>3677</v>
      </c>
      <c r="I1054" s="5" t="s">
        <v>310</v>
      </c>
      <c r="J1054" s="5" t="s">
        <v>311</v>
      </c>
      <c r="K1054" s="5" t="s">
        <v>103</v>
      </c>
      <c r="L1054">
        <v>1</v>
      </c>
      <c r="M1054">
        <v>172.38</v>
      </c>
      <c r="N1054" s="8">
        <v>8.6199999999999992</v>
      </c>
      <c r="O1054" s="8">
        <v>163.76</v>
      </c>
      <c r="P1054" s="8">
        <v>8.19</v>
      </c>
      <c r="Q1054" s="10">
        <v>10</v>
      </c>
      <c r="R1054" s="10">
        <v>10</v>
      </c>
      <c r="S1054" s="8">
        <v>191.95</v>
      </c>
      <c r="T1054">
        <v>31</v>
      </c>
      <c r="U1054" t="str">
        <f t="shared" si="16"/>
        <v>Monday</v>
      </c>
    </row>
    <row r="1055" spans="1:21" x14ac:dyDescent="0.3">
      <c r="A1055" s="5" t="s">
        <v>2803</v>
      </c>
      <c r="B1055" s="3" t="s">
        <v>3704</v>
      </c>
      <c r="C1055" s="5" t="s">
        <v>807</v>
      </c>
      <c r="D1055" s="5" t="s">
        <v>21</v>
      </c>
      <c r="E1055" s="5" t="s">
        <v>76</v>
      </c>
      <c r="F1055" s="5" t="s">
        <v>42</v>
      </c>
      <c r="G1055" t="s">
        <v>2804</v>
      </c>
      <c r="H1055" s="5" t="s">
        <v>3675</v>
      </c>
      <c r="I1055" s="5" t="s">
        <v>315</v>
      </c>
      <c r="J1055" s="5" t="s">
        <v>316</v>
      </c>
      <c r="K1055" s="5" t="s">
        <v>34</v>
      </c>
      <c r="L1055">
        <v>5</v>
      </c>
      <c r="M1055">
        <v>65.739999999999995</v>
      </c>
      <c r="N1055" s="8">
        <v>6.57</v>
      </c>
      <c r="O1055" s="8">
        <v>322.13</v>
      </c>
      <c r="P1055" s="8">
        <v>16.11</v>
      </c>
      <c r="Q1055" s="10">
        <v>30</v>
      </c>
      <c r="R1055" s="10">
        <v>5</v>
      </c>
      <c r="S1055" s="8">
        <v>373.24</v>
      </c>
      <c r="T1055">
        <v>24</v>
      </c>
      <c r="U1055" t="str">
        <f t="shared" si="16"/>
        <v>Tuesday</v>
      </c>
    </row>
    <row r="1056" spans="1:21" x14ac:dyDescent="0.3">
      <c r="A1056" s="5" t="s">
        <v>2805</v>
      </c>
      <c r="B1056" s="3" t="s">
        <v>3709</v>
      </c>
      <c r="C1056" s="5" t="s">
        <v>812</v>
      </c>
      <c r="D1056" s="5" t="s">
        <v>21</v>
      </c>
      <c r="E1056" s="5" t="s">
        <v>22</v>
      </c>
      <c r="F1056" s="5" t="s">
        <v>37</v>
      </c>
      <c r="G1056" t="s">
        <v>2806</v>
      </c>
      <c r="H1056" s="5" t="s">
        <v>3677</v>
      </c>
      <c r="I1056" s="5" t="s">
        <v>320</v>
      </c>
      <c r="J1056" s="5" t="s">
        <v>321</v>
      </c>
      <c r="K1056" s="5" t="s">
        <v>40</v>
      </c>
      <c r="L1056">
        <v>2</v>
      </c>
      <c r="M1056">
        <v>131.36000000000001</v>
      </c>
      <c r="N1056" s="8">
        <v>19.7</v>
      </c>
      <c r="O1056" s="8">
        <v>243.02</v>
      </c>
      <c r="P1056" s="8">
        <v>12.15</v>
      </c>
      <c r="Q1056" s="10">
        <v>30</v>
      </c>
      <c r="R1056" s="10">
        <v>0</v>
      </c>
      <c r="S1056" s="8">
        <v>285.17000000000007</v>
      </c>
      <c r="T1056">
        <v>32</v>
      </c>
      <c r="U1056" t="str">
        <f t="shared" si="16"/>
        <v>Thursday</v>
      </c>
    </row>
    <row r="1057" spans="1:21" x14ac:dyDescent="0.3">
      <c r="A1057" s="5" t="s">
        <v>2807</v>
      </c>
      <c r="B1057" s="3" t="s">
        <v>3722</v>
      </c>
      <c r="C1057" s="5" t="s">
        <v>817</v>
      </c>
      <c r="D1057" s="5" t="s">
        <v>21</v>
      </c>
      <c r="E1057" s="5" t="s">
        <v>69</v>
      </c>
      <c r="F1057" s="5" t="s">
        <v>37</v>
      </c>
      <c r="G1057" t="s">
        <v>2808</v>
      </c>
      <c r="H1057" s="5" t="s">
        <v>3673</v>
      </c>
      <c r="I1057" s="5" t="s">
        <v>325</v>
      </c>
      <c r="J1057" s="5" t="s">
        <v>326</v>
      </c>
      <c r="K1057" s="5" t="s">
        <v>40</v>
      </c>
      <c r="L1057">
        <v>1</v>
      </c>
      <c r="M1057">
        <v>223.85</v>
      </c>
      <c r="N1057" s="8">
        <v>11.19</v>
      </c>
      <c r="O1057" s="8">
        <v>212.66</v>
      </c>
      <c r="P1057" s="8">
        <v>10.63</v>
      </c>
      <c r="Q1057" s="10">
        <v>10</v>
      </c>
      <c r="R1057" s="10">
        <v>0</v>
      </c>
      <c r="S1057" s="8">
        <v>233.29</v>
      </c>
      <c r="T1057">
        <v>16</v>
      </c>
      <c r="U1057" t="str">
        <f t="shared" si="16"/>
        <v>Friday</v>
      </c>
    </row>
    <row r="1058" spans="1:21" x14ac:dyDescent="0.3">
      <c r="A1058" s="5" t="s">
        <v>2809</v>
      </c>
      <c r="B1058" s="3" t="s">
        <v>3733</v>
      </c>
      <c r="C1058" s="5" t="s">
        <v>822</v>
      </c>
      <c r="D1058" s="5" t="s">
        <v>106</v>
      </c>
      <c r="E1058" s="5" t="s">
        <v>83</v>
      </c>
      <c r="F1058" s="5" t="s">
        <v>37</v>
      </c>
      <c r="G1058" t="s">
        <v>2810</v>
      </c>
      <c r="H1058" s="5" t="s">
        <v>100</v>
      </c>
      <c r="I1058" s="5" t="s">
        <v>329</v>
      </c>
      <c r="J1058" s="5" t="s">
        <v>330</v>
      </c>
      <c r="K1058" s="5" t="s">
        <v>34</v>
      </c>
      <c r="L1058">
        <v>3</v>
      </c>
      <c r="M1058">
        <v>110.96</v>
      </c>
      <c r="N1058" s="8">
        <v>16.64</v>
      </c>
      <c r="O1058" s="8">
        <v>316.24</v>
      </c>
      <c r="P1058" s="8">
        <v>15.81</v>
      </c>
      <c r="Q1058" s="10">
        <v>10</v>
      </c>
      <c r="R1058" s="10">
        <v>0</v>
      </c>
      <c r="S1058" s="8">
        <v>342.05</v>
      </c>
      <c r="T1058">
        <v>25</v>
      </c>
      <c r="U1058" t="str">
        <f t="shared" si="16"/>
        <v>Sunday</v>
      </c>
    </row>
    <row r="1059" spans="1:21" x14ac:dyDescent="0.3">
      <c r="A1059" s="5" t="s">
        <v>2811</v>
      </c>
      <c r="B1059" s="3" t="s">
        <v>3725</v>
      </c>
      <c r="C1059" s="5" t="s">
        <v>827</v>
      </c>
      <c r="D1059" s="5" t="s">
        <v>21</v>
      </c>
      <c r="E1059" s="5" t="s">
        <v>69</v>
      </c>
      <c r="F1059" s="5" t="s">
        <v>23</v>
      </c>
      <c r="G1059" t="s">
        <v>2812</v>
      </c>
      <c r="H1059" s="5" t="s">
        <v>3677</v>
      </c>
      <c r="I1059" s="5" t="s">
        <v>334</v>
      </c>
      <c r="J1059" s="5" t="s">
        <v>335</v>
      </c>
      <c r="K1059" s="5" t="s">
        <v>45</v>
      </c>
      <c r="L1059">
        <v>2</v>
      </c>
      <c r="M1059">
        <v>102.91</v>
      </c>
      <c r="N1059" s="8">
        <v>5.15</v>
      </c>
      <c r="O1059" s="8">
        <v>200.67</v>
      </c>
      <c r="P1059" s="8">
        <v>10.029999999999999</v>
      </c>
      <c r="Q1059" s="10">
        <v>30</v>
      </c>
      <c r="R1059" s="10">
        <v>20</v>
      </c>
      <c r="S1059" s="8">
        <v>260.7</v>
      </c>
      <c r="T1059">
        <v>20</v>
      </c>
      <c r="U1059" t="str">
        <f t="shared" si="16"/>
        <v>Wednesday</v>
      </c>
    </row>
    <row r="1060" spans="1:21" x14ac:dyDescent="0.3">
      <c r="A1060" s="5" t="s">
        <v>2813</v>
      </c>
      <c r="B1060" s="3" t="s">
        <v>3716</v>
      </c>
      <c r="C1060" s="5" t="s">
        <v>831</v>
      </c>
      <c r="D1060" s="5" t="s">
        <v>21</v>
      </c>
      <c r="E1060" s="5" t="s">
        <v>76</v>
      </c>
      <c r="F1060" s="5" t="s">
        <v>37</v>
      </c>
      <c r="G1060" t="s">
        <v>2814</v>
      </c>
      <c r="H1060" s="5" t="s">
        <v>3674</v>
      </c>
      <c r="I1060" s="5" t="s">
        <v>339</v>
      </c>
      <c r="J1060" s="5" t="s">
        <v>340</v>
      </c>
      <c r="K1060" s="5" t="s">
        <v>22</v>
      </c>
      <c r="L1060">
        <v>1</v>
      </c>
      <c r="M1060">
        <v>106.71</v>
      </c>
      <c r="N1060" s="8">
        <v>0</v>
      </c>
      <c r="O1060" s="8">
        <v>106.71</v>
      </c>
      <c r="P1060" s="8">
        <v>5.34</v>
      </c>
      <c r="Q1060" s="10">
        <v>20</v>
      </c>
      <c r="R1060" s="10">
        <v>10</v>
      </c>
      <c r="S1060" s="8">
        <v>142.05000000000001</v>
      </c>
      <c r="T1060">
        <v>25</v>
      </c>
      <c r="U1060" t="str">
        <f t="shared" si="16"/>
        <v>Saturday</v>
      </c>
    </row>
    <row r="1061" spans="1:21" x14ac:dyDescent="0.3">
      <c r="A1061" s="5" t="s">
        <v>2815</v>
      </c>
      <c r="B1061" s="3" t="s">
        <v>3727</v>
      </c>
      <c r="C1061" s="5" t="s">
        <v>835</v>
      </c>
      <c r="D1061" s="5" t="s">
        <v>21</v>
      </c>
      <c r="E1061" s="5" t="s">
        <v>69</v>
      </c>
      <c r="F1061" s="5" t="s">
        <v>23</v>
      </c>
      <c r="G1061" t="s">
        <v>2816</v>
      </c>
      <c r="H1061" s="5" t="s">
        <v>3673</v>
      </c>
      <c r="I1061" s="5" t="s">
        <v>344</v>
      </c>
      <c r="J1061" s="5" t="s">
        <v>345</v>
      </c>
      <c r="K1061" s="5" t="s">
        <v>45</v>
      </c>
      <c r="L1061">
        <v>3</v>
      </c>
      <c r="M1061">
        <v>152.11000000000001</v>
      </c>
      <c r="N1061" s="8">
        <v>0</v>
      </c>
      <c r="O1061" s="8">
        <v>456.33</v>
      </c>
      <c r="P1061" s="8">
        <v>22.82</v>
      </c>
      <c r="Q1061" s="10">
        <v>0</v>
      </c>
      <c r="R1061" s="10">
        <v>10</v>
      </c>
      <c r="S1061" s="8">
        <v>489.15</v>
      </c>
      <c r="T1061">
        <v>27</v>
      </c>
      <c r="U1061" t="str">
        <f t="shared" si="16"/>
        <v>Friday</v>
      </c>
    </row>
    <row r="1062" spans="1:21" x14ac:dyDescent="0.3">
      <c r="A1062" s="5" t="s">
        <v>2817</v>
      </c>
      <c r="B1062" s="3" t="s">
        <v>3736</v>
      </c>
      <c r="C1062" s="5" t="s">
        <v>840</v>
      </c>
      <c r="D1062" s="5" t="s">
        <v>21</v>
      </c>
      <c r="E1062" s="5" t="s">
        <v>36</v>
      </c>
      <c r="F1062" s="5" t="s">
        <v>23</v>
      </c>
      <c r="G1062" t="s">
        <v>2818</v>
      </c>
      <c r="H1062" s="5" t="s">
        <v>3673</v>
      </c>
      <c r="I1062" s="5" t="s">
        <v>349</v>
      </c>
      <c r="J1062" s="5" t="s">
        <v>350</v>
      </c>
      <c r="K1062" s="5" t="s">
        <v>196</v>
      </c>
      <c r="L1062">
        <v>3</v>
      </c>
      <c r="M1062">
        <v>65.260000000000005</v>
      </c>
      <c r="N1062" s="8">
        <v>9.7899999999999991</v>
      </c>
      <c r="O1062" s="8">
        <v>185.99</v>
      </c>
      <c r="P1062" s="8">
        <v>9.3000000000000007</v>
      </c>
      <c r="Q1062" s="10">
        <v>0</v>
      </c>
      <c r="R1062" s="10">
        <v>10</v>
      </c>
      <c r="S1062" s="8">
        <v>205.29</v>
      </c>
      <c r="T1062">
        <v>32</v>
      </c>
      <c r="U1062" t="str">
        <f t="shared" si="16"/>
        <v>Tuesday</v>
      </c>
    </row>
    <row r="1063" spans="1:21" x14ac:dyDescent="0.3">
      <c r="A1063" s="5" t="s">
        <v>2819</v>
      </c>
      <c r="B1063" s="3" t="s">
        <v>3722</v>
      </c>
      <c r="C1063" s="5" t="s">
        <v>845</v>
      </c>
      <c r="D1063" s="5" t="s">
        <v>21</v>
      </c>
      <c r="E1063" s="5" t="s">
        <v>36</v>
      </c>
      <c r="F1063" s="5" t="s">
        <v>23</v>
      </c>
      <c r="G1063" t="s">
        <v>2820</v>
      </c>
      <c r="H1063" s="5" t="s">
        <v>3676</v>
      </c>
      <c r="I1063" s="5" t="s">
        <v>354</v>
      </c>
      <c r="J1063" s="5" t="s">
        <v>355</v>
      </c>
      <c r="K1063" s="5" t="s">
        <v>45</v>
      </c>
      <c r="L1063">
        <v>3</v>
      </c>
      <c r="M1063">
        <v>109.92</v>
      </c>
      <c r="N1063" s="8">
        <v>10.99</v>
      </c>
      <c r="O1063" s="8">
        <v>318.77</v>
      </c>
      <c r="P1063" s="8">
        <v>15.94</v>
      </c>
      <c r="Q1063" s="10">
        <v>20</v>
      </c>
      <c r="R1063" s="10">
        <v>0</v>
      </c>
      <c r="S1063" s="8">
        <v>354.71</v>
      </c>
      <c r="T1063">
        <v>24.67</v>
      </c>
      <c r="U1063" t="str">
        <f t="shared" si="16"/>
        <v>Friday</v>
      </c>
    </row>
    <row r="1064" spans="1:21" x14ac:dyDescent="0.3">
      <c r="A1064" s="5" t="s">
        <v>2821</v>
      </c>
      <c r="B1064" s="3" t="s">
        <v>3727</v>
      </c>
      <c r="C1064" s="5" t="s">
        <v>850</v>
      </c>
      <c r="D1064" s="5" t="s">
        <v>21</v>
      </c>
      <c r="E1064" s="5" t="s">
        <v>69</v>
      </c>
      <c r="F1064" s="5" t="s">
        <v>42</v>
      </c>
      <c r="G1064" t="s">
        <v>2822</v>
      </c>
      <c r="H1064" s="5" t="s">
        <v>100</v>
      </c>
      <c r="I1064" s="5" t="s">
        <v>359</v>
      </c>
      <c r="J1064" s="5" t="s">
        <v>360</v>
      </c>
      <c r="K1064" s="5" t="s">
        <v>34</v>
      </c>
      <c r="L1064">
        <v>1</v>
      </c>
      <c r="M1064">
        <v>130.03</v>
      </c>
      <c r="N1064" s="8">
        <v>6.5</v>
      </c>
      <c r="O1064" s="8">
        <v>123.53</v>
      </c>
      <c r="P1064" s="8">
        <v>6.18</v>
      </c>
      <c r="Q1064" s="10">
        <v>10</v>
      </c>
      <c r="R1064" s="10">
        <v>20</v>
      </c>
      <c r="S1064" s="8">
        <v>159.71</v>
      </c>
      <c r="T1064">
        <v>25</v>
      </c>
      <c r="U1064" t="str">
        <f t="shared" si="16"/>
        <v>Friday</v>
      </c>
    </row>
    <row r="1065" spans="1:21" x14ac:dyDescent="0.3">
      <c r="A1065" s="5" t="s">
        <v>2823</v>
      </c>
      <c r="B1065" s="3" t="s">
        <v>3722</v>
      </c>
      <c r="C1065" s="5" t="s">
        <v>855</v>
      </c>
      <c r="D1065" s="5" t="s">
        <v>21</v>
      </c>
      <c r="E1065" s="5" t="s">
        <v>69</v>
      </c>
      <c r="F1065" s="5" t="s">
        <v>37</v>
      </c>
      <c r="G1065" t="s">
        <v>2824</v>
      </c>
      <c r="H1065" s="5" t="s">
        <v>3677</v>
      </c>
      <c r="I1065" s="5" t="s">
        <v>364</v>
      </c>
      <c r="J1065" s="5" t="s">
        <v>365</v>
      </c>
      <c r="K1065" s="5" t="s">
        <v>45</v>
      </c>
      <c r="L1065">
        <v>3</v>
      </c>
      <c r="M1065">
        <v>219.09</v>
      </c>
      <c r="N1065" s="8">
        <v>32.86</v>
      </c>
      <c r="O1065" s="8">
        <v>624.41</v>
      </c>
      <c r="P1065" s="8">
        <v>31.22</v>
      </c>
      <c r="Q1065" s="10">
        <v>10</v>
      </c>
      <c r="R1065" s="10">
        <v>20</v>
      </c>
      <c r="S1065" s="8">
        <v>685.63</v>
      </c>
      <c r="T1065">
        <v>30</v>
      </c>
      <c r="U1065" t="str">
        <f t="shared" si="16"/>
        <v>Friday</v>
      </c>
    </row>
    <row r="1066" spans="1:21" x14ac:dyDescent="0.3">
      <c r="A1066" s="5" t="s">
        <v>2825</v>
      </c>
      <c r="B1066" s="3" t="s">
        <v>3697</v>
      </c>
      <c r="C1066" s="5" t="s">
        <v>860</v>
      </c>
      <c r="D1066" s="5" t="s">
        <v>21</v>
      </c>
      <c r="E1066" s="5" t="s">
        <v>112</v>
      </c>
      <c r="F1066" s="5" t="s">
        <v>23</v>
      </c>
      <c r="G1066" t="s">
        <v>2826</v>
      </c>
      <c r="H1066" s="5" t="s">
        <v>3673</v>
      </c>
      <c r="I1066" s="5" t="s">
        <v>369</v>
      </c>
      <c r="J1066" s="5" t="s">
        <v>370</v>
      </c>
      <c r="K1066" s="5" t="s">
        <v>45</v>
      </c>
      <c r="L1066">
        <v>1</v>
      </c>
      <c r="M1066">
        <v>125.88</v>
      </c>
      <c r="N1066" s="8">
        <v>12.59</v>
      </c>
      <c r="O1066" s="8">
        <v>113.29</v>
      </c>
      <c r="P1066" s="8">
        <v>5.66</v>
      </c>
      <c r="Q1066" s="10">
        <v>10</v>
      </c>
      <c r="R1066" s="10">
        <v>15</v>
      </c>
      <c r="S1066" s="8">
        <v>143.94999999999999</v>
      </c>
      <c r="T1066">
        <v>21</v>
      </c>
      <c r="U1066" t="str">
        <f t="shared" si="16"/>
        <v>Saturday</v>
      </c>
    </row>
    <row r="1067" spans="1:21" x14ac:dyDescent="0.3">
      <c r="A1067" s="5" t="s">
        <v>2827</v>
      </c>
      <c r="B1067" s="3" t="s">
        <v>3720</v>
      </c>
      <c r="C1067" s="5" t="s">
        <v>865</v>
      </c>
      <c r="D1067" s="5" t="s">
        <v>21</v>
      </c>
      <c r="E1067" s="5" t="s">
        <v>112</v>
      </c>
      <c r="F1067" s="5" t="s">
        <v>37</v>
      </c>
      <c r="G1067" t="s">
        <v>2828</v>
      </c>
      <c r="H1067" s="5" t="s">
        <v>3677</v>
      </c>
      <c r="I1067" s="5" t="s">
        <v>374</v>
      </c>
      <c r="J1067" s="5" t="s">
        <v>375</v>
      </c>
      <c r="K1067" s="5" t="s">
        <v>73</v>
      </c>
      <c r="L1067">
        <v>1</v>
      </c>
      <c r="M1067">
        <v>23.63</v>
      </c>
      <c r="N1067" s="8">
        <v>3.54</v>
      </c>
      <c r="O1067" s="8">
        <v>20.09</v>
      </c>
      <c r="P1067" s="8">
        <v>1</v>
      </c>
      <c r="Q1067" s="10">
        <v>20</v>
      </c>
      <c r="R1067" s="10">
        <v>0</v>
      </c>
      <c r="S1067" s="8">
        <v>41.09</v>
      </c>
      <c r="T1067">
        <v>22</v>
      </c>
      <c r="U1067" t="str">
        <f t="shared" si="16"/>
        <v>Monday</v>
      </c>
    </row>
    <row r="1068" spans="1:21" x14ac:dyDescent="0.3">
      <c r="A1068" s="5" t="s">
        <v>2829</v>
      </c>
      <c r="B1068" s="3" t="s">
        <v>3687</v>
      </c>
      <c r="C1068" s="5" t="s">
        <v>870</v>
      </c>
      <c r="D1068" s="5" t="s">
        <v>21</v>
      </c>
      <c r="E1068" s="5" t="s">
        <v>76</v>
      </c>
      <c r="F1068" s="5" t="s">
        <v>23</v>
      </c>
      <c r="G1068" t="s">
        <v>2830</v>
      </c>
      <c r="H1068" s="5" t="s">
        <v>3674</v>
      </c>
      <c r="I1068" s="5" t="s">
        <v>379</v>
      </c>
      <c r="J1068" s="5" t="s">
        <v>380</v>
      </c>
      <c r="K1068" s="5" t="s">
        <v>22</v>
      </c>
      <c r="L1068">
        <v>4</v>
      </c>
      <c r="M1068">
        <v>140.13</v>
      </c>
      <c r="N1068" s="8">
        <v>7.01</v>
      </c>
      <c r="O1068" s="8">
        <v>553.51</v>
      </c>
      <c r="P1068" s="8">
        <v>27.68</v>
      </c>
      <c r="Q1068" s="10">
        <v>10</v>
      </c>
      <c r="R1068" s="10">
        <v>15</v>
      </c>
      <c r="S1068" s="8">
        <v>606.18999999999994</v>
      </c>
      <c r="T1068">
        <v>22</v>
      </c>
      <c r="U1068" t="str">
        <f t="shared" si="16"/>
        <v>Friday</v>
      </c>
    </row>
    <row r="1069" spans="1:21" x14ac:dyDescent="0.3">
      <c r="A1069" s="5" t="s">
        <v>2831</v>
      </c>
      <c r="B1069" s="3" t="s">
        <v>3733</v>
      </c>
      <c r="C1069" s="5" t="s">
        <v>875</v>
      </c>
      <c r="D1069" s="5" t="s">
        <v>21</v>
      </c>
      <c r="E1069" s="5" t="s">
        <v>112</v>
      </c>
      <c r="F1069" s="5" t="s">
        <v>42</v>
      </c>
      <c r="G1069" t="s">
        <v>2832</v>
      </c>
      <c r="H1069" s="5" t="s">
        <v>3674</v>
      </c>
      <c r="I1069" s="5" t="s">
        <v>383</v>
      </c>
      <c r="J1069" s="5" t="s">
        <v>384</v>
      </c>
      <c r="K1069" s="5" t="s">
        <v>40</v>
      </c>
      <c r="L1069">
        <v>2</v>
      </c>
      <c r="M1069">
        <v>124.87</v>
      </c>
      <c r="N1069" s="8">
        <v>6.24</v>
      </c>
      <c r="O1069" s="8">
        <v>243.5</v>
      </c>
      <c r="P1069" s="8">
        <v>12.18</v>
      </c>
      <c r="Q1069" s="10">
        <v>20</v>
      </c>
      <c r="R1069" s="10">
        <v>10</v>
      </c>
      <c r="S1069" s="8">
        <v>285.68</v>
      </c>
      <c r="T1069">
        <v>24.67</v>
      </c>
      <c r="U1069" t="str">
        <f t="shared" si="16"/>
        <v>Sunday</v>
      </c>
    </row>
    <row r="1070" spans="1:21" x14ac:dyDescent="0.3">
      <c r="A1070" s="5" t="s">
        <v>2833</v>
      </c>
      <c r="B1070" s="3" t="s">
        <v>3726</v>
      </c>
      <c r="C1070" s="5" t="s">
        <v>880</v>
      </c>
      <c r="D1070" s="5" t="s">
        <v>21</v>
      </c>
      <c r="E1070" s="5" t="s">
        <v>76</v>
      </c>
      <c r="F1070" s="5" t="s">
        <v>42</v>
      </c>
      <c r="G1070" t="s">
        <v>2834</v>
      </c>
      <c r="H1070" s="5" t="s">
        <v>25</v>
      </c>
      <c r="I1070" s="5" t="s">
        <v>388</v>
      </c>
      <c r="J1070" s="5" t="s">
        <v>389</v>
      </c>
      <c r="K1070" s="5" t="s">
        <v>145</v>
      </c>
      <c r="L1070">
        <v>1</v>
      </c>
      <c r="M1070">
        <v>79.81</v>
      </c>
      <c r="N1070" s="8">
        <v>11.97</v>
      </c>
      <c r="O1070" s="8">
        <v>67.84</v>
      </c>
      <c r="P1070" s="8">
        <v>3.39</v>
      </c>
      <c r="Q1070" s="10">
        <v>0</v>
      </c>
      <c r="R1070" s="10">
        <v>10</v>
      </c>
      <c r="S1070" s="8">
        <v>81.23</v>
      </c>
      <c r="T1070">
        <v>29</v>
      </c>
      <c r="U1070" t="str">
        <f t="shared" si="16"/>
        <v>Monday</v>
      </c>
    </row>
    <row r="1071" spans="1:21" x14ac:dyDescent="0.3">
      <c r="A1071" s="5" t="s">
        <v>2835</v>
      </c>
      <c r="B1071" s="3" t="s">
        <v>3723</v>
      </c>
      <c r="C1071" s="5" t="s">
        <v>885</v>
      </c>
      <c r="D1071" s="5" t="s">
        <v>21</v>
      </c>
      <c r="E1071" s="5" t="s">
        <v>69</v>
      </c>
      <c r="F1071" s="5" t="s">
        <v>37</v>
      </c>
      <c r="H1071" s="5" t="s">
        <v>3675</v>
      </c>
      <c r="I1071" s="5" t="s">
        <v>393</v>
      </c>
      <c r="J1071" s="5" t="s">
        <v>394</v>
      </c>
      <c r="K1071" s="5" t="s">
        <v>34</v>
      </c>
      <c r="L1071">
        <v>1</v>
      </c>
      <c r="M1071">
        <v>206.52</v>
      </c>
      <c r="N1071" s="8">
        <v>10.33</v>
      </c>
      <c r="O1071" s="8">
        <v>196.19</v>
      </c>
      <c r="P1071" s="8">
        <v>9.81</v>
      </c>
      <c r="Q1071" s="10">
        <v>10</v>
      </c>
      <c r="R1071" s="10">
        <v>5</v>
      </c>
      <c r="S1071" s="8">
        <v>221</v>
      </c>
      <c r="T1071">
        <v>19</v>
      </c>
      <c r="U1071" t="str">
        <f t="shared" si="16"/>
        <v>Monday</v>
      </c>
    </row>
    <row r="1072" spans="1:21" x14ac:dyDescent="0.3">
      <c r="A1072" s="5" t="s">
        <v>2836</v>
      </c>
      <c r="B1072" s="3" t="s">
        <v>3688</v>
      </c>
      <c r="C1072" s="5" t="s">
        <v>890</v>
      </c>
      <c r="D1072" s="5" t="s">
        <v>21</v>
      </c>
      <c r="E1072" s="5" t="s">
        <v>76</v>
      </c>
      <c r="F1072" s="5" t="s">
        <v>42</v>
      </c>
      <c r="H1072" s="5" t="s">
        <v>25</v>
      </c>
      <c r="I1072" s="5" t="s">
        <v>398</v>
      </c>
      <c r="J1072" s="5" t="s">
        <v>399</v>
      </c>
      <c r="K1072" s="5" t="s">
        <v>28</v>
      </c>
      <c r="L1072">
        <v>3</v>
      </c>
      <c r="M1072">
        <v>128.41999999999999</v>
      </c>
      <c r="N1072" s="8">
        <v>0</v>
      </c>
      <c r="O1072" s="8">
        <v>385.26</v>
      </c>
      <c r="P1072" s="8">
        <v>19.260000000000002</v>
      </c>
      <c r="Q1072" s="10">
        <v>0</v>
      </c>
      <c r="R1072" s="10">
        <v>15</v>
      </c>
      <c r="S1072" s="8">
        <v>419.52</v>
      </c>
      <c r="T1072">
        <v>35</v>
      </c>
      <c r="U1072" t="str">
        <f t="shared" si="16"/>
        <v>Saturday</v>
      </c>
    </row>
    <row r="1073" spans="1:21" x14ac:dyDescent="0.3">
      <c r="A1073" s="5" t="s">
        <v>2837</v>
      </c>
      <c r="B1073" s="3" t="s">
        <v>3693</v>
      </c>
      <c r="C1073" s="5" t="s">
        <v>895</v>
      </c>
      <c r="D1073" s="5" t="s">
        <v>21</v>
      </c>
      <c r="E1073" s="5" t="s">
        <v>22</v>
      </c>
      <c r="F1073" s="5" t="s">
        <v>42</v>
      </c>
      <c r="G1073" t="s">
        <v>2838</v>
      </c>
      <c r="H1073" s="5" t="s">
        <v>25</v>
      </c>
      <c r="I1073" s="5" t="s">
        <v>403</v>
      </c>
      <c r="J1073" s="5" t="s">
        <v>404</v>
      </c>
      <c r="K1073" s="5" t="s">
        <v>22</v>
      </c>
      <c r="L1073">
        <v>1</v>
      </c>
      <c r="M1073">
        <v>158.09</v>
      </c>
      <c r="N1073" s="8">
        <v>7.9</v>
      </c>
      <c r="O1073" s="8">
        <v>150.19</v>
      </c>
      <c r="P1073" s="8">
        <v>7.51</v>
      </c>
      <c r="Q1073" s="10">
        <v>20</v>
      </c>
      <c r="R1073" s="10">
        <v>20</v>
      </c>
      <c r="S1073" s="8">
        <v>197.7</v>
      </c>
      <c r="T1073">
        <v>24.67</v>
      </c>
      <c r="U1073" t="str">
        <f t="shared" si="16"/>
        <v>Thursday</v>
      </c>
    </row>
    <row r="1074" spans="1:21" x14ac:dyDescent="0.3">
      <c r="A1074" s="5" t="s">
        <v>2839</v>
      </c>
      <c r="B1074" s="3" t="s">
        <v>3734</v>
      </c>
      <c r="C1074" s="5" t="s">
        <v>900</v>
      </c>
      <c r="D1074" s="5" t="s">
        <v>21</v>
      </c>
      <c r="E1074" s="5" t="s">
        <v>76</v>
      </c>
      <c r="F1074" s="5" t="s">
        <v>37</v>
      </c>
      <c r="H1074" s="5" t="s">
        <v>3673</v>
      </c>
      <c r="I1074" s="5" t="s">
        <v>408</v>
      </c>
      <c r="J1074" s="5" t="s">
        <v>409</v>
      </c>
      <c r="K1074" s="5" t="s">
        <v>34</v>
      </c>
      <c r="L1074">
        <v>1</v>
      </c>
      <c r="M1074">
        <v>50.69</v>
      </c>
      <c r="N1074" s="8">
        <v>5.07</v>
      </c>
      <c r="O1074" s="8">
        <v>45.62</v>
      </c>
      <c r="P1074" s="8">
        <v>2.2799999999999998</v>
      </c>
      <c r="Q1074" s="10">
        <v>20</v>
      </c>
      <c r="R1074" s="10">
        <v>10</v>
      </c>
      <c r="S1074" s="8">
        <v>77.900000000000006</v>
      </c>
      <c r="T1074">
        <v>20</v>
      </c>
      <c r="U1074" t="str">
        <f t="shared" si="16"/>
        <v>Monday</v>
      </c>
    </row>
    <row r="1075" spans="1:21" x14ac:dyDescent="0.3">
      <c r="A1075" s="5" t="s">
        <v>2840</v>
      </c>
      <c r="B1075" s="3" t="s">
        <v>3680</v>
      </c>
      <c r="C1075" s="5" t="s">
        <v>905</v>
      </c>
      <c r="D1075" s="5" t="s">
        <v>21</v>
      </c>
      <c r="E1075" s="5" t="s">
        <v>76</v>
      </c>
      <c r="F1075" s="5" t="s">
        <v>23</v>
      </c>
      <c r="G1075" t="s">
        <v>2841</v>
      </c>
      <c r="H1075" s="5" t="s">
        <v>3675</v>
      </c>
      <c r="I1075" s="5" t="s">
        <v>413</v>
      </c>
      <c r="J1075" s="5" t="s">
        <v>414</v>
      </c>
      <c r="K1075" s="5" t="s">
        <v>28</v>
      </c>
      <c r="L1075">
        <v>4</v>
      </c>
      <c r="M1075">
        <v>41.05</v>
      </c>
      <c r="N1075" s="8">
        <v>2.0499999999999998</v>
      </c>
      <c r="O1075" s="8">
        <v>162.15</v>
      </c>
      <c r="P1075" s="8">
        <v>8.11</v>
      </c>
      <c r="Q1075" s="10">
        <v>0</v>
      </c>
      <c r="R1075" s="10">
        <v>0</v>
      </c>
      <c r="S1075" s="8">
        <v>170.26</v>
      </c>
      <c r="T1075">
        <v>9</v>
      </c>
      <c r="U1075" t="str">
        <f t="shared" si="16"/>
        <v>Wednesday</v>
      </c>
    </row>
    <row r="1076" spans="1:21" x14ac:dyDescent="0.3">
      <c r="A1076" s="5" t="s">
        <v>2842</v>
      </c>
      <c r="B1076" s="3" t="s">
        <v>3680</v>
      </c>
      <c r="C1076" s="5" t="s">
        <v>910</v>
      </c>
      <c r="D1076" s="5" t="s">
        <v>21</v>
      </c>
      <c r="E1076" s="5" t="s">
        <v>69</v>
      </c>
      <c r="F1076" s="5" t="s">
        <v>23</v>
      </c>
      <c r="G1076" t="s">
        <v>2843</v>
      </c>
      <c r="H1076" s="5" t="s">
        <v>3673</v>
      </c>
      <c r="I1076" s="5" t="s">
        <v>418</v>
      </c>
      <c r="J1076" s="5" t="s">
        <v>419</v>
      </c>
      <c r="K1076" s="5" t="s">
        <v>196</v>
      </c>
      <c r="L1076">
        <v>1</v>
      </c>
      <c r="M1076">
        <v>122.48</v>
      </c>
      <c r="N1076" s="8">
        <v>12.25</v>
      </c>
      <c r="O1076" s="8">
        <v>110.23</v>
      </c>
      <c r="P1076" s="8">
        <v>5.51</v>
      </c>
      <c r="Q1076" s="10">
        <v>10</v>
      </c>
      <c r="R1076" s="10">
        <v>15</v>
      </c>
      <c r="S1076" s="8">
        <v>140.74</v>
      </c>
      <c r="T1076">
        <v>20</v>
      </c>
      <c r="U1076" t="str">
        <f t="shared" si="16"/>
        <v>Wednesday</v>
      </c>
    </row>
    <row r="1077" spans="1:21" x14ac:dyDescent="0.3">
      <c r="A1077" s="5" t="s">
        <v>2844</v>
      </c>
      <c r="B1077" s="3" t="s">
        <v>3729</v>
      </c>
      <c r="C1077" s="5" t="s">
        <v>915</v>
      </c>
      <c r="D1077" s="5" t="s">
        <v>106</v>
      </c>
      <c r="E1077" s="5" t="s">
        <v>83</v>
      </c>
      <c r="F1077" s="5" t="s">
        <v>42</v>
      </c>
      <c r="G1077" t="s">
        <v>2845</v>
      </c>
      <c r="H1077" s="5" t="s">
        <v>3673</v>
      </c>
      <c r="I1077" s="5" t="s">
        <v>423</v>
      </c>
      <c r="J1077" s="5" t="s">
        <v>424</v>
      </c>
      <c r="K1077" s="5" t="s">
        <v>34</v>
      </c>
      <c r="L1077">
        <v>2</v>
      </c>
      <c r="M1077">
        <v>127.82</v>
      </c>
      <c r="N1077" s="8">
        <v>12.78</v>
      </c>
      <c r="O1077" s="8">
        <v>242.86</v>
      </c>
      <c r="P1077" s="8">
        <v>12.14</v>
      </c>
      <c r="Q1077" s="10">
        <v>0</v>
      </c>
      <c r="R1077" s="10">
        <v>20</v>
      </c>
      <c r="S1077" s="8">
        <v>275</v>
      </c>
      <c r="T1077">
        <v>24.67</v>
      </c>
      <c r="U1077" t="str">
        <f t="shared" si="16"/>
        <v>Monday</v>
      </c>
    </row>
    <row r="1078" spans="1:21" x14ac:dyDescent="0.3">
      <c r="A1078" s="5" t="s">
        <v>2846</v>
      </c>
      <c r="B1078" s="3" t="s">
        <v>3686</v>
      </c>
      <c r="C1078" s="5" t="s">
        <v>920</v>
      </c>
      <c r="D1078" s="5" t="s">
        <v>21</v>
      </c>
      <c r="E1078" s="5" t="s">
        <v>36</v>
      </c>
      <c r="F1078" s="5" t="s">
        <v>37</v>
      </c>
      <c r="G1078" t="s">
        <v>2847</v>
      </c>
      <c r="H1078" s="5" t="s">
        <v>3673</v>
      </c>
      <c r="I1078" s="5" t="s">
        <v>427</v>
      </c>
      <c r="J1078" s="5" t="s">
        <v>428</v>
      </c>
      <c r="K1078" s="5" t="s">
        <v>34</v>
      </c>
      <c r="L1078">
        <v>3</v>
      </c>
      <c r="M1078">
        <v>234.1</v>
      </c>
      <c r="N1078" s="8">
        <v>11.71</v>
      </c>
      <c r="O1078" s="8">
        <v>690.58999999999992</v>
      </c>
      <c r="P1078" s="8">
        <v>34.53</v>
      </c>
      <c r="Q1078" s="10">
        <v>10</v>
      </c>
      <c r="R1078" s="10">
        <v>10</v>
      </c>
      <c r="S1078" s="8">
        <v>745.11999999999989</v>
      </c>
      <c r="T1078">
        <v>52</v>
      </c>
      <c r="U1078" t="str">
        <f t="shared" si="16"/>
        <v>Saturday</v>
      </c>
    </row>
    <row r="1079" spans="1:21" x14ac:dyDescent="0.3">
      <c r="A1079" s="5" t="s">
        <v>2848</v>
      </c>
      <c r="B1079" s="3" t="s">
        <v>3709</v>
      </c>
      <c r="C1079" s="5" t="s">
        <v>925</v>
      </c>
      <c r="D1079" s="5" t="s">
        <v>21</v>
      </c>
      <c r="E1079" s="5" t="s">
        <v>76</v>
      </c>
      <c r="F1079" s="5" t="s">
        <v>42</v>
      </c>
      <c r="G1079" t="s">
        <v>2849</v>
      </c>
      <c r="H1079" s="5" t="s">
        <v>3673</v>
      </c>
      <c r="I1079" s="5" t="s">
        <v>432</v>
      </c>
      <c r="J1079" s="5" t="s">
        <v>433</v>
      </c>
      <c r="K1079" s="5" t="s">
        <v>40</v>
      </c>
      <c r="L1079">
        <v>1</v>
      </c>
      <c r="M1079">
        <v>167.66</v>
      </c>
      <c r="N1079" s="8">
        <v>8.3800000000000008</v>
      </c>
      <c r="O1079" s="8">
        <v>159.28</v>
      </c>
      <c r="P1079" s="8">
        <v>7.96</v>
      </c>
      <c r="Q1079" s="10">
        <v>20</v>
      </c>
      <c r="R1079" s="10">
        <v>15</v>
      </c>
      <c r="S1079" s="8">
        <v>202.24</v>
      </c>
      <c r="T1079">
        <v>39</v>
      </c>
      <c r="U1079" t="str">
        <f t="shared" si="16"/>
        <v>Thursday</v>
      </c>
    </row>
    <row r="1080" spans="1:21" x14ac:dyDescent="0.3">
      <c r="A1080" s="5" t="s">
        <v>2850</v>
      </c>
      <c r="B1080" s="3" t="s">
        <v>3708</v>
      </c>
      <c r="C1080" s="5" t="s">
        <v>930</v>
      </c>
      <c r="D1080" s="5" t="s">
        <v>21</v>
      </c>
      <c r="E1080" s="5" t="s">
        <v>112</v>
      </c>
      <c r="F1080" s="5" t="s">
        <v>42</v>
      </c>
      <c r="G1080" t="s">
        <v>2851</v>
      </c>
      <c r="H1080" s="5" t="s">
        <v>3673</v>
      </c>
      <c r="I1080" s="5" t="s">
        <v>437</v>
      </c>
      <c r="J1080" s="5" t="s">
        <v>438</v>
      </c>
      <c r="K1080" s="5" t="s">
        <v>196</v>
      </c>
      <c r="L1080">
        <v>1</v>
      </c>
      <c r="M1080">
        <v>72.2</v>
      </c>
      <c r="N1080" s="8">
        <v>3.61</v>
      </c>
      <c r="O1080" s="8">
        <v>68.59</v>
      </c>
      <c r="P1080" s="8">
        <v>3.43</v>
      </c>
      <c r="Q1080" s="10">
        <v>0</v>
      </c>
      <c r="R1080" s="10">
        <v>15</v>
      </c>
      <c r="S1080" s="8">
        <v>87.02000000000001</v>
      </c>
      <c r="T1080">
        <v>14</v>
      </c>
      <c r="U1080" t="str">
        <f t="shared" si="16"/>
        <v>Sunday</v>
      </c>
    </row>
    <row r="1081" spans="1:21" x14ac:dyDescent="0.3">
      <c r="A1081" s="5" t="s">
        <v>2852</v>
      </c>
      <c r="B1081" s="3" t="s">
        <v>3711</v>
      </c>
      <c r="C1081" s="5" t="s">
        <v>935</v>
      </c>
      <c r="D1081" s="5" t="s">
        <v>21</v>
      </c>
      <c r="E1081" s="5" t="s">
        <v>22</v>
      </c>
      <c r="F1081" s="5" t="s">
        <v>42</v>
      </c>
      <c r="G1081" t="s">
        <v>2853</v>
      </c>
      <c r="H1081" s="5" t="s">
        <v>3673</v>
      </c>
      <c r="I1081" s="5" t="s">
        <v>442</v>
      </c>
      <c r="J1081" s="5" t="s">
        <v>443</v>
      </c>
      <c r="K1081" s="5" t="s">
        <v>45</v>
      </c>
      <c r="L1081">
        <v>1</v>
      </c>
      <c r="M1081">
        <v>162.21</v>
      </c>
      <c r="N1081" s="8">
        <v>16.22</v>
      </c>
      <c r="O1081" s="8">
        <v>145.99</v>
      </c>
      <c r="P1081" s="8">
        <v>7.3</v>
      </c>
      <c r="Q1081" s="10">
        <v>0</v>
      </c>
      <c r="R1081" s="10">
        <v>10</v>
      </c>
      <c r="S1081" s="8">
        <v>163.29</v>
      </c>
      <c r="T1081">
        <v>46</v>
      </c>
      <c r="U1081" t="str">
        <f t="shared" si="16"/>
        <v>Wednesday</v>
      </c>
    </row>
    <row r="1082" spans="1:21" x14ac:dyDescent="0.3">
      <c r="A1082" s="5" t="s">
        <v>2854</v>
      </c>
      <c r="B1082" s="3" t="s">
        <v>3685</v>
      </c>
      <c r="C1082" s="5" t="s">
        <v>940</v>
      </c>
      <c r="D1082" s="5" t="s">
        <v>21</v>
      </c>
      <c r="E1082" s="5" t="s">
        <v>69</v>
      </c>
      <c r="F1082" s="5" t="s">
        <v>23</v>
      </c>
      <c r="H1082" s="5" t="s">
        <v>3674</v>
      </c>
      <c r="I1082" s="5" t="s">
        <v>447</v>
      </c>
      <c r="J1082" s="5" t="s">
        <v>448</v>
      </c>
      <c r="K1082" s="5" t="s">
        <v>45</v>
      </c>
      <c r="L1082">
        <v>1</v>
      </c>
      <c r="M1082">
        <v>109.73</v>
      </c>
      <c r="N1082" s="8">
        <v>10.97</v>
      </c>
      <c r="O1082" s="8">
        <v>98.76</v>
      </c>
      <c r="P1082" s="8">
        <v>4.9400000000000004</v>
      </c>
      <c r="Q1082" s="10">
        <v>10</v>
      </c>
      <c r="R1082" s="10">
        <v>15</v>
      </c>
      <c r="S1082" s="8">
        <v>128.69999999999999</v>
      </c>
      <c r="T1082">
        <v>19</v>
      </c>
      <c r="U1082" t="str">
        <f t="shared" si="16"/>
        <v>Thursday</v>
      </c>
    </row>
    <row r="1083" spans="1:21" x14ac:dyDescent="0.3">
      <c r="A1083" s="5" t="s">
        <v>2855</v>
      </c>
      <c r="B1083" s="3" t="s">
        <v>3710</v>
      </c>
      <c r="C1083" s="5" t="s">
        <v>945</v>
      </c>
      <c r="D1083" s="5" t="s">
        <v>106</v>
      </c>
      <c r="E1083" s="5" t="s">
        <v>83</v>
      </c>
      <c r="F1083" s="5" t="s">
        <v>42</v>
      </c>
      <c r="G1083" t="s">
        <v>2856</v>
      </c>
      <c r="H1083" s="5" t="s">
        <v>3674</v>
      </c>
      <c r="I1083" s="5" t="s">
        <v>452</v>
      </c>
      <c r="J1083" s="5" t="s">
        <v>453</v>
      </c>
      <c r="K1083" s="5" t="s">
        <v>40</v>
      </c>
      <c r="L1083">
        <v>2</v>
      </c>
      <c r="M1083">
        <v>163.11000000000001</v>
      </c>
      <c r="N1083" s="8">
        <v>24.47</v>
      </c>
      <c r="O1083" s="8">
        <v>301.75</v>
      </c>
      <c r="P1083" s="8">
        <v>15.09</v>
      </c>
      <c r="Q1083" s="10">
        <v>10</v>
      </c>
      <c r="R1083" s="10">
        <v>10</v>
      </c>
      <c r="S1083" s="8">
        <v>336.84</v>
      </c>
      <c r="T1083">
        <v>24.67</v>
      </c>
      <c r="U1083" t="str">
        <f t="shared" si="16"/>
        <v>Monday</v>
      </c>
    </row>
    <row r="1084" spans="1:21" x14ac:dyDescent="0.3">
      <c r="A1084" s="5" t="s">
        <v>2857</v>
      </c>
      <c r="B1084" s="3" t="s">
        <v>3706</v>
      </c>
      <c r="C1084" s="5" t="s">
        <v>950</v>
      </c>
      <c r="D1084" s="5" t="s">
        <v>21</v>
      </c>
      <c r="E1084" s="5" t="s">
        <v>112</v>
      </c>
      <c r="F1084" s="5" t="s">
        <v>37</v>
      </c>
      <c r="G1084" t="s">
        <v>2858</v>
      </c>
      <c r="H1084" s="5" t="s">
        <v>100</v>
      </c>
      <c r="I1084" s="5" t="s">
        <v>456</v>
      </c>
      <c r="J1084" s="5" t="s">
        <v>457</v>
      </c>
      <c r="K1084" s="5" t="s">
        <v>22</v>
      </c>
      <c r="L1084">
        <v>2</v>
      </c>
      <c r="M1084">
        <v>100.59</v>
      </c>
      <c r="N1084" s="8">
        <v>0</v>
      </c>
      <c r="O1084" s="8">
        <v>201.18</v>
      </c>
      <c r="P1084" s="8">
        <v>10.06</v>
      </c>
      <c r="Q1084" s="10">
        <v>10</v>
      </c>
      <c r="R1084" s="10">
        <v>15</v>
      </c>
      <c r="S1084" s="8">
        <v>236.24</v>
      </c>
      <c r="T1084">
        <v>24</v>
      </c>
      <c r="U1084" t="str">
        <f t="shared" si="16"/>
        <v>Thursday</v>
      </c>
    </row>
    <row r="1085" spans="1:21" x14ac:dyDescent="0.3">
      <c r="A1085" s="5" t="s">
        <v>2859</v>
      </c>
      <c r="B1085" s="3" t="s">
        <v>3728</v>
      </c>
      <c r="C1085" s="5" t="s">
        <v>955</v>
      </c>
      <c r="D1085" s="5" t="s">
        <v>21</v>
      </c>
      <c r="E1085" s="5" t="s">
        <v>76</v>
      </c>
      <c r="F1085" s="5" t="s">
        <v>23</v>
      </c>
      <c r="G1085" t="s">
        <v>2860</v>
      </c>
      <c r="H1085" s="5" t="s">
        <v>100</v>
      </c>
      <c r="I1085" s="5" t="s">
        <v>460</v>
      </c>
      <c r="J1085" s="5" t="s">
        <v>461</v>
      </c>
      <c r="K1085" s="5" t="s">
        <v>145</v>
      </c>
      <c r="L1085">
        <v>5</v>
      </c>
      <c r="M1085">
        <v>34.130000000000003</v>
      </c>
      <c r="N1085" s="8">
        <v>5.12</v>
      </c>
      <c r="O1085" s="8">
        <v>165.53</v>
      </c>
      <c r="P1085" s="8">
        <v>8.2799999999999994</v>
      </c>
      <c r="Q1085" s="10">
        <v>30</v>
      </c>
      <c r="R1085" s="10">
        <v>20</v>
      </c>
      <c r="S1085" s="8">
        <v>223.81</v>
      </c>
      <c r="T1085">
        <v>24.67</v>
      </c>
      <c r="U1085" t="str">
        <f t="shared" si="16"/>
        <v>Friday</v>
      </c>
    </row>
    <row r="1086" spans="1:21" x14ac:dyDescent="0.3">
      <c r="A1086" s="5" t="s">
        <v>2861</v>
      </c>
      <c r="B1086" s="3" t="s">
        <v>3686</v>
      </c>
      <c r="C1086" s="5" t="s">
        <v>960</v>
      </c>
      <c r="D1086" s="5" t="s">
        <v>21</v>
      </c>
      <c r="E1086" s="5" t="s">
        <v>76</v>
      </c>
      <c r="F1086" s="5" t="s">
        <v>23</v>
      </c>
      <c r="G1086" t="s">
        <v>2862</v>
      </c>
      <c r="H1086" s="5" t="s">
        <v>3676</v>
      </c>
      <c r="I1086" s="5" t="s">
        <v>465</v>
      </c>
      <c r="J1086" s="5" t="s">
        <v>466</v>
      </c>
      <c r="K1086" s="5" t="s">
        <v>196</v>
      </c>
      <c r="L1086">
        <v>1</v>
      </c>
      <c r="M1086">
        <v>81.48</v>
      </c>
      <c r="N1086" s="8">
        <v>0</v>
      </c>
      <c r="O1086" s="8">
        <v>81.48</v>
      </c>
      <c r="P1086" s="8">
        <v>4.07</v>
      </c>
      <c r="Q1086" s="10">
        <v>10</v>
      </c>
      <c r="R1086" s="10">
        <v>5</v>
      </c>
      <c r="S1086" s="8">
        <v>100.55</v>
      </c>
      <c r="T1086">
        <v>12</v>
      </c>
      <c r="U1086" t="str">
        <f t="shared" si="16"/>
        <v>Saturday</v>
      </c>
    </row>
    <row r="1087" spans="1:21" x14ac:dyDescent="0.3">
      <c r="A1087" s="5" t="s">
        <v>2863</v>
      </c>
      <c r="B1087" s="3" t="s">
        <v>3724</v>
      </c>
      <c r="C1087" s="5" t="s">
        <v>965</v>
      </c>
      <c r="D1087" s="5" t="s">
        <v>21</v>
      </c>
      <c r="E1087" s="5" t="s">
        <v>112</v>
      </c>
      <c r="F1087" s="5" t="s">
        <v>37</v>
      </c>
      <c r="G1087" t="s">
        <v>2864</v>
      </c>
      <c r="H1087" s="5" t="s">
        <v>3674</v>
      </c>
      <c r="I1087" s="5" t="s">
        <v>470</v>
      </c>
      <c r="J1087" s="5" t="s">
        <v>471</v>
      </c>
      <c r="K1087" s="5" t="s">
        <v>28</v>
      </c>
      <c r="L1087">
        <v>4</v>
      </c>
      <c r="M1087">
        <v>148.09</v>
      </c>
      <c r="N1087" s="8">
        <v>7.4</v>
      </c>
      <c r="O1087" s="8">
        <v>584.96</v>
      </c>
      <c r="P1087" s="8">
        <v>29.25</v>
      </c>
      <c r="Q1087" s="10">
        <v>0</v>
      </c>
      <c r="R1087" s="10">
        <v>5</v>
      </c>
      <c r="S1087" s="8">
        <v>619.21</v>
      </c>
      <c r="T1087">
        <v>24.67</v>
      </c>
      <c r="U1087" t="str">
        <f t="shared" si="16"/>
        <v>Sunday</v>
      </c>
    </row>
    <row r="1088" spans="1:21" x14ac:dyDescent="0.3">
      <c r="A1088" s="5" t="s">
        <v>2865</v>
      </c>
      <c r="B1088" s="3" t="s">
        <v>3706</v>
      </c>
      <c r="C1088" s="5" t="s">
        <v>970</v>
      </c>
      <c r="D1088" s="5" t="s">
        <v>21</v>
      </c>
      <c r="E1088" s="5" t="s">
        <v>22</v>
      </c>
      <c r="F1088" s="5" t="s">
        <v>42</v>
      </c>
      <c r="G1088" t="s">
        <v>2866</v>
      </c>
      <c r="H1088" s="5" t="s">
        <v>3673</v>
      </c>
      <c r="I1088" s="5" t="s">
        <v>475</v>
      </c>
      <c r="J1088" s="5" t="s">
        <v>476</v>
      </c>
      <c r="K1088" s="5" t="s">
        <v>103</v>
      </c>
      <c r="L1088">
        <v>2</v>
      </c>
      <c r="M1088">
        <v>49.56</v>
      </c>
      <c r="N1088" s="8">
        <v>0</v>
      </c>
      <c r="O1088" s="8">
        <v>99.12</v>
      </c>
      <c r="P1088" s="8">
        <v>4.96</v>
      </c>
      <c r="Q1088" s="10">
        <v>20</v>
      </c>
      <c r="R1088" s="10">
        <v>0</v>
      </c>
      <c r="S1088" s="8">
        <v>124.08</v>
      </c>
      <c r="T1088">
        <v>17</v>
      </c>
      <c r="U1088" t="str">
        <f t="shared" si="16"/>
        <v>Thursday</v>
      </c>
    </row>
    <row r="1089" spans="1:21" x14ac:dyDescent="0.3">
      <c r="A1089" s="5" t="s">
        <v>2867</v>
      </c>
      <c r="B1089" s="3" t="s">
        <v>3681</v>
      </c>
      <c r="C1089" s="5" t="s">
        <v>975</v>
      </c>
      <c r="D1089" s="5" t="s">
        <v>21</v>
      </c>
      <c r="E1089" s="5" t="s">
        <v>69</v>
      </c>
      <c r="F1089" s="5" t="s">
        <v>42</v>
      </c>
      <c r="G1089" t="s">
        <v>2868</v>
      </c>
      <c r="H1089" s="5" t="s">
        <v>3677</v>
      </c>
      <c r="I1089" s="5" t="s">
        <v>480</v>
      </c>
      <c r="J1089" s="5" t="s">
        <v>481</v>
      </c>
      <c r="K1089" s="5" t="s">
        <v>196</v>
      </c>
      <c r="L1089">
        <v>4</v>
      </c>
      <c r="M1089">
        <v>187.81</v>
      </c>
      <c r="N1089" s="8">
        <v>9.39</v>
      </c>
      <c r="O1089" s="8">
        <v>741.85</v>
      </c>
      <c r="P1089" s="8">
        <v>37.090000000000003</v>
      </c>
      <c r="Q1089" s="10">
        <v>20</v>
      </c>
      <c r="R1089" s="10">
        <v>0</v>
      </c>
      <c r="S1089" s="8">
        <v>798.94</v>
      </c>
      <c r="T1089">
        <v>28</v>
      </c>
      <c r="U1089" t="str">
        <f t="shared" si="16"/>
        <v>Wednesday</v>
      </c>
    </row>
    <row r="1090" spans="1:21" x14ac:dyDescent="0.3">
      <c r="A1090" s="5" t="s">
        <v>2869</v>
      </c>
      <c r="B1090" s="3" t="s">
        <v>3716</v>
      </c>
      <c r="C1090" s="5" t="s">
        <v>980</v>
      </c>
      <c r="D1090" s="5" t="s">
        <v>21</v>
      </c>
      <c r="E1090" s="5" t="s">
        <v>69</v>
      </c>
      <c r="F1090" s="5" t="s">
        <v>42</v>
      </c>
      <c r="G1090" t="s">
        <v>2870</v>
      </c>
      <c r="H1090" s="5" t="s">
        <v>3673</v>
      </c>
      <c r="I1090" s="5" t="s">
        <v>485</v>
      </c>
      <c r="J1090" s="5" t="s">
        <v>486</v>
      </c>
      <c r="K1090" s="5" t="s">
        <v>196</v>
      </c>
      <c r="L1090">
        <v>5</v>
      </c>
      <c r="M1090">
        <v>33.380000000000003</v>
      </c>
      <c r="N1090" s="8">
        <v>1.67</v>
      </c>
      <c r="O1090" s="8">
        <v>165.23</v>
      </c>
      <c r="P1090" s="8">
        <v>8.26</v>
      </c>
      <c r="Q1090" s="10">
        <v>10</v>
      </c>
      <c r="R1090" s="10">
        <v>15</v>
      </c>
      <c r="S1090" s="8">
        <v>198.49</v>
      </c>
      <c r="T1090">
        <v>20</v>
      </c>
      <c r="U1090" t="str">
        <f t="shared" si="16"/>
        <v>Saturday</v>
      </c>
    </row>
    <row r="1091" spans="1:21" x14ac:dyDescent="0.3">
      <c r="A1091" s="5" t="s">
        <v>2871</v>
      </c>
      <c r="B1091" s="3" t="s">
        <v>3690</v>
      </c>
      <c r="C1091" s="5" t="s">
        <v>985</v>
      </c>
      <c r="D1091" s="5" t="s">
        <v>21</v>
      </c>
      <c r="E1091" s="5" t="s">
        <v>76</v>
      </c>
      <c r="F1091" s="5" t="s">
        <v>42</v>
      </c>
      <c r="G1091" t="s">
        <v>2872</v>
      </c>
      <c r="H1091" s="5" t="s">
        <v>3677</v>
      </c>
      <c r="I1091" s="5" t="s">
        <v>490</v>
      </c>
      <c r="J1091" s="5" t="s">
        <v>491</v>
      </c>
      <c r="K1091" s="5" t="s">
        <v>73</v>
      </c>
      <c r="L1091">
        <v>1</v>
      </c>
      <c r="M1091">
        <v>45.16</v>
      </c>
      <c r="N1091" s="8">
        <v>2.2599999999999998</v>
      </c>
      <c r="O1091" s="8">
        <v>42.9</v>
      </c>
      <c r="P1091" s="8">
        <v>2.15</v>
      </c>
      <c r="Q1091" s="10">
        <v>0</v>
      </c>
      <c r="R1091" s="10">
        <v>5</v>
      </c>
      <c r="S1091" s="8">
        <v>50.05</v>
      </c>
      <c r="T1091">
        <v>27</v>
      </c>
      <c r="U1091" t="str">
        <f t="shared" ref="U1091:U1154" si="17">TEXT(B1091,"dddd")</f>
        <v>Sunday</v>
      </c>
    </row>
    <row r="1092" spans="1:21" x14ac:dyDescent="0.3">
      <c r="A1092" s="5" t="s">
        <v>2873</v>
      </c>
      <c r="B1092" s="3" t="s">
        <v>3716</v>
      </c>
      <c r="C1092" s="5" t="s">
        <v>990</v>
      </c>
      <c r="D1092" s="5" t="s">
        <v>21</v>
      </c>
      <c r="E1092" s="5" t="s">
        <v>22</v>
      </c>
      <c r="F1092" s="5" t="s">
        <v>37</v>
      </c>
      <c r="G1092" t="s">
        <v>2874</v>
      </c>
      <c r="H1092" s="5" t="s">
        <v>3673</v>
      </c>
      <c r="I1092" s="5" t="s">
        <v>495</v>
      </c>
      <c r="J1092" s="5" t="s">
        <v>496</v>
      </c>
      <c r="K1092" s="5" t="s">
        <v>73</v>
      </c>
      <c r="L1092">
        <v>2</v>
      </c>
      <c r="M1092">
        <v>138.69</v>
      </c>
      <c r="N1092" s="8">
        <v>0</v>
      </c>
      <c r="O1092" s="8">
        <v>277.38</v>
      </c>
      <c r="P1092" s="8">
        <v>13.87</v>
      </c>
      <c r="Q1092" s="10">
        <v>0</v>
      </c>
      <c r="R1092" s="10">
        <v>10</v>
      </c>
      <c r="S1092" s="8">
        <v>301.25</v>
      </c>
      <c r="T1092">
        <v>24.67</v>
      </c>
      <c r="U1092" t="str">
        <f t="shared" si="17"/>
        <v>Saturday</v>
      </c>
    </row>
    <row r="1093" spans="1:21" x14ac:dyDescent="0.3">
      <c r="A1093" s="5" t="s">
        <v>2875</v>
      </c>
      <c r="B1093" s="3" t="s">
        <v>3736</v>
      </c>
      <c r="C1093" s="5" t="s">
        <v>995</v>
      </c>
      <c r="D1093" s="5" t="s">
        <v>82</v>
      </c>
      <c r="E1093" s="5" t="s">
        <v>83</v>
      </c>
      <c r="F1093" s="5" t="s">
        <v>42</v>
      </c>
      <c r="G1093" t="s">
        <v>2876</v>
      </c>
      <c r="H1093" s="5" t="s">
        <v>3677</v>
      </c>
      <c r="I1093" s="5" t="s">
        <v>500</v>
      </c>
      <c r="J1093" s="5" t="s">
        <v>501</v>
      </c>
      <c r="K1093" s="5" t="s">
        <v>40</v>
      </c>
      <c r="L1093">
        <v>1</v>
      </c>
      <c r="M1093">
        <v>159.97999999999999</v>
      </c>
      <c r="N1093" s="8">
        <v>16</v>
      </c>
      <c r="O1093" s="8">
        <v>143.97999999999999</v>
      </c>
      <c r="P1093" s="8">
        <v>7.2</v>
      </c>
      <c r="Q1093" s="10">
        <v>10</v>
      </c>
      <c r="R1093" s="10">
        <v>10</v>
      </c>
      <c r="S1093" s="8">
        <v>171.18</v>
      </c>
      <c r="T1093">
        <v>30</v>
      </c>
      <c r="U1093" t="str">
        <f t="shared" si="17"/>
        <v>Tuesday</v>
      </c>
    </row>
    <row r="1094" spans="1:21" x14ac:dyDescent="0.3">
      <c r="A1094" s="5" t="s">
        <v>2877</v>
      </c>
      <c r="B1094" s="3" t="s">
        <v>3700</v>
      </c>
      <c r="C1094" s="5" t="s">
        <v>1000</v>
      </c>
      <c r="D1094" s="5" t="s">
        <v>21</v>
      </c>
      <c r="E1094" s="5" t="s">
        <v>22</v>
      </c>
      <c r="F1094" s="5" t="s">
        <v>23</v>
      </c>
      <c r="G1094" t="s">
        <v>2878</v>
      </c>
      <c r="H1094" s="5" t="s">
        <v>3673</v>
      </c>
      <c r="I1094" s="5" t="s">
        <v>505</v>
      </c>
      <c r="J1094" s="5" t="s">
        <v>506</v>
      </c>
      <c r="K1094" s="5" t="s">
        <v>56</v>
      </c>
      <c r="L1094">
        <v>2</v>
      </c>
      <c r="M1094">
        <v>155.29</v>
      </c>
      <c r="N1094" s="8">
        <v>7.76</v>
      </c>
      <c r="O1094" s="8">
        <v>302.82</v>
      </c>
      <c r="P1094" s="8">
        <v>15.14</v>
      </c>
      <c r="Q1094" s="10">
        <v>20</v>
      </c>
      <c r="R1094" s="10">
        <v>5</v>
      </c>
      <c r="S1094" s="8">
        <v>342.96</v>
      </c>
      <c r="T1094">
        <v>34</v>
      </c>
      <c r="U1094" t="str">
        <f t="shared" si="17"/>
        <v>Saturday</v>
      </c>
    </row>
    <row r="1095" spans="1:21" x14ac:dyDescent="0.3">
      <c r="A1095" s="5" t="s">
        <v>2879</v>
      </c>
      <c r="B1095" s="3" t="s">
        <v>3691</v>
      </c>
      <c r="C1095" s="5" t="s">
        <v>1005</v>
      </c>
      <c r="D1095" s="5" t="s">
        <v>21</v>
      </c>
      <c r="E1095" s="5" t="s">
        <v>36</v>
      </c>
      <c r="F1095" s="5" t="s">
        <v>37</v>
      </c>
      <c r="G1095" t="s">
        <v>2880</v>
      </c>
      <c r="H1095" s="5" t="s">
        <v>3676</v>
      </c>
      <c r="I1095" s="5" t="s">
        <v>510</v>
      </c>
      <c r="J1095" s="5" t="s">
        <v>511</v>
      </c>
      <c r="K1095" s="5" t="s">
        <v>45</v>
      </c>
      <c r="L1095">
        <v>2</v>
      </c>
      <c r="M1095">
        <v>55.24</v>
      </c>
      <c r="N1095" s="8">
        <v>5.52</v>
      </c>
      <c r="O1095" s="8">
        <v>104.96</v>
      </c>
      <c r="P1095" s="8">
        <v>5.25</v>
      </c>
      <c r="Q1095" s="10">
        <v>20</v>
      </c>
      <c r="R1095" s="10">
        <v>10</v>
      </c>
      <c r="S1095" s="8">
        <v>140.21</v>
      </c>
      <c r="T1095">
        <v>37</v>
      </c>
      <c r="U1095" t="str">
        <f t="shared" si="17"/>
        <v>Friday</v>
      </c>
    </row>
    <row r="1096" spans="1:21" x14ac:dyDescent="0.3">
      <c r="A1096" s="5" t="s">
        <v>2881</v>
      </c>
      <c r="B1096" s="3" t="s">
        <v>3735</v>
      </c>
      <c r="C1096" s="5" t="s">
        <v>1010</v>
      </c>
      <c r="D1096" s="5" t="s">
        <v>106</v>
      </c>
      <c r="E1096" s="5" t="s">
        <v>83</v>
      </c>
      <c r="F1096" s="5" t="s">
        <v>23</v>
      </c>
      <c r="G1096" t="s">
        <v>2882</v>
      </c>
      <c r="H1096" s="5" t="s">
        <v>3673</v>
      </c>
      <c r="I1096" s="5" t="s">
        <v>515</v>
      </c>
      <c r="J1096" s="5" t="s">
        <v>516</v>
      </c>
      <c r="K1096" s="5" t="s">
        <v>73</v>
      </c>
      <c r="L1096">
        <v>1</v>
      </c>
      <c r="M1096">
        <v>156.59</v>
      </c>
      <c r="N1096" s="8">
        <v>7.83</v>
      </c>
      <c r="O1096" s="8">
        <v>148.76</v>
      </c>
      <c r="P1096" s="8">
        <v>7.44</v>
      </c>
      <c r="Q1096" s="10">
        <v>20</v>
      </c>
      <c r="R1096" s="10">
        <v>0</v>
      </c>
      <c r="S1096" s="8">
        <v>176.2</v>
      </c>
      <c r="T1096">
        <v>29</v>
      </c>
      <c r="U1096" t="str">
        <f t="shared" si="17"/>
        <v>Saturday</v>
      </c>
    </row>
    <row r="1097" spans="1:21" x14ac:dyDescent="0.3">
      <c r="A1097" s="5" t="s">
        <v>2883</v>
      </c>
      <c r="B1097" s="3" t="s">
        <v>3691</v>
      </c>
      <c r="C1097" s="5" t="s">
        <v>1015</v>
      </c>
      <c r="D1097" s="5" t="s">
        <v>21</v>
      </c>
      <c r="E1097" s="5" t="s">
        <v>76</v>
      </c>
      <c r="F1097" s="5" t="s">
        <v>23</v>
      </c>
      <c r="G1097" t="s">
        <v>2884</v>
      </c>
      <c r="H1097" s="5" t="s">
        <v>3673</v>
      </c>
      <c r="I1097" s="5" t="s">
        <v>520</v>
      </c>
      <c r="J1097" s="5" t="s">
        <v>521</v>
      </c>
      <c r="K1097" s="5" t="s">
        <v>22</v>
      </c>
      <c r="L1097">
        <v>3</v>
      </c>
      <c r="M1097">
        <v>1.38</v>
      </c>
      <c r="N1097" s="8">
        <v>0.14000000000000001</v>
      </c>
      <c r="O1097" s="8">
        <v>4</v>
      </c>
      <c r="P1097" s="8">
        <v>0.2</v>
      </c>
      <c r="Q1097" s="10">
        <v>20</v>
      </c>
      <c r="R1097" s="10">
        <v>5</v>
      </c>
      <c r="S1097" s="8">
        <v>29.2</v>
      </c>
      <c r="T1097">
        <v>35</v>
      </c>
      <c r="U1097" t="str">
        <f t="shared" si="17"/>
        <v>Friday</v>
      </c>
    </row>
    <row r="1098" spans="1:21" x14ac:dyDescent="0.3">
      <c r="A1098" s="5" t="s">
        <v>2885</v>
      </c>
      <c r="B1098" s="3" t="s">
        <v>3702</v>
      </c>
      <c r="C1098" s="5" t="s">
        <v>1020</v>
      </c>
      <c r="D1098" s="5" t="s">
        <v>21</v>
      </c>
      <c r="E1098" s="5" t="s">
        <v>69</v>
      </c>
      <c r="F1098" s="5" t="s">
        <v>42</v>
      </c>
      <c r="G1098" t="s">
        <v>2886</v>
      </c>
      <c r="H1098" s="5" t="s">
        <v>100</v>
      </c>
      <c r="I1098" s="5" t="s">
        <v>525</v>
      </c>
      <c r="J1098" s="5" t="s">
        <v>526</v>
      </c>
      <c r="K1098" s="5" t="s">
        <v>28</v>
      </c>
      <c r="L1098">
        <v>4</v>
      </c>
      <c r="M1098">
        <v>126.71</v>
      </c>
      <c r="N1098" s="8">
        <v>12.67</v>
      </c>
      <c r="O1098" s="8">
        <v>494.17</v>
      </c>
      <c r="P1098" s="8">
        <v>24.71</v>
      </c>
      <c r="Q1098" s="10">
        <v>10</v>
      </c>
      <c r="R1098" s="10">
        <v>0</v>
      </c>
      <c r="S1098" s="8">
        <v>528.88</v>
      </c>
      <c r="T1098">
        <v>8</v>
      </c>
      <c r="U1098" t="str">
        <f t="shared" si="17"/>
        <v>Monday</v>
      </c>
    </row>
    <row r="1099" spans="1:21" x14ac:dyDescent="0.3">
      <c r="A1099" s="5" t="s">
        <v>2887</v>
      </c>
      <c r="B1099" s="3" t="s">
        <v>3725</v>
      </c>
      <c r="C1099" s="5" t="s">
        <v>1025</v>
      </c>
      <c r="D1099" s="5" t="s">
        <v>21</v>
      </c>
      <c r="E1099" s="5" t="s">
        <v>112</v>
      </c>
      <c r="F1099" s="5" t="s">
        <v>42</v>
      </c>
      <c r="G1099" t="s">
        <v>2888</v>
      </c>
      <c r="H1099" s="5" t="s">
        <v>3677</v>
      </c>
      <c r="I1099" s="5" t="s">
        <v>530</v>
      </c>
      <c r="J1099" s="5" t="s">
        <v>531</v>
      </c>
      <c r="K1099" s="5" t="s">
        <v>22</v>
      </c>
      <c r="L1099">
        <v>5</v>
      </c>
      <c r="M1099">
        <v>1.98</v>
      </c>
      <c r="N1099" s="8">
        <v>0.2</v>
      </c>
      <c r="O1099" s="8">
        <v>9.7000000000000011</v>
      </c>
      <c r="P1099" s="8">
        <v>0.49</v>
      </c>
      <c r="Q1099" s="10">
        <v>0</v>
      </c>
      <c r="R1099" s="10">
        <v>0</v>
      </c>
      <c r="S1099" s="8">
        <v>10.19</v>
      </c>
      <c r="T1099">
        <v>46</v>
      </c>
      <c r="U1099" t="str">
        <f t="shared" si="17"/>
        <v>Wednesday</v>
      </c>
    </row>
    <row r="1100" spans="1:21" x14ac:dyDescent="0.3">
      <c r="A1100" s="5" t="s">
        <v>2889</v>
      </c>
      <c r="B1100" s="3" t="s">
        <v>3735</v>
      </c>
      <c r="C1100" s="5" t="s">
        <v>1030</v>
      </c>
      <c r="D1100" s="5" t="s">
        <v>21</v>
      </c>
      <c r="E1100" s="5" t="s">
        <v>112</v>
      </c>
      <c r="F1100" s="5" t="s">
        <v>23</v>
      </c>
      <c r="G1100" t="s">
        <v>2890</v>
      </c>
      <c r="H1100" s="5" t="s">
        <v>3677</v>
      </c>
      <c r="I1100" s="5" t="s">
        <v>535</v>
      </c>
      <c r="J1100" s="5" t="s">
        <v>536</v>
      </c>
      <c r="K1100" s="5" t="s">
        <v>73</v>
      </c>
      <c r="L1100">
        <v>3</v>
      </c>
      <c r="M1100">
        <v>90.69</v>
      </c>
      <c r="N1100" s="8">
        <v>9.07</v>
      </c>
      <c r="O1100" s="8">
        <v>263</v>
      </c>
      <c r="P1100" s="8">
        <v>13.15</v>
      </c>
      <c r="Q1100" s="10">
        <v>20</v>
      </c>
      <c r="R1100" s="10">
        <v>20</v>
      </c>
      <c r="S1100" s="8">
        <v>316.14999999999998</v>
      </c>
      <c r="T1100">
        <v>17</v>
      </c>
      <c r="U1100" t="str">
        <f t="shared" si="17"/>
        <v>Saturday</v>
      </c>
    </row>
    <row r="1101" spans="1:21" x14ac:dyDescent="0.3">
      <c r="A1101" s="5" t="s">
        <v>2891</v>
      </c>
      <c r="B1101" s="3" t="s">
        <v>3718</v>
      </c>
      <c r="C1101" s="5" t="s">
        <v>1033</v>
      </c>
      <c r="D1101" s="5" t="s">
        <v>21</v>
      </c>
      <c r="E1101" s="5" t="s">
        <v>36</v>
      </c>
      <c r="F1101" s="5" t="s">
        <v>37</v>
      </c>
      <c r="G1101" t="s">
        <v>2892</v>
      </c>
      <c r="H1101" s="5" t="s">
        <v>3677</v>
      </c>
      <c r="I1101" s="5" t="s">
        <v>539</v>
      </c>
      <c r="J1101" s="5" t="s">
        <v>540</v>
      </c>
      <c r="K1101" s="5" t="s">
        <v>40</v>
      </c>
      <c r="L1101">
        <v>4</v>
      </c>
      <c r="M1101">
        <v>144.4</v>
      </c>
      <c r="N1101" s="8">
        <v>0</v>
      </c>
      <c r="O1101" s="8">
        <v>577.6</v>
      </c>
      <c r="P1101" s="8">
        <v>28.88</v>
      </c>
      <c r="Q1101" s="10">
        <v>20</v>
      </c>
      <c r="R1101" s="10">
        <v>5</v>
      </c>
      <c r="S1101" s="8">
        <v>631.48</v>
      </c>
      <c r="T1101">
        <v>15</v>
      </c>
      <c r="U1101" t="str">
        <f t="shared" si="17"/>
        <v>Wednesday</v>
      </c>
    </row>
    <row r="1102" spans="1:21" x14ac:dyDescent="0.3">
      <c r="A1102" s="5" t="s">
        <v>2893</v>
      </c>
      <c r="B1102" s="3" t="s">
        <v>3683</v>
      </c>
      <c r="C1102" s="5" t="s">
        <v>1036</v>
      </c>
      <c r="D1102" s="5" t="s">
        <v>21</v>
      </c>
      <c r="E1102" s="5" t="s">
        <v>36</v>
      </c>
      <c r="F1102" s="5" t="s">
        <v>23</v>
      </c>
      <c r="G1102" t="s">
        <v>2894</v>
      </c>
      <c r="H1102" s="5" t="s">
        <v>3673</v>
      </c>
      <c r="I1102" s="5" t="s">
        <v>544</v>
      </c>
      <c r="J1102" s="5" t="s">
        <v>545</v>
      </c>
      <c r="K1102" s="5" t="s">
        <v>28</v>
      </c>
      <c r="L1102">
        <v>3</v>
      </c>
      <c r="M1102">
        <v>177.47</v>
      </c>
      <c r="N1102" s="8">
        <v>0</v>
      </c>
      <c r="O1102" s="8">
        <v>532.41</v>
      </c>
      <c r="P1102" s="8">
        <v>26.62</v>
      </c>
      <c r="Q1102" s="10">
        <v>0</v>
      </c>
      <c r="R1102" s="10">
        <v>5</v>
      </c>
      <c r="S1102" s="8">
        <v>564.03</v>
      </c>
      <c r="T1102">
        <v>25</v>
      </c>
      <c r="U1102" t="str">
        <f t="shared" si="17"/>
        <v>Thursday</v>
      </c>
    </row>
    <row r="1103" spans="1:21" x14ac:dyDescent="0.3">
      <c r="A1103" s="5" t="s">
        <v>2895</v>
      </c>
      <c r="B1103" s="3" t="s">
        <v>3709</v>
      </c>
      <c r="C1103" s="5" t="s">
        <v>1039</v>
      </c>
      <c r="D1103" s="5" t="s">
        <v>21</v>
      </c>
      <c r="E1103" s="5" t="s">
        <v>76</v>
      </c>
      <c r="F1103" s="5" t="s">
        <v>23</v>
      </c>
      <c r="G1103" t="s">
        <v>2896</v>
      </c>
      <c r="H1103" s="5" t="s">
        <v>3675</v>
      </c>
      <c r="I1103" s="5" t="s">
        <v>549</v>
      </c>
      <c r="J1103" s="5" t="s">
        <v>550</v>
      </c>
      <c r="K1103" s="5" t="s">
        <v>145</v>
      </c>
      <c r="L1103">
        <v>4</v>
      </c>
      <c r="M1103">
        <v>25.75</v>
      </c>
      <c r="N1103" s="8">
        <v>0</v>
      </c>
      <c r="O1103" s="8">
        <v>103</v>
      </c>
      <c r="P1103" s="8">
        <v>5.15</v>
      </c>
      <c r="Q1103" s="10">
        <v>30</v>
      </c>
      <c r="R1103" s="10">
        <v>10</v>
      </c>
      <c r="S1103" s="8">
        <v>148.15</v>
      </c>
      <c r="T1103">
        <v>30</v>
      </c>
      <c r="U1103" t="str">
        <f t="shared" si="17"/>
        <v>Thursday</v>
      </c>
    </row>
    <row r="1104" spans="1:21" x14ac:dyDescent="0.3">
      <c r="A1104" s="5" t="s">
        <v>2897</v>
      </c>
      <c r="B1104" s="3" t="s">
        <v>3684</v>
      </c>
      <c r="C1104" s="5" t="s">
        <v>1042</v>
      </c>
      <c r="D1104" s="5" t="s">
        <v>21</v>
      </c>
      <c r="E1104" s="5" t="s">
        <v>69</v>
      </c>
      <c r="F1104" s="5" t="s">
        <v>42</v>
      </c>
      <c r="G1104" t="s">
        <v>2898</v>
      </c>
      <c r="H1104" s="5" t="s">
        <v>3674</v>
      </c>
      <c r="I1104" s="5" t="s">
        <v>554</v>
      </c>
      <c r="J1104" s="5" t="s">
        <v>555</v>
      </c>
      <c r="K1104" s="5" t="s">
        <v>28</v>
      </c>
      <c r="L1104">
        <v>1</v>
      </c>
      <c r="M1104">
        <v>127.72</v>
      </c>
      <c r="N1104" s="8">
        <v>6.39</v>
      </c>
      <c r="O1104" s="8">
        <v>121.33</v>
      </c>
      <c r="P1104" s="8">
        <v>6.07</v>
      </c>
      <c r="Q1104" s="10">
        <v>30</v>
      </c>
      <c r="R1104" s="10">
        <v>15</v>
      </c>
      <c r="S1104" s="8">
        <v>172.4</v>
      </c>
      <c r="T1104">
        <v>24.67</v>
      </c>
      <c r="U1104" t="str">
        <f t="shared" si="17"/>
        <v>Sunday</v>
      </c>
    </row>
    <row r="1105" spans="1:21" x14ac:dyDescent="0.3">
      <c r="A1105" s="5" t="s">
        <v>2899</v>
      </c>
      <c r="B1105" s="3" t="s">
        <v>3682</v>
      </c>
      <c r="C1105" s="5" t="s">
        <v>1045</v>
      </c>
      <c r="D1105" s="5" t="s">
        <v>21</v>
      </c>
      <c r="E1105" s="5" t="s">
        <v>112</v>
      </c>
      <c r="F1105" s="5" t="s">
        <v>37</v>
      </c>
      <c r="G1105" t="s">
        <v>2900</v>
      </c>
      <c r="H1105" s="5" t="s">
        <v>3673</v>
      </c>
      <c r="I1105" s="5" t="s">
        <v>559</v>
      </c>
      <c r="J1105" s="5" t="s">
        <v>560</v>
      </c>
      <c r="K1105" s="5" t="s">
        <v>56</v>
      </c>
      <c r="L1105">
        <v>7</v>
      </c>
      <c r="M1105">
        <v>135.24</v>
      </c>
      <c r="N1105" s="8">
        <v>13.52</v>
      </c>
      <c r="O1105" s="8">
        <v>933.16000000000008</v>
      </c>
      <c r="P1105" s="8">
        <v>46.66</v>
      </c>
      <c r="Q1105" s="10">
        <v>10</v>
      </c>
      <c r="R1105" s="10">
        <v>20</v>
      </c>
      <c r="S1105" s="8">
        <v>1009.82</v>
      </c>
      <c r="T1105">
        <v>23</v>
      </c>
      <c r="U1105" t="str">
        <f t="shared" si="17"/>
        <v>Tuesday</v>
      </c>
    </row>
    <row r="1106" spans="1:21" x14ac:dyDescent="0.3">
      <c r="A1106" s="5" t="s">
        <v>2901</v>
      </c>
      <c r="B1106" s="3" t="s">
        <v>3733</v>
      </c>
      <c r="C1106" s="5" t="s">
        <v>1048</v>
      </c>
      <c r="D1106" s="5" t="s">
        <v>21</v>
      </c>
      <c r="E1106" s="5" t="s">
        <v>76</v>
      </c>
      <c r="F1106" s="5" t="s">
        <v>37</v>
      </c>
      <c r="G1106" t="s">
        <v>2902</v>
      </c>
      <c r="H1106" s="5" t="s">
        <v>100</v>
      </c>
      <c r="I1106" s="5" t="s">
        <v>564</v>
      </c>
      <c r="J1106" s="5" t="s">
        <v>565</v>
      </c>
      <c r="K1106" s="5" t="s">
        <v>34</v>
      </c>
      <c r="L1106">
        <v>1</v>
      </c>
      <c r="M1106">
        <v>126.87</v>
      </c>
      <c r="N1106" s="8">
        <v>6.34</v>
      </c>
      <c r="O1106" s="8">
        <v>120.53</v>
      </c>
      <c r="P1106" s="8">
        <v>6.03</v>
      </c>
      <c r="Q1106" s="10">
        <v>20</v>
      </c>
      <c r="R1106" s="10">
        <v>0</v>
      </c>
      <c r="S1106" s="8">
        <v>146.56</v>
      </c>
      <c r="T1106">
        <v>26</v>
      </c>
      <c r="U1106" t="str">
        <f t="shared" si="17"/>
        <v>Sunday</v>
      </c>
    </row>
    <row r="1107" spans="1:21" x14ac:dyDescent="0.3">
      <c r="A1107" s="5" t="s">
        <v>2903</v>
      </c>
      <c r="B1107" s="3" t="s">
        <v>3715</v>
      </c>
      <c r="C1107" s="5" t="s">
        <v>1051</v>
      </c>
      <c r="D1107" s="5" t="s">
        <v>21</v>
      </c>
      <c r="E1107" s="5" t="s">
        <v>36</v>
      </c>
      <c r="F1107" s="5" t="s">
        <v>42</v>
      </c>
      <c r="G1107" t="s">
        <v>2904</v>
      </c>
      <c r="H1107" s="5" t="s">
        <v>25</v>
      </c>
      <c r="I1107" s="5" t="s">
        <v>569</v>
      </c>
      <c r="J1107" s="5" t="s">
        <v>570</v>
      </c>
      <c r="K1107" s="5" t="s">
        <v>40</v>
      </c>
      <c r="L1107">
        <v>1</v>
      </c>
      <c r="M1107">
        <v>112.65</v>
      </c>
      <c r="N1107" s="8">
        <v>16.899999999999999</v>
      </c>
      <c r="O1107" s="8">
        <v>95.75</v>
      </c>
      <c r="P1107" s="8">
        <v>4.79</v>
      </c>
      <c r="Q1107" s="10">
        <v>0</v>
      </c>
      <c r="R1107" s="10">
        <v>15</v>
      </c>
      <c r="S1107" s="8">
        <v>115.54</v>
      </c>
      <c r="T1107">
        <v>24.67</v>
      </c>
      <c r="U1107" t="str">
        <f t="shared" si="17"/>
        <v>Saturday</v>
      </c>
    </row>
    <row r="1108" spans="1:21" x14ac:dyDescent="0.3">
      <c r="A1108" s="5" t="s">
        <v>2905</v>
      </c>
      <c r="B1108" s="3" t="s">
        <v>3705</v>
      </c>
      <c r="C1108" s="5" t="s">
        <v>1054</v>
      </c>
      <c r="D1108" s="5" t="s">
        <v>82</v>
      </c>
      <c r="E1108" s="5" t="s">
        <v>83</v>
      </c>
      <c r="F1108" s="5" t="s">
        <v>42</v>
      </c>
      <c r="H1108" s="5" t="s">
        <v>100</v>
      </c>
      <c r="I1108" s="5" t="s">
        <v>574</v>
      </c>
      <c r="J1108" s="5" t="s">
        <v>575</v>
      </c>
      <c r="K1108" s="5" t="s">
        <v>103</v>
      </c>
      <c r="L1108">
        <v>3</v>
      </c>
      <c r="M1108">
        <v>126.61</v>
      </c>
      <c r="N1108" s="8">
        <v>18.989999999999998</v>
      </c>
      <c r="O1108" s="8">
        <v>360.84</v>
      </c>
      <c r="P1108" s="8">
        <v>18.04</v>
      </c>
      <c r="Q1108" s="10">
        <v>20</v>
      </c>
      <c r="R1108" s="10">
        <v>20</v>
      </c>
      <c r="S1108" s="8">
        <v>418.88</v>
      </c>
      <c r="T1108">
        <v>31</v>
      </c>
      <c r="U1108" t="str">
        <f t="shared" si="17"/>
        <v>Tuesday</v>
      </c>
    </row>
    <row r="1109" spans="1:21" x14ac:dyDescent="0.3">
      <c r="A1109" s="5" t="s">
        <v>2906</v>
      </c>
      <c r="B1109" s="3" t="s">
        <v>3704</v>
      </c>
      <c r="C1109" s="5" t="s">
        <v>1057</v>
      </c>
      <c r="D1109" s="5" t="s">
        <v>21</v>
      </c>
      <c r="E1109" s="5" t="s">
        <v>36</v>
      </c>
      <c r="F1109" s="5" t="s">
        <v>23</v>
      </c>
      <c r="G1109" t="s">
        <v>2907</v>
      </c>
      <c r="H1109" s="5" t="s">
        <v>3674</v>
      </c>
      <c r="I1109" s="5" t="s">
        <v>579</v>
      </c>
      <c r="J1109" s="5" t="s">
        <v>580</v>
      </c>
      <c r="K1109" s="5" t="s">
        <v>22</v>
      </c>
      <c r="L1109">
        <v>1</v>
      </c>
      <c r="M1109">
        <v>166.87</v>
      </c>
      <c r="N1109" s="8">
        <v>0</v>
      </c>
      <c r="O1109" s="8">
        <v>166.87</v>
      </c>
      <c r="P1109" s="8">
        <v>8.34</v>
      </c>
      <c r="Q1109" s="10">
        <v>10</v>
      </c>
      <c r="R1109" s="10">
        <v>15</v>
      </c>
      <c r="S1109" s="8">
        <v>200.21</v>
      </c>
      <c r="T1109">
        <v>15</v>
      </c>
      <c r="U1109" t="str">
        <f t="shared" si="17"/>
        <v>Tuesday</v>
      </c>
    </row>
    <row r="1110" spans="1:21" x14ac:dyDescent="0.3">
      <c r="A1110" s="5" t="s">
        <v>2908</v>
      </c>
      <c r="B1110" s="3" t="s">
        <v>3692</v>
      </c>
      <c r="C1110" s="5" t="s">
        <v>1060</v>
      </c>
      <c r="D1110" s="5" t="s">
        <v>21</v>
      </c>
      <c r="E1110" s="5" t="s">
        <v>36</v>
      </c>
      <c r="F1110" s="5" t="s">
        <v>42</v>
      </c>
      <c r="G1110" t="s">
        <v>2909</v>
      </c>
      <c r="H1110" s="5" t="s">
        <v>3676</v>
      </c>
      <c r="I1110" s="5" t="s">
        <v>584</v>
      </c>
      <c r="J1110" s="5" t="s">
        <v>585</v>
      </c>
      <c r="K1110" s="5" t="s">
        <v>196</v>
      </c>
      <c r="L1110">
        <v>1</v>
      </c>
      <c r="M1110">
        <v>134.97</v>
      </c>
      <c r="N1110" s="8">
        <v>20.25</v>
      </c>
      <c r="O1110" s="8">
        <v>114.72</v>
      </c>
      <c r="P1110" s="8">
        <v>5.74</v>
      </c>
      <c r="Q1110" s="10">
        <v>30</v>
      </c>
      <c r="R1110" s="10">
        <v>0</v>
      </c>
      <c r="S1110" s="8">
        <v>150.46</v>
      </c>
      <c r="T1110">
        <v>14</v>
      </c>
      <c r="U1110" t="str">
        <f t="shared" si="17"/>
        <v>Wednesday</v>
      </c>
    </row>
    <row r="1111" spans="1:21" x14ac:dyDescent="0.3">
      <c r="A1111" s="5" t="s">
        <v>2910</v>
      </c>
      <c r="B1111" s="3" t="s">
        <v>3682</v>
      </c>
      <c r="C1111" s="5" t="s">
        <v>1063</v>
      </c>
      <c r="D1111" s="5" t="s">
        <v>21</v>
      </c>
      <c r="E1111" s="5" t="s">
        <v>76</v>
      </c>
      <c r="F1111" s="5" t="s">
        <v>42</v>
      </c>
      <c r="G1111" t="s">
        <v>2911</v>
      </c>
      <c r="H1111" s="5" t="s">
        <v>3674</v>
      </c>
      <c r="I1111" s="5" t="s">
        <v>589</v>
      </c>
      <c r="J1111" s="5" t="s">
        <v>590</v>
      </c>
      <c r="K1111" s="5" t="s">
        <v>40</v>
      </c>
      <c r="L1111">
        <v>2</v>
      </c>
      <c r="M1111">
        <v>95.75</v>
      </c>
      <c r="N1111" s="8">
        <v>14.36</v>
      </c>
      <c r="O1111" s="8">
        <v>177.14</v>
      </c>
      <c r="P1111" s="8">
        <v>8.86</v>
      </c>
      <c r="Q1111" s="10">
        <v>30</v>
      </c>
      <c r="R1111" s="10">
        <v>0</v>
      </c>
      <c r="S1111" s="8">
        <v>216</v>
      </c>
      <c r="T1111">
        <v>27</v>
      </c>
      <c r="U1111" t="str">
        <f t="shared" si="17"/>
        <v>Tuesday</v>
      </c>
    </row>
    <row r="1112" spans="1:21" x14ac:dyDescent="0.3">
      <c r="A1112" s="5" t="s">
        <v>2912</v>
      </c>
      <c r="B1112" s="3" t="s">
        <v>3723</v>
      </c>
      <c r="C1112" s="5" t="s">
        <v>1066</v>
      </c>
      <c r="D1112" s="5" t="s">
        <v>106</v>
      </c>
      <c r="E1112" s="5" t="s">
        <v>83</v>
      </c>
      <c r="F1112" s="5" t="s">
        <v>37</v>
      </c>
      <c r="G1112" t="s">
        <v>2913</v>
      </c>
      <c r="H1112" s="5" t="s">
        <v>25</v>
      </c>
      <c r="I1112" s="5" t="s">
        <v>594</v>
      </c>
      <c r="J1112" s="5" t="s">
        <v>595</v>
      </c>
      <c r="K1112" s="5" t="s">
        <v>22</v>
      </c>
      <c r="L1112">
        <v>4</v>
      </c>
      <c r="M1112">
        <v>121.16</v>
      </c>
      <c r="N1112" s="8">
        <v>12.12</v>
      </c>
      <c r="O1112" s="8">
        <v>472.52</v>
      </c>
      <c r="P1112" s="8">
        <v>23.63</v>
      </c>
      <c r="Q1112" s="10">
        <v>20</v>
      </c>
      <c r="R1112" s="10">
        <v>10</v>
      </c>
      <c r="S1112" s="8">
        <v>526.15</v>
      </c>
      <c r="T1112">
        <v>49</v>
      </c>
      <c r="U1112" t="str">
        <f t="shared" si="17"/>
        <v>Monday</v>
      </c>
    </row>
    <row r="1113" spans="1:21" x14ac:dyDescent="0.3">
      <c r="A1113" s="5" t="s">
        <v>2914</v>
      </c>
      <c r="B1113" s="3" t="s">
        <v>3732</v>
      </c>
      <c r="C1113" s="5" t="s">
        <v>1069</v>
      </c>
      <c r="D1113" s="5" t="s">
        <v>106</v>
      </c>
      <c r="E1113" s="5" t="s">
        <v>83</v>
      </c>
      <c r="F1113" s="5" t="s">
        <v>23</v>
      </c>
      <c r="G1113" t="s">
        <v>2915</v>
      </c>
      <c r="H1113" s="5" t="s">
        <v>3675</v>
      </c>
      <c r="I1113" s="5" t="s">
        <v>599</v>
      </c>
      <c r="J1113" s="5" t="s">
        <v>600</v>
      </c>
      <c r="K1113" s="5" t="s">
        <v>45</v>
      </c>
      <c r="L1113">
        <v>4</v>
      </c>
      <c r="M1113">
        <v>184.99</v>
      </c>
      <c r="N1113" s="8">
        <v>0</v>
      </c>
      <c r="O1113" s="8">
        <v>739.96</v>
      </c>
      <c r="P1113" s="8">
        <v>37</v>
      </c>
      <c r="Q1113" s="10">
        <v>30</v>
      </c>
      <c r="R1113" s="10">
        <v>15</v>
      </c>
      <c r="S1113" s="8">
        <v>821.96</v>
      </c>
      <c r="T1113">
        <v>19</v>
      </c>
      <c r="U1113" t="str">
        <f t="shared" si="17"/>
        <v>Wednesday</v>
      </c>
    </row>
    <row r="1114" spans="1:21" x14ac:dyDescent="0.3">
      <c r="A1114" s="5" t="s">
        <v>2916</v>
      </c>
      <c r="B1114" s="3" t="s">
        <v>3733</v>
      </c>
      <c r="C1114" s="5" t="s">
        <v>1072</v>
      </c>
      <c r="D1114" s="5" t="s">
        <v>21</v>
      </c>
      <c r="E1114" s="5" t="s">
        <v>112</v>
      </c>
      <c r="F1114" s="5" t="s">
        <v>37</v>
      </c>
      <c r="G1114" t="s">
        <v>2917</v>
      </c>
      <c r="H1114" s="5" t="s">
        <v>25</v>
      </c>
      <c r="I1114" s="5" t="s">
        <v>604</v>
      </c>
      <c r="J1114" s="5" t="s">
        <v>605</v>
      </c>
      <c r="K1114" s="5" t="s">
        <v>45</v>
      </c>
      <c r="L1114">
        <v>3</v>
      </c>
      <c r="M1114">
        <v>80.47</v>
      </c>
      <c r="N1114" s="8">
        <v>4.0199999999999996</v>
      </c>
      <c r="O1114" s="8">
        <v>237.39</v>
      </c>
      <c r="P1114" s="8">
        <v>11.87</v>
      </c>
      <c r="Q1114" s="10">
        <v>30</v>
      </c>
      <c r="R1114" s="10">
        <v>5</v>
      </c>
      <c r="S1114" s="8">
        <v>284.26</v>
      </c>
      <c r="T1114">
        <v>23</v>
      </c>
      <c r="U1114" t="str">
        <f t="shared" si="17"/>
        <v>Sunday</v>
      </c>
    </row>
    <row r="1115" spans="1:21" x14ac:dyDescent="0.3">
      <c r="A1115" s="5" t="s">
        <v>2918</v>
      </c>
      <c r="B1115" s="3" t="s">
        <v>3731</v>
      </c>
      <c r="C1115" s="5" t="s">
        <v>1075</v>
      </c>
      <c r="D1115" s="5" t="s">
        <v>21</v>
      </c>
      <c r="E1115" s="5" t="s">
        <v>22</v>
      </c>
      <c r="F1115" s="5" t="s">
        <v>42</v>
      </c>
      <c r="G1115" t="s">
        <v>2919</v>
      </c>
      <c r="H1115" s="5" t="s">
        <v>3674</v>
      </c>
      <c r="I1115" s="5" t="s">
        <v>609</v>
      </c>
      <c r="J1115" s="5" t="s">
        <v>610</v>
      </c>
      <c r="K1115" s="5" t="s">
        <v>40</v>
      </c>
      <c r="L1115">
        <v>1</v>
      </c>
      <c r="M1115">
        <v>158.09</v>
      </c>
      <c r="N1115" s="8">
        <v>23.71</v>
      </c>
      <c r="O1115" s="8">
        <v>134.38</v>
      </c>
      <c r="P1115" s="8">
        <v>6.72</v>
      </c>
      <c r="Q1115" s="10">
        <v>20</v>
      </c>
      <c r="R1115" s="10">
        <v>5</v>
      </c>
      <c r="S1115" s="8">
        <v>166.1</v>
      </c>
      <c r="T1115">
        <v>48</v>
      </c>
      <c r="U1115" t="str">
        <f t="shared" si="17"/>
        <v>Monday</v>
      </c>
    </row>
    <row r="1116" spans="1:21" x14ac:dyDescent="0.3">
      <c r="A1116" s="5" t="s">
        <v>2920</v>
      </c>
      <c r="B1116" s="3" t="s">
        <v>3699</v>
      </c>
      <c r="C1116" s="5" t="s">
        <v>1078</v>
      </c>
      <c r="D1116" s="5" t="s">
        <v>21</v>
      </c>
      <c r="E1116" s="5" t="s">
        <v>22</v>
      </c>
      <c r="F1116" s="5" t="s">
        <v>37</v>
      </c>
      <c r="G1116" t="s">
        <v>2921</v>
      </c>
      <c r="H1116" s="5" t="s">
        <v>3674</v>
      </c>
      <c r="I1116" s="5" t="s">
        <v>614</v>
      </c>
      <c r="J1116" s="5" t="s">
        <v>615</v>
      </c>
      <c r="K1116" s="5" t="s">
        <v>28</v>
      </c>
      <c r="L1116">
        <v>1</v>
      </c>
      <c r="M1116">
        <v>88.76</v>
      </c>
      <c r="N1116" s="8">
        <v>4.4400000000000004</v>
      </c>
      <c r="O1116" s="8">
        <v>84.320000000000007</v>
      </c>
      <c r="P1116" s="8">
        <v>4.22</v>
      </c>
      <c r="Q1116" s="10">
        <v>20</v>
      </c>
      <c r="R1116" s="10">
        <v>0</v>
      </c>
      <c r="S1116" s="8">
        <v>108.54</v>
      </c>
      <c r="T1116">
        <v>10</v>
      </c>
      <c r="U1116" t="str">
        <f t="shared" si="17"/>
        <v>Sunday</v>
      </c>
    </row>
    <row r="1117" spans="1:21" x14ac:dyDescent="0.3">
      <c r="A1117" s="5" t="s">
        <v>2922</v>
      </c>
      <c r="B1117" s="3" t="s">
        <v>3719</v>
      </c>
      <c r="C1117" s="5" t="s">
        <v>1081</v>
      </c>
      <c r="D1117" s="5" t="s">
        <v>21</v>
      </c>
      <c r="E1117" s="5" t="s">
        <v>22</v>
      </c>
      <c r="F1117" s="5" t="s">
        <v>23</v>
      </c>
      <c r="G1117" t="s">
        <v>2923</v>
      </c>
      <c r="H1117" s="5" t="s">
        <v>3675</v>
      </c>
      <c r="I1117" s="5" t="s">
        <v>619</v>
      </c>
      <c r="J1117" s="5" t="s">
        <v>620</v>
      </c>
      <c r="K1117" s="5" t="s">
        <v>40</v>
      </c>
      <c r="L1117">
        <v>2</v>
      </c>
      <c r="M1117">
        <v>149.16999999999999</v>
      </c>
      <c r="N1117" s="8">
        <v>22.38</v>
      </c>
      <c r="O1117" s="8">
        <v>275.95999999999998</v>
      </c>
      <c r="P1117" s="8">
        <v>13.8</v>
      </c>
      <c r="Q1117" s="10">
        <v>0</v>
      </c>
      <c r="R1117" s="10">
        <v>10</v>
      </c>
      <c r="S1117" s="8">
        <v>299.76</v>
      </c>
      <c r="T1117">
        <v>24.67</v>
      </c>
      <c r="U1117" t="str">
        <f t="shared" si="17"/>
        <v>Sunday</v>
      </c>
    </row>
    <row r="1118" spans="1:21" x14ac:dyDescent="0.3">
      <c r="A1118" s="5" t="s">
        <v>2924</v>
      </c>
      <c r="B1118" s="3" t="s">
        <v>3737</v>
      </c>
      <c r="C1118" s="5" t="s">
        <v>1084</v>
      </c>
      <c r="D1118" s="5" t="s">
        <v>82</v>
      </c>
      <c r="E1118" s="5" t="s">
        <v>83</v>
      </c>
      <c r="F1118" s="5" t="s">
        <v>42</v>
      </c>
      <c r="G1118" t="s">
        <v>2925</v>
      </c>
      <c r="H1118" s="5" t="s">
        <v>3677</v>
      </c>
      <c r="I1118" s="5" t="s">
        <v>624</v>
      </c>
      <c r="J1118" s="5" t="s">
        <v>625</v>
      </c>
      <c r="K1118" s="5" t="s">
        <v>22</v>
      </c>
      <c r="L1118">
        <v>1</v>
      </c>
      <c r="M1118">
        <v>182.12</v>
      </c>
      <c r="N1118" s="8">
        <v>9.11</v>
      </c>
      <c r="O1118" s="8">
        <v>173.01</v>
      </c>
      <c r="P1118" s="8">
        <v>8.65</v>
      </c>
      <c r="Q1118" s="10">
        <v>20</v>
      </c>
      <c r="R1118" s="10">
        <v>20</v>
      </c>
      <c r="S1118" s="8">
        <v>221.66</v>
      </c>
      <c r="T1118">
        <v>12</v>
      </c>
      <c r="U1118" t="str">
        <f t="shared" si="17"/>
        <v>Saturday</v>
      </c>
    </row>
    <row r="1119" spans="1:21" x14ac:dyDescent="0.3">
      <c r="A1119" s="5" t="s">
        <v>2926</v>
      </c>
      <c r="B1119" s="3" t="s">
        <v>3726</v>
      </c>
      <c r="C1119" s="5" t="s">
        <v>1087</v>
      </c>
      <c r="D1119" s="5" t="s">
        <v>21</v>
      </c>
      <c r="E1119" s="5" t="s">
        <v>36</v>
      </c>
      <c r="F1119" s="5" t="s">
        <v>42</v>
      </c>
      <c r="G1119" t="s">
        <v>2927</v>
      </c>
      <c r="H1119" s="5" t="s">
        <v>3674</v>
      </c>
      <c r="I1119" s="5" t="s">
        <v>629</v>
      </c>
      <c r="J1119" s="5" t="s">
        <v>630</v>
      </c>
      <c r="K1119" s="5" t="s">
        <v>40</v>
      </c>
      <c r="L1119">
        <v>1</v>
      </c>
      <c r="M1119">
        <v>71.34</v>
      </c>
      <c r="N1119" s="8">
        <v>7.13</v>
      </c>
      <c r="O1119" s="8">
        <v>64.210000000000008</v>
      </c>
      <c r="P1119" s="8">
        <v>3.21</v>
      </c>
      <c r="Q1119" s="10">
        <v>30</v>
      </c>
      <c r="R1119" s="10">
        <v>0</v>
      </c>
      <c r="S1119" s="8">
        <v>97.42</v>
      </c>
      <c r="T1119">
        <v>17</v>
      </c>
      <c r="U1119" t="str">
        <f t="shared" si="17"/>
        <v>Monday</v>
      </c>
    </row>
    <row r="1120" spans="1:21" x14ac:dyDescent="0.3">
      <c r="A1120" s="5" t="s">
        <v>2928</v>
      </c>
      <c r="B1120" s="3" t="s">
        <v>3701</v>
      </c>
      <c r="C1120" s="5" t="s">
        <v>1089</v>
      </c>
      <c r="D1120" s="5" t="s">
        <v>21</v>
      </c>
      <c r="E1120" s="5" t="s">
        <v>69</v>
      </c>
      <c r="F1120" s="5" t="s">
        <v>42</v>
      </c>
      <c r="G1120" t="s">
        <v>2929</v>
      </c>
      <c r="H1120" s="5" t="s">
        <v>3673</v>
      </c>
      <c r="I1120" s="5" t="s">
        <v>634</v>
      </c>
      <c r="J1120" s="5" t="s">
        <v>635</v>
      </c>
      <c r="K1120" s="5" t="s">
        <v>22</v>
      </c>
      <c r="L1120">
        <v>4</v>
      </c>
      <c r="M1120">
        <v>49.52</v>
      </c>
      <c r="N1120" s="8">
        <v>4.95</v>
      </c>
      <c r="O1120" s="8">
        <v>193.13</v>
      </c>
      <c r="P1120" s="8">
        <v>9.66</v>
      </c>
      <c r="Q1120" s="10">
        <v>10</v>
      </c>
      <c r="R1120" s="10">
        <v>5</v>
      </c>
      <c r="S1120" s="8">
        <v>217.79</v>
      </c>
      <c r="T1120">
        <v>32</v>
      </c>
      <c r="U1120" t="str">
        <f t="shared" si="17"/>
        <v>Tuesday</v>
      </c>
    </row>
    <row r="1121" spans="1:21" x14ac:dyDescent="0.3">
      <c r="A1121" s="5" t="s">
        <v>2930</v>
      </c>
      <c r="B1121" s="3" t="s">
        <v>3717</v>
      </c>
      <c r="C1121" s="5" t="s">
        <v>1092</v>
      </c>
      <c r="D1121" s="5" t="s">
        <v>21</v>
      </c>
      <c r="E1121" s="5" t="s">
        <v>69</v>
      </c>
      <c r="F1121" s="5" t="s">
        <v>23</v>
      </c>
      <c r="G1121" t="s">
        <v>2931</v>
      </c>
      <c r="H1121" s="5" t="s">
        <v>100</v>
      </c>
      <c r="I1121" s="5" t="s">
        <v>639</v>
      </c>
      <c r="J1121" s="5" t="s">
        <v>640</v>
      </c>
      <c r="K1121" s="5" t="s">
        <v>40</v>
      </c>
      <c r="L1121">
        <v>3</v>
      </c>
      <c r="M1121">
        <v>123.47</v>
      </c>
      <c r="N1121" s="8">
        <v>0</v>
      </c>
      <c r="O1121" s="8">
        <v>370.41</v>
      </c>
      <c r="P1121" s="8">
        <v>18.52</v>
      </c>
      <c r="Q1121" s="10">
        <v>0</v>
      </c>
      <c r="R1121" s="10">
        <v>0</v>
      </c>
      <c r="S1121" s="8">
        <v>388.92999999999989</v>
      </c>
      <c r="T1121">
        <v>24.67</v>
      </c>
      <c r="U1121" t="str">
        <f t="shared" si="17"/>
        <v>Tuesday</v>
      </c>
    </row>
    <row r="1122" spans="1:21" x14ac:dyDescent="0.3">
      <c r="A1122" s="5" t="s">
        <v>2932</v>
      </c>
      <c r="B1122" s="3" t="s">
        <v>3719</v>
      </c>
      <c r="C1122" s="5" t="s">
        <v>1095</v>
      </c>
      <c r="D1122" s="5" t="s">
        <v>21</v>
      </c>
      <c r="E1122" s="5" t="s">
        <v>36</v>
      </c>
      <c r="F1122" s="5" t="s">
        <v>37</v>
      </c>
      <c r="G1122" t="s">
        <v>2933</v>
      </c>
      <c r="H1122" s="5" t="s">
        <v>25</v>
      </c>
      <c r="I1122" s="5" t="s">
        <v>644</v>
      </c>
      <c r="J1122" s="5" t="s">
        <v>645</v>
      </c>
      <c r="K1122" s="5" t="s">
        <v>28</v>
      </c>
      <c r="L1122">
        <v>1</v>
      </c>
      <c r="M1122">
        <v>262.74</v>
      </c>
      <c r="N1122" s="8">
        <v>26.27</v>
      </c>
      <c r="O1122" s="8">
        <v>236.47</v>
      </c>
      <c r="P1122" s="8">
        <v>11.82</v>
      </c>
      <c r="Q1122" s="10">
        <v>20</v>
      </c>
      <c r="R1122" s="10">
        <v>15</v>
      </c>
      <c r="S1122" s="8">
        <v>283.29000000000002</v>
      </c>
      <c r="T1122">
        <v>28</v>
      </c>
      <c r="U1122" t="str">
        <f t="shared" si="17"/>
        <v>Sunday</v>
      </c>
    </row>
    <row r="1123" spans="1:21" x14ac:dyDescent="0.3">
      <c r="A1123" s="5" t="s">
        <v>2934</v>
      </c>
      <c r="B1123" s="3" t="s">
        <v>3730</v>
      </c>
      <c r="C1123" s="5" t="s">
        <v>1098</v>
      </c>
      <c r="D1123" s="5" t="s">
        <v>21</v>
      </c>
      <c r="E1123" s="5" t="s">
        <v>36</v>
      </c>
      <c r="F1123" s="5" t="s">
        <v>23</v>
      </c>
      <c r="G1123" t="s">
        <v>2935</v>
      </c>
      <c r="H1123" s="5" t="s">
        <v>3677</v>
      </c>
      <c r="I1123" s="5" t="s">
        <v>649</v>
      </c>
      <c r="J1123" s="5" t="s">
        <v>650</v>
      </c>
      <c r="K1123" s="5" t="s">
        <v>73</v>
      </c>
      <c r="L1123">
        <v>2</v>
      </c>
      <c r="M1123">
        <v>63.62</v>
      </c>
      <c r="N1123" s="8">
        <v>3.18</v>
      </c>
      <c r="O1123" s="8">
        <v>124.06</v>
      </c>
      <c r="P1123" s="8">
        <v>6.2</v>
      </c>
      <c r="Q1123" s="10">
        <v>10</v>
      </c>
      <c r="R1123" s="10">
        <v>5</v>
      </c>
      <c r="S1123" s="8">
        <v>145.26</v>
      </c>
      <c r="T1123">
        <v>36</v>
      </c>
      <c r="U1123" t="str">
        <f t="shared" si="17"/>
        <v>Friday</v>
      </c>
    </row>
    <row r="1124" spans="1:21" x14ac:dyDescent="0.3">
      <c r="A1124" s="5" t="s">
        <v>2936</v>
      </c>
      <c r="B1124" s="3" t="s">
        <v>3702</v>
      </c>
      <c r="C1124" s="5" t="s">
        <v>1101</v>
      </c>
      <c r="D1124" s="5" t="s">
        <v>21</v>
      </c>
      <c r="E1124" s="5" t="s">
        <v>76</v>
      </c>
      <c r="F1124" s="5" t="s">
        <v>23</v>
      </c>
      <c r="G1124" t="s">
        <v>2937</v>
      </c>
      <c r="H1124" s="5" t="s">
        <v>3674</v>
      </c>
      <c r="I1124" s="5" t="s">
        <v>654</v>
      </c>
      <c r="J1124" s="5" t="s">
        <v>655</v>
      </c>
      <c r="K1124" s="5" t="s">
        <v>145</v>
      </c>
      <c r="L1124">
        <v>3</v>
      </c>
      <c r="M1124">
        <v>15.57</v>
      </c>
      <c r="N1124" s="8">
        <v>0</v>
      </c>
      <c r="O1124" s="8">
        <v>46.71</v>
      </c>
      <c r="P1124" s="8">
        <v>2.34</v>
      </c>
      <c r="Q1124" s="10">
        <v>20</v>
      </c>
      <c r="R1124" s="10">
        <v>20</v>
      </c>
      <c r="S1124" s="8">
        <v>89.05</v>
      </c>
      <c r="T1124">
        <v>31</v>
      </c>
      <c r="U1124" t="str">
        <f t="shared" si="17"/>
        <v>Monday</v>
      </c>
    </row>
    <row r="1125" spans="1:21" x14ac:dyDescent="0.3">
      <c r="A1125" s="5" t="s">
        <v>2938</v>
      </c>
      <c r="B1125" s="3" t="s">
        <v>3714</v>
      </c>
      <c r="C1125" s="5" t="s">
        <v>1104</v>
      </c>
      <c r="D1125" s="5" t="s">
        <v>82</v>
      </c>
      <c r="E1125" s="5" t="s">
        <v>83</v>
      </c>
      <c r="F1125" s="5" t="s">
        <v>37</v>
      </c>
      <c r="G1125" t="s">
        <v>2939</v>
      </c>
      <c r="H1125" s="5" t="s">
        <v>3673</v>
      </c>
      <c r="I1125" s="5" t="s">
        <v>659</v>
      </c>
      <c r="J1125" s="5" t="s">
        <v>660</v>
      </c>
      <c r="K1125" s="5" t="s">
        <v>196</v>
      </c>
      <c r="L1125">
        <v>2</v>
      </c>
      <c r="M1125">
        <v>62.87</v>
      </c>
      <c r="N1125" s="8">
        <v>9.43</v>
      </c>
      <c r="O1125" s="8">
        <v>116.31</v>
      </c>
      <c r="P1125" s="8">
        <v>5.82</v>
      </c>
      <c r="Q1125" s="10">
        <v>20</v>
      </c>
      <c r="R1125" s="10">
        <v>20</v>
      </c>
      <c r="S1125" s="8">
        <v>162.13</v>
      </c>
      <c r="T1125">
        <v>20</v>
      </c>
      <c r="U1125" t="str">
        <f t="shared" si="17"/>
        <v>Thursday</v>
      </c>
    </row>
    <row r="1126" spans="1:21" x14ac:dyDescent="0.3">
      <c r="A1126" s="5" t="s">
        <v>2940</v>
      </c>
      <c r="B1126" s="3" t="s">
        <v>3719</v>
      </c>
      <c r="C1126" s="5" t="s">
        <v>1107</v>
      </c>
      <c r="D1126" s="5" t="s">
        <v>21</v>
      </c>
      <c r="E1126" s="5" t="s">
        <v>112</v>
      </c>
      <c r="F1126" s="5" t="s">
        <v>42</v>
      </c>
      <c r="G1126" t="s">
        <v>2941</v>
      </c>
      <c r="H1126" s="5" t="s">
        <v>3677</v>
      </c>
      <c r="I1126" s="5" t="s">
        <v>664</v>
      </c>
      <c r="J1126" s="5" t="s">
        <v>665</v>
      </c>
      <c r="K1126" s="5" t="s">
        <v>73</v>
      </c>
      <c r="L1126">
        <v>3</v>
      </c>
      <c r="M1126">
        <v>224.85</v>
      </c>
      <c r="N1126" s="8">
        <v>22.48</v>
      </c>
      <c r="O1126" s="8">
        <v>652.06999999999994</v>
      </c>
      <c r="P1126" s="8">
        <v>32.6</v>
      </c>
      <c r="Q1126" s="10">
        <v>30</v>
      </c>
      <c r="R1126" s="10">
        <v>10</v>
      </c>
      <c r="S1126" s="8">
        <v>724.67</v>
      </c>
      <c r="T1126">
        <v>22</v>
      </c>
      <c r="U1126" t="str">
        <f t="shared" si="17"/>
        <v>Sunday</v>
      </c>
    </row>
    <row r="1127" spans="1:21" x14ac:dyDescent="0.3">
      <c r="A1127" s="5" t="s">
        <v>2942</v>
      </c>
      <c r="B1127" s="3" t="s">
        <v>3711</v>
      </c>
      <c r="C1127" s="5" t="s">
        <v>1110</v>
      </c>
      <c r="D1127" s="5" t="s">
        <v>21</v>
      </c>
      <c r="E1127" s="5" t="s">
        <v>76</v>
      </c>
      <c r="F1127" s="5" t="s">
        <v>23</v>
      </c>
      <c r="G1127" t="s">
        <v>2943</v>
      </c>
      <c r="H1127" s="5" t="s">
        <v>3673</v>
      </c>
      <c r="I1127" s="5" t="s">
        <v>669</v>
      </c>
      <c r="J1127" s="5" t="s">
        <v>670</v>
      </c>
      <c r="K1127" s="5" t="s">
        <v>145</v>
      </c>
      <c r="L1127">
        <v>1</v>
      </c>
      <c r="M1127">
        <v>155.27000000000001</v>
      </c>
      <c r="N1127" s="8">
        <v>15.53</v>
      </c>
      <c r="O1127" s="8">
        <v>139.74</v>
      </c>
      <c r="P1127" s="8">
        <v>6.99</v>
      </c>
      <c r="Q1127" s="10">
        <v>10</v>
      </c>
      <c r="R1127" s="10">
        <v>0</v>
      </c>
      <c r="S1127" s="8">
        <v>156.72999999999999</v>
      </c>
      <c r="T1127">
        <v>31</v>
      </c>
      <c r="U1127" t="str">
        <f t="shared" si="17"/>
        <v>Wednesday</v>
      </c>
    </row>
    <row r="1128" spans="1:21" x14ac:dyDescent="0.3">
      <c r="A1128" s="5" t="s">
        <v>2944</v>
      </c>
      <c r="B1128" s="3" t="s">
        <v>3708</v>
      </c>
      <c r="C1128" s="5" t="s">
        <v>1113</v>
      </c>
      <c r="D1128" s="5" t="s">
        <v>21</v>
      </c>
      <c r="E1128" s="5" t="s">
        <v>22</v>
      </c>
      <c r="F1128" s="5" t="s">
        <v>42</v>
      </c>
      <c r="G1128" t="s">
        <v>2945</v>
      </c>
      <c r="H1128" s="5" t="s">
        <v>25</v>
      </c>
      <c r="I1128" s="5" t="s">
        <v>674</v>
      </c>
      <c r="J1128" s="5" t="s">
        <v>675</v>
      </c>
      <c r="K1128" s="5" t="s">
        <v>73</v>
      </c>
      <c r="L1128">
        <v>3</v>
      </c>
      <c r="M1128">
        <v>63.15</v>
      </c>
      <c r="N1128" s="8">
        <v>9.4700000000000006</v>
      </c>
      <c r="O1128" s="8">
        <v>179.98</v>
      </c>
      <c r="P1128" s="8">
        <v>9</v>
      </c>
      <c r="Q1128" s="10">
        <v>10</v>
      </c>
      <c r="R1128" s="10">
        <v>15</v>
      </c>
      <c r="S1128" s="8">
        <v>213.98</v>
      </c>
      <c r="T1128">
        <v>27</v>
      </c>
      <c r="U1128" t="str">
        <f t="shared" si="17"/>
        <v>Sunday</v>
      </c>
    </row>
    <row r="1129" spans="1:21" x14ac:dyDescent="0.3">
      <c r="A1129" s="5" t="s">
        <v>2946</v>
      </c>
      <c r="B1129" s="3" t="s">
        <v>3711</v>
      </c>
      <c r="C1129" s="5" t="s">
        <v>1116</v>
      </c>
      <c r="D1129" s="5" t="s">
        <v>21</v>
      </c>
      <c r="E1129" s="5" t="s">
        <v>22</v>
      </c>
      <c r="F1129" s="5" t="s">
        <v>37</v>
      </c>
      <c r="G1129" t="s">
        <v>2947</v>
      </c>
      <c r="H1129" s="5" t="s">
        <v>3677</v>
      </c>
      <c r="I1129" s="5" t="s">
        <v>679</v>
      </c>
      <c r="J1129" s="5" t="s">
        <v>680</v>
      </c>
      <c r="K1129" s="5" t="s">
        <v>73</v>
      </c>
      <c r="L1129">
        <v>2</v>
      </c>
      <c r="M1129">
        <v>108.09</v>
      </c>
      <c r="N1129" s="8">
        <v>0</v>
      </c>
      <c r="O1129" s="8">
        <v>216.18</v>
      </c>
      <c r="P1129" s="8">
        <v>10.81</v>
      </c>
      <c r="Q1129" s="10">
        <v>30</v>
      </c>
      <c r="R1129" s="10">
        <v>0</v>
      </c>
      <c r="S1129" s="8">
        <v>256.99</v>
      </c>
      <c r="T1129">
        <v>16</v>
      </c>
      <c r="U1129" t="str">
        <f t="shared" si="17"/>
        <v>Wednesday</v>
      </c>
    </row>
    <row r="1130" spans="1:21" x14ac:dyDescent="0.3">
      <c r="A1130" s="5" t="s">
        <v>2948</v>
      </c>
      <c r="B1130" s="3" t="s">
        <v>3692</v>
      </c>
      <c r="C1130" s="5" t="s">
        <v>1119</v>
      </c>
      <c r="D1130" s="5" t="s">
        <v>21</v>
      </c>
      <c r="E1130" s="5" t="s">
        <v>76</v>
      </c>
      <c r="F1130" s="5" t="s">
        <v>23</v>
      </c>
      <c r="G1130" t="s">
        <v>2949</v>
      </c>
      <c r="H1130" s="5" t="s">
        <v>3673</v>
      </c>
      <c r="I1130" s="5" t="s">
        <v>684</v>
      </c>
      <c r="J1130" s="5" t="s">
        <v>685</v>
      </c>
      <c r="K1130" s="5" t="s">
        <v>145</v>
      </c>
      <c r="L1130">
        <v>5</v>
      </c>
      <c r="M1130">
        <v>151.86000000000001</v>
      </c>
      <c r="N1130" s="8">
        <v>0</v>
      </c>
      <c r="O1130" s="8">
        <v>759.30000000000007</v>
      </c>
      <c r="P1130" s="8">
        <v>37.97</v>
      </c>
      <c r="Q1130" s="10">
        <v>10</v>
      </c>
      <c r="R1130" s="10">
        <v>0</v>
      </c>
      <c r="S1130" s="8">
        <v>807.2700000000001</v>
      </c>
      <c r="T1130">
        <v>28</v>
      </c>
      <c r="U1130" t="str">
        <f t="shared" si="17"/>
        <v>Wednesday</v>
      </c>
    </row>
    <row r="1131" spans="1:21" x14ac:dyDescent="0.3">
      <c r="A1131" s="5" t="s">
        <v>2950</v>
      </c>
      <c r="B1131" s="3" t="s">
        <v>3708</v>
      </c>
      <c r="C1131" s="5" t="s">
        <v>1122</v>
      </c>
      <c r="D1131" s="5" t="s">
        <v>21</v>
      </c>
      <c r="E1131" s="5" t="s">
        <v>22</v>
      </c>
      <c r="F1131" s="5" t="s">
        <v>3671</v>
      </c>
      <c r="G1131" t="s">
        <v>2951</v>
      </c>
      <c r="H1131" s="5" t="s">
        <v>3673</v>
      </c>
      <c r="I1131" s="5" t="s">
        <v>689</v>
      </c>
      <c r="J1131" s="5" t="s">
        <v>690</v>
      </c>
      <c r="K1131" s="5" t="s">
        <v>45</v>
      </c>
      <c r="L1131">
        <v>2</v>
      </c>
      <c r="M1131">
        <v>137.76</v>
      </c>
      <c r="N1131" s="8">
        <v>20.66</v>
      </c>
      <c r="O1131" s="8">
        <v>254.86</v>
      </c>
      <c r="P1131" s="8">
        <v>12.74</v>
      </c>
      <c r="Q1131" s="10">
        <v>10</v>
      </c>
      <c r="R1131" s="10">
        <v>10</v>
      </c>
      <c r="S1131" s="8">
        <v>287.60000000000002</v>
      </c>
      <c r="T1131">
        <v>28</v>
      </c>
      <c r="U1131" t="str">
        <f t="shared" si="17"/>
        <v>Sunday</v>
      </c>
    </row>
    <row r="1132" spans="1:21" x14ac:dyDescent="0.3">
      <c r="A1132" s="5" t="s">
        <v>2952</v>
      </c>
      <c r="B1132" s="3" t="s">
        <v>3736</v>
      </c>
      <c r="C1132" s="5" t="s">
        <v>1125</v>
      </c>
      <c r="D1132" s="5" t="s">
        <v>106</v>
      </c>
      <c r="E1132" s="5" t="s">
        <v>83</v>
      </c>
      <c r="F1132" s="5" t="s">
        <v>42</v>
      </c>
      <c r="G1132" t="s">
        <v>2953</v>
      </c>
      <c r="H1132" s="5" t="s">
        <v>3677</v>
      </c>
      <c r="I1132" s="5" t="s">
        <v>694</v>
      </c>
      <c r="J1132" s="5" t="s">
        <v>695</v>
      </c>
      <c r="K1132" s="5" t="s">
        <v>103</v>
      </c>
      <c r="L1132">
        <v>1</v>
      </c>
      <c r="M1132">
        <v>272.94</v>
      </c>
      <c r="N1132" s="8">
        <v>40.94</v>
      </c>
      <c r="O1132" s="8">
        <v>232</v>
      </c>
      <c r="P1132" s="8">
        <v>11.6</v>
      </c>
      <c r="Q1132" s="10">
        <v>30</v>
      </c>
      <c r="R1132" s="10">
        <v>5</v>
      </c>
      <c r="S1132" s="8">
        <v>278.60000000000002</v>
      </c>
      <c r="T1132">
        <v>30</v>
      </c>
      <c r="U1132" t="str">
        <f t="shared" si="17"/>
        <v>Tuesday</v>
      </c>
    </row>
    <row r="1133" spans="1:21" x14ac:dyDescent="0.3">
      <c r="A1133" s="5" t="s">
        <v>2954</v>
      </c>
      <c r="B1133" s="3" t="s">
        <v>3695</v>
      </c>
      <c r="C1133" s="5" t="s">
        <v>1128</v>
      </c>
      <c r="D1133" s="5" t="s">
        <v>21</v>
      </c>
      <c r="E1133" s="5" t="s">
        <v>22</v>
      </c>
      <c r="F1133" s="5" t="s">
        <v>37</v>
      </c>
      <c r="G1133" t="s">
        <v>2955</v>
      </c>
      <c r="H1133" s="5" t="s">
        <v>3675</v>
      </c>
      <c r="I1133" s="5" t="s">
        <v>699</v>
      </c>
      <c r="J1133" s="5" t="s">
        <v>700</v>
      </c>
      <c r="K1133" s="5" t="s">
        <v>45</v>
      </c>
      <c r="L1133">
        <v>1</v>
      </c>
      <c r="M1133">
        <v>172.24</v>
      </c>
      <c r="N1133" s="8">
        <v>17.22</v>
      </c>
      <c r="O1133" s="8">
        <v>155.02000000000001</v>
      </c>
      <c r="P1133" s="8">
        <v>7.75</v>
      </c>
      <c r="Q1133" s="10">
        <v>30</v>
      </c>
      <c r="R1133" s="10">
        <v>10</v>
      </c>
      <c r="S1133" s="8">
        <v>202.77</v>
      </c>
      <c r="T1133">
        <v>34</v>
      </c>
      <c r="U1133" t="str">
        <f t="shared" si="17"/>
        <v>Thursday</v>
      </c>
    </row>
    <row r="1134" spans="1:21" x14ac:dyDescent="0.3">
      <c r="A1134" s="5" t="s">
        <v>2956</v>
      </c>
      <c r="B1134" s="3" t="s">
        <v>3680</v>
      </c>
      <c r="C1134" s="5" t="s">
        <v>1130</v>
      </c>
      <c r="D1134" s="5" t="s">
        <v>21</v>
      </c>
      <c r="E1134" s="5" t="s">
        <v>69</v>
      </c>
      <c r="F1134" s="5" t="s">
        <v>23</v>
      </c>
      <c r="G1134" t="s">
        <v>2957</v>
      </c>
      <c r="H1134" s="5" t="s">
        <v>100</v>
      </c>
      <c r="I1134" s="5" t="s">
        <v>704</v>
      </c>
      <c r="J1134" s="5" t="s">
        <v>705</v>
      </c>
      <c r="K1134" s="5" t="s">
        <v>196</v>
      </c>
      <c r="L1134">
        <v>2</v>
      </c>
      <c r="M1134">
        <v>136.12</v>
      </c>
      <c r="N1134" s="8">
        <v>20.420000000000002</v>
      </c>
      <c r="O1134" s="8">
        <v>251.82</v>
      </c>
      <c r="P1134" s="8">
        <v>12.59</v>
      </c>
      <c r="Q1134" s="10">
        <v>10</v>
      </c>
      <c r="R1134" s="10">
        <v>5</v>
      </c>
      <c r="S1134" s="8">
        <v>279.41000000000003</v>
      </c>
      <c r="T1134">
        <v>18</v>
      </c>
      <c r="U1134" t="str">
        <f t="shared" si="17"/>
        <v>Wednesday</v>
      </c>
    </row>
    <row r="1135" spans="1:21" x14ac:dyDescent="0.3">
      <c r="A1135" s="5" t="s">
        <v>2958</v>
      </c>
      <c r="B1135" s="3" t="s">
        <v>3729</v>
      </c>
      <c r="C1135" s="5" t="s">
        <v>1133</v>
      </c>
      <c r="D1135" s="5" t="s">
        <v>82</v>
      </c>
      <c r="E1135" s="5" t="s">
        <v>83</v>
      </c>
      <c r="F1135" s="5" t="s">
        <v>42</v>
      </c>
      <c r="H1135" s="5" t="s">
        <v>3675</v>
      </c>
      <c r="I1135" s="5" t="s">
        <v>709</v>
      </c>
      <c r="J1135" s="5" t="s">
        <v>710</v>
      </c>
      <c r="K1135" s="5" t="s">
        <v>73</v>
      </c>
      <c r="L1135">
        <v>1</v>
      </c>
      <c r="M1135">
        <v>115.19</v>
      </c>
      <c r="N1135" s="8">
        <v>17.28</v>
      </c>
      <c r="O1135" s="8">
        <v>97.91</v>
      </c>
      <c r="P1135" s="8">
        <v>4.9000000000000004</v>
      </c>
      <c r="Q1135" s="10">
        <v>10</v>
      </c>
      <c r="R1135" s="10">
        <v>15</v>
      </c>
      <c r="S1135" s="8">
        <v>127.81</v>
      </c>
      <c r="T1135">
        <v>17</v>
      </c>
      <c r="U1135" t="str">
        <f t="shared" si="17"/>
        <v>Monday</v>
      </c>
    </row>
    <row r="1136" spans="1:21" x14ac:dyDescent="0.3">
      <c r="A1136" s="5" t="s">
        <v>2959</v>
      </c>
      <c r="B1136" s="3" t="s">
        <v>3722</v>
      </c>
      <c r="C1136" s="5" t="s">
        <v>1136</v>
      </c>
      <c r="D1136" s="5" t="s">
        <v>21</v>
      </c>
      <c r="E1136" s="5" t="s">
        <v>69</v>
      </c>
      <c r="F1136" s="5" t="s">
        <v>23</v>
      </c>
      <c r="G1136" t="s">
        <v>2960</v>
      </c>
      <c r="H1136" s="5" t="s">
        <v>25</v>
      </c>
      <c r="I1136" s="5" t="s">
        <v>714</v>
      </c>
      <c r="J1136" s="5" t="s">
        <v>715</v>
      </c>
      <c r="K1136" s="5" t="s">
        <v>40</v>
      </c>
      <c r="L1136">
        <v>1</v>
      </c>
      <c r="M1136">
        <v>129.05000000000001</v>
      </c>
      <c r="N1136" s="8">
        <v>6.45</v>
      </c>
      <c r="O1136" s="8">
        <v>122.6</v>
      </c>
      <c r="P1136" s="8">
        <v>6.13</v>
      </c>
      <c r="Q1136" s="10">
        <v>0</v>
      </c>
      <c r="R1136" s="10">
        <v>15</v>
      </c>
      <c r="S1136" s="8">
        <v>143.72999999999999</v>
      </c>
      <c r="T1136">
        <v>6</v>
      </c>
      <c r="U1136" t="str">
        <f t="shared" si="17"/>
        <v>Friday</v>
      </c>
    </row>
    <row r="1137" spans="1:21" x14ac:dyDescent="0.3">
      <c r="A1137" s="5" t="s">
        <v>2961</v>
      </c>
      <c r="B1137" s="3" t="s">
        <v>3719</v>
      </c>
      <c r="C1137" s="5" t="s">
        <v>1139</v>
      </c>
      <c r="D1137" s="5" t="s">
        <v>21</v>
      </c>
      <c r="E1137" s="5" t="s">
        <v>36</v>
      </c>
      <c r="F1137" s="5" t="s">
        <v>42</v>
      </c>
      <c r="G1137" t="s">
        <v>2962</v>
      </c>
      <c r="H1137" s="5" t="s">
        <v>3676</v>
      </c>
      <c r="I1137" s="5" t="s">
        <v>719</v>
      </c>
      <c r="J1137" s="5" t="s">
        <v>720</v>
      </c>
      <c r="K1137" s="5" t="s">
        <v>28</v>
      </c>
      <c r="L1137">
        <v>4</v>
      </c>
      <c r="M1137">
        <v>39.6</v>
      </c>
      <c r="N1137" s="8">
        <v>5.94</v>
      </c>
      <c r="O1137" s="8">
        <v>152.46</v>
      </c>
      <c r="P1137" s="8">
        <v>7.62</v>
      </c>
      <c r="Q1137" s="10">
        <v>30</v>
      </c>
      <c r="R1137" s="10">
        <v>20</v>
      </c>
      <c r="S1137" s="8">
        <v>210.08</v>
      </c>
      <c r="T1137">
        <v>29</v>
      </c>
      <c r="U1137" t="str">
        <f t="shared" si="17"/>
        <v>Sunday</v>
      </c>
    </row>
    <row r="1138" spans="1:21" x14ac:dyDescent="0.3">
      <c r="A1138" s="5" t="s">
        <v>2963</v>
      </c>
      <c r="B1138" s="3" t="s">
        <v>3689</v>
      </c>
      <c r="C1138" s="5" t="s">
        <v>1142</v>
      </c>
      <c r="D1138" s="5" t="s">
        <v>21</v>
      </c>
      <c r="E1138" s="5" t="s">
        <v>112</v>
      </c>
      <c r="F1138" s="5" t="s">
        <v>42</v>
      </c>
      <c r="G1138" t="s">
        <v>2964</v>
      </c>
      <c r="H1138" s="5" t="s">
        <v>25</v>
      </c>
      <c r="I1138" s="5" t="s">
        <v>724</v>
      </c>
      <c r="J1138" s="5" t="s">
        <v>725</v>
      </c>
      <c r="K1138" s="5" t="s">
        <v>28</v>
      </c>
      <c r="L1138">
        <v>4</v>
      </c>
      <c r="M1138">
        <v>156.83000000000001</v>
      </c>
      <c r="N1138" s="8">
        <v>15.68</v>
      </c>
      <c r="O1138" s="8">
        <v>611.6400000000001</v>
      </c>
      <c r="P1138" s="8">
        <v>30.58</v>
      </c>
      <c r="Q1138" s="10">
        <v>30</v>
      </c>
      <c r="R1138" s="10">
        <v>15</v>
      </c>
      <c r="S1138" s="8">
        <v>687.22000000000014</v>
      </c>
      <c r="T1138">
        <v>22</v>
      </c>
      <c r="U1138" t="str">
        <f t="shared" si="17"/>
        <v>Wednesday</v>
      </c>
    </row>
    <row r="1139" spans="1:21" x14ac:dyDescent="0.3">
      <c r="A1139" s="5" t="s">
        <v>2965</v>
      </c>
      <c r="B1139" s="3" t="s">
        <v>3732</v>
      </c>
      <c r="C1139" s="5" t="s">
        <v>1145</v>
      </c>
      <c r="D1139" s="5" t="s">
        <v>21</v>
      </c>
      <c r="E1139" s="5" t="s">
        <v>69</v>
      </c>
      <c r="F1139" s="5" t="s">
        <v>23</v>
      </c>
      <c r="G1139" t="s">
        <v>2966</v>
      </c>
      <c r="H1139" s="5" t="s">
        <v>3676</v>
      </c>
      <c r="I1139" s="5" t="s">
        <v>729</v>
      </c>
      <c r="J1139" s="5" t="s">
        <v>730</v>
      </c>
      <c r="K1139" s="5" t="s">
        <v>103</v>
      </c>
      <c r="L1139">
        <v>2</v>
      </c>
      <c r="M1139">
        <v>118.71</v>
      </c>
      <c r="N1139" s="8">
        <v>11.87</v>
      </c>
      <c r="O1139" s="8">
        <v>225.55</v>
      </c>
      <c r="P1139" s="8">
        <v>11.28</v>
      </c>
      <c r="Q1139" s="10">
        <v>10</v>
      </c>
      <c r="R1139" s="10">
        <v>10</v>
      </c>
      <c r="S1139" s="8">
        <v>256.83</v>
      </c>
      <c r="T1139">
        <v>24</v>
      </c>
      <c r="U1139" t="str">
        <f t="shared" si="17"/>
        <v>Wednesday</v>
      </c>
    </row>
    <row r="1140" spans="1:21" x14ac:dyDescent="0.3">
      <c r="A1140" s="5" t="s">
        <v>2967</v>
      </c>
      <c r="B1140" s="3" t="s">
        <v>3681</v>
      </c>
      <c r="C1140" s="5" t="s">
        <v>1148</v>
      </c>
      <c r="D1140" s="5" t="s">
        <v>21</v>
      </c>
      <c r="E1140" s="5" t="s">
        <v>69</v>
      </c>
      <c r="F1140" s="5" t="s">
        <v>37</v>
      </c>
      <c r="G1140" t="s">
        <v>2968</v>
      </c>
      <c r="H1140" s="5" t="s">
        <v>3675</v>
      </c>
      <c r="I1140" s="5" t="s">
        <v>734</v>
      </c>
      <c r="J1140" s="5" t="s">
        <v>735</v>
      </c>
      <c r="K1140" s="5" t="s">
        <v>34</v>
      </c>
      <c r="L1140">
        <v>1</v>
      </c>
      <c r="M1140">
        <v>142.16</v>
      </c>
      <c r="N1140" s="8">
        <v>21.32</v>
      </c>
      <c r="O1140" s="8">
        <v>120.84</v>
      </c>
      <c r="P1140" s="8">
        <v>6.04</v>
      </c>
      <c r="Q1140" s="10">
        <v>0</v>
      </c>
      <c r="R1140" s="10">
        <v>10</v>
      </c>
      <c r="S1140" s="8">
        <v>136.88</v>
      </c>
      <c r="T1140">
        <v>20</v>
      </c>
      <c r="U1140" t="str">
        <f t="shared" si="17"/>
        <v>Wednesday</v>
      </c>
    </row>
    <row r="1141" spans="1:21" x14ac:dyDescent="0.3">
      <c r="A1141" s="5" t="s">
        <v>2969</v>
      </c>
      <c r="B1141" s="3" t="s">
        <v>3701</v>
      </c>
      <c r="C1141" s="5" t="s">
        <v>1151</v>
      </c>
      <c r="D1141" s="5" t="s">
        <v>21</v>
      </c>
      <c r="E1141" s="5" t="s">
        <v>112</v>
      </c>
      <c r="F1141" s="5" t="s">
        <v>23</v>
      </c>
      <c r="G1141" t="s">
        <v>2970</v>
      </c>
      <c r="H1141" s="5" t="s">
        <v>3677</v>
      </c>
      <c r="I1141" s="5" t="s">
        <v>739</v>
      </c>
      <c r="J1141" s="5" t="s">
        <v>740</v>
      </c>
      <c r="K1141" s="5" t="s">
        <v>56</v>
      </c>
      <c r="L1141">
        <v>3</v>
      </c>
      <c r="M1141">
        <v>123.21</v>
      </c>
      <c r="N1141" s="8">
        <v>12.32</v>
      </c>
      <c r="O1141" s="8">
        <v>357.31</v>
      </c>
      <c r="P1141" s="8">
        <v>17.87</v>
      </c>
      <c r="Q1141" s="10">
        <v>10</v>
      </c>
      <c r="R1141" s="10">
        <v>20</v>
      </c>
      <c r="S1141" s="8">
        <v>405.18</v>
      </c>
      <c r="T1141">
        <v>34</v>
      </c>
      <c r="U1141" t="str">
        <f t="shared" si="17"/>
        <v>Tuesday</v>
      </c>
    </row>
    <row r="1142" spans="1:21" x14ac:dyDescent="0.3">
      <c r="A1142" s="5" t="s">
        <v>2971</v>
      </c>
      <c r="B1142" s="3" t="s">
        <v>3721</v>
      </c>
      <c r="C1142" s="5" t="s">
        <v>1154</v>
      </c>
      <c r="D1142" s="5" t="s">
        <v>21</v>
      </c>
      <c r="E1142" s="5" t="s">
        <v>69</v>
      </c>
      <c r="F1142" s="5" t="s">
        <v>37</v>
      </c>
      <c r="G1142" t="s">
        <v>2972</v>
      </c>
      <c r="H1142" s="5" t="s">
        <v>3676</v>
      </c>
      <c r="I1142" s="5" t="s">
        <v>744</v>
      </c>
      <c r="J1142" s="5" t="s">
        <v>745</v>
      </c>
      <c r="K1142" s="5" t="s">
        <v>73</v>
      </c>
      <c r="L1142">
        <v>1</v>
      </c>
      <c r="M1142">
        <v>109.47</v>
      </c>
      <c r="N1142" s="8">
        <v>16.420000000000002</v>
      </c>
      <c r="O1142" s="8">
        <v>93.05</v>
      </c>
      <c r="P1142" s="8">
        <v>4.6500000000000004</v>
      </c>
      <c r="Q1142" s="10">
        <v>30</v>
      </c>
      <c r="R1142" s="10">
        <v>20</v>
      </c>
      <c r="S1142" s="8">
        <v>147.69999999999999</v>
      </c>
      <c r="T1142">
        <v>24</v>
      </c>
      <c r="U1142" t="str">
        <f t="shared" si="17"/>
        <v>Tuesday</v>
      </c>
    </row>
    <row r="1143" spans="1:21" x14ac:dyDescent="0.3">
      <c r="A1143" s="5" t="s">
        <v>2973</v>
      </c>
      <c r="B1143" s="3" t="s">
        <v>3679</v>
      </c>
      <c r="C1143" s="5" t="s">
        <v>1157</v>
      </c>
      <c r="D1143" s="5" t="s">
        <v>21</v>
      </c>
      <c r="E1143" s="5" t="s">
        <v>36</v>
      </c>
      <c r="F1143" s="5" t="s">
        <v>23</v>
      </c>
      <c r="G1143" t="s">
        <v>2974</v>
      </c>
      <c r="H1143" s="5" t="s">
        <v>3673</v>
      </c>
      <c r="I1143" s="5" t="s">
        <v>749</v>
      </c>
      <c r="J1143" s="5" t="s">
        <v>750</v>
      </c>
      <c r="K1143" s="5" t="s">
        <v>73</v>
      </c>
      <c r="L1143">
        <v>1</v>
      </c>
      <c r="M1143">
        <v>56.04</v>
      </c>
      <c r="N1143" s="8">
        <v>0</v>
      </c>
      <c r="O1143" s="8">
        <v>56.04</v>
      </c>
      <c r="P1143" s="8">
        <v>2.8</v>
      </c>
      <c r="Q1143" s="10">
        <v>30</v>
      </c>
      <c r="R1143" s="10">
        <v>15</v>
      </c>
      <c r="S1143" s="8">
        <v>103.84</v>
      </c>
      <c r="T1143">
        <v>24.67</v>
      </c>
      <c r="U1143" t="str">
        <f t="shared" si="17"/>
        <v>Friday</v>
      </c>
    </row>
    <row r="1144" spans="1:21" x14ac:dyDescent="0.3">
      <c r="A1144" s="5" t="s">
        <v>2975</v>
      </c>
      <c r="B1144" s="3" t="s">
        <v>3707</v>
      </c>
      <c r="C1144" s="5" t="s">
        <v>1160</v>
      </c>
      <c r="D1144" s="5" t="s">
        <v>21</v>
      </c>
      <c r="E1144" s="5" t="s">
        <v>112</v>
      </c>
      <c r="F1144" s="5" t="s">
        <v>23</v>
      </c>
      <c r="G1144" t="s">
        <v>2976</v>
      </c>
      <c r="H1144" s="5" t="s">
        <v>3674</v>
      </c>
      <c r="I1144" s="5" t="s">
        <v>754</v>
      </c>
      <c r="J1144" s="5" t="s">
        <v>755</v>
      </c>
      <c r="K1144" s="5" t="s">
        <v>45</v>
      </c>
      <c r="L1144">
        <v>4</v>
      </c>
      <c r="M1144">
        <v>102.06</v>
      </c>
      <c r="N1144" s="8">
        <v>10.210000000000001</v>
      </c>
      <c r="O1144" s="8">
        <v>398.03</v>
      </c>
      <c r="P1144" s="8">
        <v>19.899999999999999</v>
      </c>
      <c r="Q1144" s="10">
        <v>20</v>
      </c>
      <c r="R1144" s="10">
        <v>15</v>
      </c>
      <c r="S1144" s="8">
        <v>452.93</v>
      </c>
      <c r="T1144">
        <v>19</v>
      </c>
      <c r="U1144" t="str">
        <f t="shared" si="17"/>
        <v>Wednesday</v>
      </c>
    </row>
    <row r="1145" spans="1:21" x14ac:dyDescent="0.3">
      <c r="A1145" s="5" t="s">
        <v>2977</v>
      </c>
      <c r="B1145" s="3" t="s">
        <v>3708</v>
      </c>
      <c r="C1145" s="5" t="s">
        <v>1163</v>
      </c>
      <c r="D1145" s="5" t="s">
        <v>21</v>
      </c>
      <c r="E1145" s="5" t="s">
        <v>112</v>
      </c>
      <c r="F1145" s="5" t="s">
        <v>42</v>
      </c>
      <c r="G1145" t="s">
        <v>2978</v>
      </c>
      <c r="H1145" s="5" t="s">
        <v>3677</v>
      </c>
      <c r="I1145" s="5" t="s">
        <v>759</v>
      </c>
      <c r="J1145" s="5" t="s">
        <v>760</v>
      </c>
      <c r="K1145" s="5" t="s">
        <v>145</v>
      </c>
      <c r="L1145">
        <v>2</v>
      </c>
      <c r="M1145">
        <v>122.39</v>
      </c>
      <c r="N1145" s="8">
        <v>12.24</v>
      </c>
      <c r="O1145" s="8">
        <v>232.54</v>
      </c>
      <c r="P1145" s="8">
        <v>11.63</v>
      </c>
      <c r="Q1145" s="10">
        <v>10</v>
      </c>
      <c r="R1145" s="10">
        <v>15</v>
      </c>
      <c r="S1145" s="8">
        <v>269.17</v>
      </c>
      <c r="T1145">
        <v>24.67</v>
      </c>
      <c r="U1145" t="str">
        <f t="shared" si="17"/>
        <v>Sunday</v>
      </c>
    </row>
    <row r="1146" spans="1:21" x14ac:dyDescent="0.3">
      <c r="A1146" s="5" t="s">
        <v>2979</v>
      </c>
      <c r="B1146" s="3" t="s">
        <v>3736</v>
      </c>
      <c r="C1146" s="5" t="s">
        <v>1165</v>
      </c>
      <c r="D1146" s="5" t="s">
        <v>21</v>
      </c>
      <c r="E1146" s="5" t="s">
        <v>69</v>
      </c>
      <c r="F1146" s="5" t="s">
        <v>37</v>
      </c>
      <c r="G1146" t="s">
        <v>2980</v>
      </c>
      <c r="H1146" s="5" t="s">
        <v>3676</v>
      </c>
      <c r="I1146" s="5" t="s">
        <v>764</v>
      </c>
      <c r="J1146" s="5" t="s">
        <v>765</v>
      </c>
      <c r="K1146" s="5" t="s">
        <v>196</v>
      </c>
      <c r="L1146">
        <v>1</v>
      </c>
      <c r="M1146">
        <v>15.92</v>
      </c>
      <c r="N1146" s="8">
        <v>2.39</v>
      </c>
      <c r="O1146" s="8">
        <v>13.53</v>
      </c>
      <c r="P1146" s="8">
        <v>0.68</v>
      </c>
      <c r="Q1146" s="10">
        <v>0</v>
      </c>
      <c r="R1146" s="10">
        <v>10</v>
      </c>
      <c r="S1146" s="8">
        <v>24.21</v>
      </c>
      <c r="T1146">
        <v>24.67</v>
      </c>
      <c r="U1146" t="str">
        <f t="shared" si="17"/>
        <v>Tuesday</v>
      </c>
    </row>
    <row r="1147" spans="1:21" x14ac:dyDescent="0.3">
      <c r="A1147" s="5" t="s">
        <v>2981</v>
      </c>
      <c r="B1147" s="3" t="s">
        <v>3692</v>
      </c>
      <c r="C1147" s="5" t="s">
        <v>1168</v>
      </c>
      <c r="D1147" s="5" t="s">
        <v>21</v>
      </c>
      <c r="E1147" s="5" t="s">
        <v>76</v>
      </c>
      <c r="F1147" s="5" t="s">
        <v>37</v>
      </c>
      <c r="G1147" t="s">
        <v>2982</v>
      </c>
      <c r="H1147" s="5" t="s">
        <v>3674</v>
      </c>
      <c r="I1147" s="5" t="s">
        <v>769</v>
      </c>
      <c r="J1147" s="5" t="s">
        <v>770</v>
      </c>
      <c r="K1147" s="5" t="s">
        <v>28</v>
      </c>
      <c r="L1147">
        <v>3</v>
      </c>
      <c r="M1147">
        <v>70.59</v>
      </c>
      <c r="N1147" s="8">
        <v>0</v>
      </c>
      <c r="O1147" s="8">
        <v>211.77</v>
      </c>
      <c r="P1147" s="8">
        <v>10.59</v>
      </c>
      <c r="Q1147" s="10">
        <v>20</v>
      </c>
      <c r="R1147" s="10">
        <v>10</v>
      </c>
      <c r="S1147" s="8">
        <v>252.36</v>
      </c>
      <c r="T1147">
        <v>25</v>
      </c>
      <c r="U1147" t="str">
        <f t="shared" si="17"/>
        <v>Wednesday</v>
      </c>
    </row>
    <row r="1148" spans="1:21" x14ac:dyDescent="0.3">
      <c r="A1148" s="5" t="s">
        <v>2983</v>
      </c>
      <c r="B1148" s="3" t="s">
        <v>3717</v>
      </c>
      <c r="C1148" s="5" t="s">
        <v>1171</v>
      </c>
      <c r="D1148" s="5" t="s">
        <v>21</v>
      </c>
      <c r="E1148" s="5" t="s">
        <v>112</v>
      </c>
      <c r="F1148" s="5" t="s">
        <v>23</v>
      </c>
      <c r="G1148" t="s">
        <v>2984</v>
      </c>
      <c r="H1148" s="5" t="s">
        <v>25</v>
      </c>
      <c r="I1148" s="5" t="s">
        <v>774</v>
      </c>
      <c r="J1148" s="5" t="s">
        <v>775</v>
      </c>
      <c r="K1148" s="5" t="s">
        <v>145</v>
      </c>
      <c r="L1148">
        <v>1</v>
      </c>
      <c r="M1148">
        <v>126.76</v>
      </c>
      <c r="N1148" s="8">
        <v>19.010000000000002</v>
      </c>
      <c r="O1148" s="8">
        <v>107.75</v>
      </c>
      <c r="P1148" s="8">
        <v>5.39</v>
      </c>
      <c r="Q1148" s="10">
        <v>30</v>
      </c>
      <c r="R1148" s="10">
        <v>0</v>
      </c>
      <c r="S1148" s="8">
        <v>143.13999999999999</v>
      </c>
      <c r="T1148">
        <v>33</v>
      </c>
      <c r="U1148" t="str">
        <f t="shared" si="17"/>
        <v>Tuesday</v>
      </c>
    </row>
    <row r="1149" spans="1:21" x14ac:dyDescent="0.3">
      <c r="A1149" s="5" t="s">
        <v>2985</v>
      </c>
      <c r="B1149" s="3" t="s">
        <v>3719</v>
      </c>
      <c r="C1149" s="5" t="s">
        <v>1174</v>
      </c>
      <c r="D1149" s="5" t="s">
        <v>21</v>
      </c>
      <c r="E1149" s="5" t="s">
        <v>112</v>
      </c>
      <c r="F1149" s="5" t="s">
        <v>37</v>
      </c>
      <c r="G1149" t="s">
        <v>2986</v>
      </c>
      <c r="H1149" s="5" t="s">
        <v>3673</v>
      </c>
      <c r="I1149" s="5" t="s">
        <v>779</v>
      </c>
      <c r="J1149" s="5" t="s">
        <v>780</v>
      </c>
      <c r="K1149" s="5" t="s">
        <v>56</v>
      </c>
      <c r="L1149">
        <v>1</v>
      </c>
      <c r="M1149">
        <v>9.8699999999999992</v>
      </c>
      <c r="N1149" s="8">
        <v>0.99</v>
      </c>
      <c r="O1149" s="8">
        <v>8.879999999999999</v>
      </c>
      <c r="P1149" s="8">
        <v>0.44</v>
      </c>
      <c r="Q1149" s="10">
        <v>20</v>
      </c>
      <c r="R1149" s="10">
        <v>5</v>
      </c>
      <c r="S1149" s="8">
        <v>34.32</v>
      </c>
      <c r="T1149">
        <v>25</v>
      </c>
      <c r="U1149" t="str">
        <f t="shared" si="17"/>
        <v>Sunday</v>
      </c>
    </row>
    <row r="1150" spans="1:21" x14ac:dyDescent="0.3">
      <c r="A1150" s="5" t="s">
        <v>2987</v>
      </c>
      <c r="B1150" s="3" t="s">
        <v>3705</v>
      </c>
      <c r="C1150" s="5" t="s">
        <v>1177</v>
      </c>
      <c r="D1150" s="5" t="s">
        <v>21</v>
      </c>
      <c r="E1150" s="5" t="s">
        <v>69</v>
      </c>
      <c r="F1150" s="5" t="s">
        <v>23</v>
      </c>
      <c r="G1150" t="s">
        <v>2988</v>
      </c>
      <c r="H1150" s="5" t="s">
        <v>3677</v>
      </c>
      <c r="I1150" s="5" t="s">
        <v>784</v>
      </c>
      <c r="J1150" s="5" t="s">
        <v>785</v>
      </c>
      <c r="K1150" s="5" t="s">
        <v>40</v>
      </c>
      <c r="L1150">
        <v>1</v>
      </c>
      <c r="M1150">
        <v>39.82</v>
      </c>
      <c r="N1150" s="8">
        <v>5.97</v>
      </c>
      <c r="O1150" s="8">
        <v>33.85</v>
      </c>
      <c r="P1150" s="8">
        <v>1.69</v>
      </c>
      <c r="Q1150" s="10">
        <v>10</v>
      </c>
      <c r="R1150" s="10">
        <v>5</v>
      </c>
      <c r="S1150" s="8">
        <v>50.54</v>
      </c>
      <c r="T1150">
        <v>25</v>
      </c>
      <c r="U1150" t="str">
        <f t="shared" si="17"/>
        <v>Tuesday</v>
      </c>
    </row>
    <row r="1151" spans="1:21" x14ac:dyDescent="0.3">
      <c r="A1151" s="5" t="s">
        <v>2989</v>
      </c>
      <c r="B1151" s="3" t="s">
        <v>3685</v>
      </c>
      <c r="C1151" s="5" t="s">
        <v>1180</v>
      </c>
      <c r="D1151" s="5" t="s">
        <v>21</v>
      </c>
      <c r="E1151" s="5" t="s">
        <v>22</v>
      </c>
      <c r="F1151" s="5" t="s">
        <v>42</v>
      </c>
      <c r="G1151" t="s">
        <v>2990</v>
      </c>
      <c r="H1151" s="5" t="s">
        <v>25</v>
      </c>
      <c r="I1151" s="5" t="s">
        <v>789</v>
      </c>
      <c r="J1151" s="5" t="s">
        <v>790</v>
      </c>
      <c r="K1151" s="5" t="s">
        <v>28</v>
      </c>
      <c r="L1151">
        <v>3</v>
      </c>
      <c r="M1151">
        <v>67.87</v>
      </c>
      <c r="N1151" s="8">
        <v>3.39</v>
      </c>
      <c r="O1151" s="8">
        <v>200.22</v>
      </c>
      <c r="P1151" s="8">
        <v>10.01</v>
      </c>
      <c r="Q1151" s="10">
        <v>20</v>
      </c>
      <c r="R1151" s="10">
        <v>10</v>
      </c>
      <c r="S1151" s="8">
        <v>240.23</v>
      </c>
      <c r="T1151">
        <v>19</v>
      </c>
      <c r="U1151" t="str">
        <f t="shared" si="17"/>
        <v>Thursday</v>
      </c>
    </row>
    <row r="1152" spans="1:21" x14ac:dyDescent="0.3">
      <c r="A1152" s="5" t="s">
        <v>2991</v>
      </c>
      <c r="B1152" s="3" t="s">
        <v>3717</v>
      </c>
      <c r="C1152" s="5" t="s">
        <v>1183</v>
      </c>
      <c r="D1152" s="5" t="s">
        <v>21</v>
      </c>
      <c r="E1152" s="5" t="s">
        <v>76</v>
      </c>
      <c r="F1152" s="5" t="s">
        <v>37</v>
      </c>
      <c r="G1152" t="s">
        <v>2992</v>
      </c>
      <c r="H1152" s="5" t="s">
        <v>3673</v>
      </c>
      <c r="I1152" s="5" t="s">
        <v>794</v>
      </c>
      <c r="J1152" s="5" t="s">
        <v>795</v>
      </c>
      <c r="K1152" s="5" t="s">
        <v>22</v>
      </c>
      <c r="L1152">
        <v>1</v>
      </c>
      <c r="M1152">
        <v>104.24</v>
      </c>
      <c r="N1152" s="8">
        <v>0</v>
      </c>
      <c r="O1152" s="8">
        <v>104.24</v>
      </c>
      <c r="P1152" s="8">
        <v>5.21</v>
      </c>
      <c r="Q1152" s="10">
        <v>20</v>
      </c>
      <c r="R1152" s="10">
        <v>15</v>
      </c>
      <c r="S1152" s="8">
        <v>144.44999999999999</v>
      </c>
      <c r="T1152">
        <v>15</v>
      </c>
      <c r="U1152" t="str">
        <f t="shared" si="17"/>
        <v>Tuesday</v>
      </c>
    </row>
    <row r="1153" spans="1:21" x14ac:dyDescent="0.3">
      <c r="A1153" s="5" t="s">
        <v>2993</v>
      </c>
      <c r="B1153" s="3" t="s">
        <v>3687</v>
      </c>
      <c r="C1153" s="5" t="s">
        <v>1186</v>
      </c>
      <c r="D1153" s="5" t="s">
        <v>21</v>
      </c>
      <c r="E1153" s="5" t="s">
        <v>76</v>
      </c>
      <c r="F1153" s="5" t="s">
        <v>37</v>
      </c>
      <c r="G1153" t="s">
        <v>2994</v>
      </c>
      <c r="H1153" s="5" t="s">
        <v>3674</v>
      </c>
      <c r="I1153" s="5" t="s">
        <v>799</v>
      </c>
      <c r="J1153" s="5" t="s">
        <v>800</v>
      </c>
      <c r="K1153" s="5" t="s">
        <v>40</v>
      </c>
      <c r="L1153">
        <v>3</v>
      </c>
      <c r="M1153">
        <v>155.19</v>
      </c>
      <c r="N1153" s="8">
        <v>23.28</v>
      </c>
      <c r="O1153" s="8">
        <v>442.29</v>
      </c>
      <c r="P1153" s="8">
        <v>22.11</v>
      </c>
      <c r="Q1153" s="10">
        <v>10</v>
      </c>
      <c r="R1153" s="10">
        <v>15</v>
      </c>
      <c r="S1153" s="8">
        <v>489.4</v>
      </c>
      <c r="T1153">
        <v>21</v>
      </c>
      <c r="U1153" t="str">
        <f t="shared" si="17"/>
        <v>Friday</v>
      </c>
    </row>
    <row r="1154" spans="1:21" x14ac:dyDescent="0.3">
      <c r="A1154" s="5" t="s">
        <v>2995</v>
      </c>
      <c r="B1154" s="3" t="s">
        <v>3693</v>
      </c>
      <c r="C1154" s="5" t="s">
        <v>1189</v>
      </c>
      <c r="D1154" s="5" t="s">
        <v>21</v>
      </c>
      <c r="E1154" s="5" t="s">
        <v>22</v>
      </c>
      <c r="F1154" s="5" t="s">
        <v>23</v>
      </c>
      <c r="G1154" t="s">
        <v>2996</v>
      </c>
      <c r="H1154" s="5" t="s">
        <v>100</v>
      </c>
      <c r="I1154" s="5" t="s">
        <v>804</v>
      </c>
      <c r="J1154" s="5" t="s">
        <v>805</v>
      </c>
      <c r="K1154" s="5" t="s">
        <v>40</v>
      </c>
      <c r="L1154">
        <v>2</v>
      </c>
      <c r="M1154">
        <v>120.19</v>
      </c>
      <c r="N1154" s="8">
        <v>6.01</v>
      </c>
      <c r="O1154" s="8">
        <v>234.37</v>
      </c>
      <c r="P1154" s="8">
        <v>11.72</v>
      </c>
      <c r="Q1154" s="10">
        <v>20</v>
      </c>
      <c r="R1154" s="10">
        <v>5</v>
      </c>
      <c r="S1154" s="8">
        <v>271.08999999999997</v>
      </c>
      <c r="T1154">
        <v>37</v>
      </c>
      <c r="U1154" t="str">
        <f t="shared" si="17"/>
        <v>Thursday</v>
      </c>
    </row>
    <row r="1155" spans="1:21" x14ac:dyDescent="0.3">
      <c r="A1155" s="5" t="s">
        <v>2997</v>
      </c>
      <c r="B1155" s="3" t="s">
        <v>3730</v>
      </c>
      <c r="C1155" s="5" t="s">
        <v>1192</v>
      </c>
      <c r="D1155" s="5" t="s">
        <v>21</v>
      </c>
      <c r="E1155" s="5" t="s">
        <v>112</v>
      </c>
      <c r="F1155" s="5" t="s">
        <v>23</v>
      </c>
      <c r="G1155" t="s">
        <v>2998</v>
      </c>
      <c r="H1155" s="5" t="s">
        <v>3675</v>
      </c>
      <c r="I1155" s="5" t="s">
        <v>809</v>
      </c>
      <c r="J1155" s="5" t="s">
        <v>810</v>
      </c>
      <c r="K1155" s="5" t="s">
        <v>45</v>
      </c>
      <c r="L1155">
        <v>2</v>
      </c>
      <c r="M1155">
        <v>84.35</v>
      </c>
      <c r="N1155" s="8">
        <v>8.44</v>
      </c>
      <c r="O1155" s="8">
        <v>160.26</v>
      </c>
      <c r="P1155" s="8">
        <v>8.01</v>
      </c>
      <c r="Q1155" s="10">
        <v>30</v>
      </c>
      <c r="R1155" s="10">
        <v>0</v>
      </c>
      <c r="S1155" s="8">
        <v>198.27</v>
      </c>
      <c r="T1155">
        <v>26</v>
      </c>
      <c r="U1155" t="str">
        <f t="shared" ref="U1155:U1218" si="18">TEXT(B1155,"dddd")</f>
        <v>Friday</v>
      </c>
    </row>
    <row r="1156" spans="1:21" x14ac:dyDescent="0.3">
      <c r="A1156" s="5" t="s">
        <v>2999</v>
      </c>
      <c r="B1156" s="3" t="s">
        <v>3719</v>
      </c>
      <c r="C1156" s="5" t="s">
        <v>1195</v>
      </c>
      <c r="D1156" s="5" t="s">
        <v>21</v>
      </c>
      <c r="E1156" s="5" t="s">
        <v>69</v>
      </c>
      <c r="F1156" s="5" t="s">
        <v>23</v>
      </c>
      <c r="G1156" t="s">
        <v>3000</v>
      </c>
      <c r="H1156" s="5" t="s">
        <v>3676</v>
      </c>
      <c r="I1156" s="5" t="s">
        <v>814</v>
      </c>
      <c r="J1156" s="5" t="s">
        <v>815</v>
      </c>
      <c r="K1156" s="5" t="s">
        <v>145</v>
      </c>
      <c r="L1156">
        <v>3</v>
      </c>
      <c r="M1156">
        <v>124.97</v>
      </c>
      <c r="N1156" s="8">
        <v>0</v>
      </c>
      <c r="O1156" s="8">
        <v>374.91</v>
      </c>
      <c r="P1156" s="8">
        <v>18.75</v>
      </c>
      <c r="Q1156" s="10">
        <v>20</v>
      </c>
      <c r="R1156" s="10">
        <v>0</v>
      </c>
      <c r="S1156" s="8">
        <v>413.66</v>
      </c>
      <c r="T1156">
        <v>17</v>
      </c>
      <c r="U1156" t="str">
        <f t="shared" si="18"/>
        <v>Sunday</v>
      </c>
    </row>
    <row r="1157" spans="1:21" x14ac:dyDescent="0.3">
      <c r="A1157" s="5" t="s">
        <v>3001</v>
      </c>
      <c r="B1157" s="3" t="s">
        <v>3717</v>
      </c>
      <c r="C1157" s="5" t="s">
        <v>1198</v>
      </c>
      <c r="D1157" s="5" t="s">
        <v>21</v>
      </c>
      <c r="E1157" s="5" t="s">
        <v>22</v>
      </c>
      <c r="F1157" s="5" t="s">
        <v>37</v>
      </c>
      <c r="G1157" t="s">
        <v>3002</v>
      </c>
      <c r="H1157" s="5" t="s">
        <v>3675</v>
      </c>
      <c r="I1157" s="5" t="s">
        <v>819</v>
      </c>
      <c r="J1157" s="5" t="s">
        <v>820</v>
      </c>
      <c r="K1157" s="5" t="s">
        <v>103</v>
      </c>
      <c r="L1157">
        <v>1</v>
      </c>
      <c r="M1157">
        <v>167.22</v>
      </c>
      <c r="N1157" s="8">
        <v>25.08</v>
      </c>
      <c r="O1157" s="8">
        <v>142.13999999999999</v>
      </c>
      <c r="P1157" s="8">
        <v>7.11</v>
      </c>
      <c r="Q1157" s="10">
        <v>30</v>
      </c>
      <c r="R1157" s="10">
        <v>10</v>
      </c>
      <c r="S1157" s="8">
        <v>189.25</v>
      </c>
      <c r="T1157">
        <v>35</v>
      </c>
      <c r="U1157" t="str">
        <f t="shared" si="18"/>
        <v>Tuesday</v>
      </c>
    </row>
    <row r="1158" spans="1:21" x14ac:dyDescent="0.3">
      <c r="A1158" s="5" t="s">
        <v>3003</v>
      </c>
      <c r="B1158" s="3" t="s">
        <v>3703</v>
      </c>
      <c r="C1158" s="5" t="s">
        <v>1201</v>
      </c>
      <c r="D1158" s="5" t="s">
        <v>21</v>
      </c>
      <c r="E1158" s="5" t="s">
        <v>69</v>
      </c>
      <c r="F1158" s="5" t="s">
        <v>37</v>
      </c>
      <c r="G1158" t="s">
        <v>3004</v>
      </c>
      <c r="H1158" s="5" t="s">
        <v>3674</v>
      </c>
      <c r="I1158" s="5" t="s">
        <v>824</v>
      </c>
      <c r="J1158" s="5" t="s">
        <v>825</v>
      </c>
      <c r="K1158" s="5" t="s">
        <v>196</v>
      </c>
      <c r="L1158">
        <v>3</v>
      </c>
      <c r="M1158">
        <v>134.41</v>
      </c>
      <c r="N1158" s="8">
        <v>0</v>
      </c>
      <c r="O1158" s="8">
        <v>403.23</v>
      </c>
      <c r="P1158" s="8">
        <v>20.16</v>
      </c>
      <c r="Q1158" s="10">
        <v>20</v>
      </c>
      <c r="R1158" s="10">
        <v>15</v>
      </c>
      <c r="S1158" s="8">
        <v>458.39</v>
      </c>
      <c r="T1158">
        <v>37</v>
      </c>
      <c r="U1158" t="str">
        <f t="shared" si="18"/>
        <v>Friday</v>
      </c>
    </row>
    <row r="1159" spans="1:21" x14ac:dyDescent="0.3">
      <c r="A1159" s="5" t="s">
        <v>3005</v>
      </c>
      <c r="B1159" s="3" t="s">
        <v>3736</v>
      </c>
      <c r="C1159" s="5" t="s">
        <v>1204</v>
      </c>
      <c r="D1159" s="5" t="s">
        <v>82</v>
      </c>
      <c r="E1159" s="5" t="s">
        <v>83</v>
      </c>
      <c r="F1159" s="5" t="s">
        <v>42</v>
      </c>
      <c r="G1159" t="s">
        <v>3006</v>
      </c>
      <c r="H1159" s="5" t="s">
        <v>3673</v>
      </c>
      <c r="I1159" s="5" t="s">
        <v>828</v>
      </c>
      <c r="J1159" s="5" t="s">
        <v>829</v>
      </c>
      <c r="K1159" s="5" t="s">
        <v>56</v>
      </c>
      <c r="L1159">
        <v>1</v>
      </c>
      <c r="M1159">
        <v>160.19</v>
      </c>
      <c r="N1159" s="8">
        <v>24.03</v>
      </c>
      <c r="O1159" s="8">
        <v>136.16</v>
      </c>
      <c r="P1159" s="8">
        <v>6.81</v>
      </c>
      <c r="Q1159" s="10">
        <v>30</v>
      </c>
      <c r="R1159" s="10">
        <v>15</v>
      </c>
      <c r="S1159" s="8">
        <v>187.97</v>
      </c>
      <c r="T1159">
        <v>24.67</v>
      </c>
      <c r="U1159" t="str">
        <f t="shared" si="18"/>
        <v>Tuesday</v>
      </c>
    </row>
    <row r="1160" spans="1:21" x14ac:dyDescent="0.3">
      <c r="A1160" s="5" t="s">
        <v>3007</v>
      </c>
      <c r="B1160" s="3" t="s">
        <v>3709</v>
      </c>
      <c r="C1160" s="5" t="s">
        <v>1207</v>
      </c>
      <c r="D1160" s="5" t="s">
        <v>21</v>
      </c>
      <c r="E1160" s="5" t="s">
        <v>76</v>
      </c>
      <c r="F1160" s="5" t="s">
        <v>37</v>
      </c>
      <c r="G1160" t="s">
        <v>3008</v>
      </c>
      <c r="H1160" s="5" t="s">
        <v>3673</v>
      </c>
      <c r="I1160" s="5" t="s">
        <v>832</v>
      </c>
      <c r="J1160" s="5" t="s">
        <v>833</v>
      </c>
      <c r="K1160" s="5" t="s">
        <v>45</v>
      </c>
      <c r="L1160">
        <v>2</v>
      </c>
      <c r="M1160">
        <v>183.61</v>
      </c>
      <c r="N1160" s="8">
        <v>9.18</v>
      </c>
      <c r="O1160" s="8">
        <v>358.04</v>
      </c>
      <c r="P1160" s="8">
        <v>17.899999999999999</v>
      </c>
      <c r="Q1160" s="10">
        <v>30</v>
      </c>
      <c r="R1160" s="10">
        <v>15</v>
      </c>
      <c r="S1160" s="8">
        <v>420.94</v>
      </c>
      <c r="T1160">
        <v>24.67</v>
      </c>
      <c r="U1160" t="str">
        <f t="shared" si="18"/>
        <v>Thursday</v>
      </c>
    </row>
    <row r="1161" spans="1:21" x14ac:dyDescent="0.3">
      <c r="A1161" s="5" t="s">
        <v>3009</v>
      </c>
      <c r="B1161" s="3" t="s">
        <v>3713</v>
      </c>
      <c r="C1161" s="5" t="s">
        <v>1210</v>
      </c>
      <c r="D1161" s="5" t="s">
        <v>21</v>
      </c>
      <c r="E1161" s="5" t="s">
        <v>76</v>
      </c>
      <c r="F1161" s="5" t="s">
        <v>42</v>
      </c>
      <c r="G1161" t="s">
        <v>3010</v>
      </c>
      <c r="H1161" s="5" t="s">
        <v>100</v>
      </c>
      <c r="I1161" s="5" t="s">
        <v>837</v>
      </c>
      <c r="J1161" s="5" t="s">
        <v>838</v>
      </c>
      <c r="K1161" s="5" t="s">
        <v>45</v>
      </c>
      <c r="L1161">
        <v>1</v>
      </c>
      <c r="M1161">
        <v>110.9</v>
      </c>
      <c r="N1161" s="8">
        <v>5.55</v>
      </c>
      <c r="O1161" s="8">
        <v>105.35</v>
      </c>
      <c r="P1161" s="8">
        <v>5.27</v>
      </c>
      <c r="Q1161" s="10">
        <v>10</v>
      </c>
      <c r="R1161" s="10">
        <v>0</v>
      </c>
      <c r="S1161" s="8">
        <v>120.62</v>
      </c>
      <c r="T1161">
        <v>35</v>
      </c>
      <c r="U1161" t="str">
        <f t="shared" si="18"/>
        <v>Tuesday</v>
      </c>
    </row>
    <row r="1162" spans="1:21" x14ac:dyDescent="0.3">
      <c r="A1162" s="5" t="s">
        <v>3011</v>
      </c>
      <c r="B1162" s="3" t="s">
        <v>3691</v>
      </c>
      <c r="C1162" s="5" t="s">
        <v>1213</v>
      </c>
      <c r="D1162" s="5" t="s">
        <v>21</v>
      </c>
      <c r="E1162" s="5" t="s">
        <v>22</v>
      </c>
      <c r="F1162" s="5" t="s">
        <v>37</v>
      </c>
      <c r="G1162" t="s">
        <v>3012</v>
      </c>
      <c r="H1162" s="5" t="s">
        <v>3673</v>
      </c>
      <c r="I1162" s="5" t="s">
        <v>842</v>
      </c>
      <c r="J1162" s="5" t="s">
        <v>843</v>
      </c>
      <c r="K1162" s="5" t="s">
        <v>103</v>
      </c>
      <c r="L1162">
        <v>1</v>
      </c>
      <c r="M1162">
        <v>63.63</v>
      </c>
      <c r="N1162" s="8">
        <v>6.36</v>
      </c>
      <c r="O1162" s="8">
        <v>57.27</v>
      </c>
      <c r="P1162" s="8">
        <v>2.86</v>
      </c>
      <c r="Q1162" s="10">
        <v>20</v>
      </c>
      <c r="R1162" s="10">
        <v>20</v>
      </c>
      <c r="S1162" s="8">
        <v>100.13</v>
      </c>
      <c r="T1162">
        <v>36</v>
      </c>
      <c r="U1162" t="str">
        <f t="shared" si="18"/>
        <v>Friday</v>
      </c>
    </row>
    <row r="1163" spans="1:21" x14ac:dyDescent="0.3">
      <c r="A1163" s="5" t="s">
        <v>3013</v>
      </c>
      <c r="B1163" s="3" t="s">
        <v>3708</v>
      </c>
      <c r="C1163" s="5" t="s">
        <v>1216</v>
      </c>
      <c r="D1163" s="5" t="s">
        <v>21</v>
      </c>
      <c r="E1163" s="5" t="s">
        <v>36</v>
      </c>
      <c r="F1163" s="5" t="s">
        <v>23</v>
      </c>
      <c r="G1163" t="s">
        <v>3014</v>
      </c>
      <c r="H1163" s="5" t="s">
        <v>3674</v>
      </c>
      <c r="I1163" s="5" t="s">
        <v>847</v>
      </c>
      <c r="J1163" s="5" t="s">
        <v>848</v>
      </c>
      <c r="K1163" s="5" t="s">
        <v>145</v>
      </c>
      <c r="L1163">
        <v>1</v>
      </c>
      <c r="M1163">
        <v>49.77</v>
      </c>
      <c r="N1163" s="8">
        <v>0</v>
      </c>
      <c r="O1163" s="8">
        <v>49.77</v>
      </c>
      <c r="P1163" s="8">
        <v>2.4900000000000002</v>
      </c>
      <c r="Q1163" s="10">
        <v>10</v>
      </c>
      <c r="R1163" s="10">
        <v>15</v>
      </c>
      <c r="S1163" s="8">
        <v>77.260000000000005</v>
      </c>
      <c r="T1163">
        <v>27</v>
      </c>
      <c r="U1163" t="str">
        <f t="shared" si="18"/>
        <v>Sunday</v>
      </c>
    </row>
    <row r="1164" spans="1:21" x14ac:dyDescent="0.3">
      <c r="A1164" s="5" t="s">
        <v>3015</v>
      </c>
      <c r="B1164" s="3" t="s">
        <v>3685</v>
      </c>
      <c r="C1164" s="5" t="s">
        <v>1219</v>
      </c>
      <c r="D1164" s="5" t="s">
        <v>21</v>
      </c>
      <c r="E1164" s="5" t="s">
        <v>112</v>
      </c>
      <c r="F1164" s="5" t="s">
        <v>37</v>
      </c>
      <c r="G1164" t="s">
        <v>3016</v>
      </c>
      <c r="H1164" s="5" t="s">
        <v>100</v>
      </c>
      <c r="I1164" s="5" t="s">
        <v>852</v>
      </c>
      <c r="J1164" s="5" t="s">
        <v>853</v>
      </c>
      <c r="K1164" s="5" t="s">
        <v>45</v>
      </c>
      <c r="L1164">
        <v>1</v>
      </c>
      <c r="M1164">
        <v>31.68</v>
      </c>
      <c r="N1164" s="8">
        <v>0</v>
      </c>
      <c r="O1164" s="8">
        <v>31.68</v>
      </c>
      <c r="P1164" s="8">
        <v>1.58</v>
      </c>
      <c r="Q1164" s="10">
        <v>0</v>
      </c>
      <c r="R1164" s="10">
        <v>15</v>
      </c>
      <c r="S1164" s="8">
        <v>48.26</v>
      </c>
      <c r="T1164">
        <v>24.67</v>
      </c>
      <c r="U1164" t="str">
        <f t="shared" si="18"/>
        <v>Thursday</v>
      </c>
    </row>
    <row r="1165" spans="1:21" x14ac:dyDescent="0.3">
      <c r="A1165" s="5" t="s">
        <v>3017</v>
      </c>
      <c r="B1165" s="3" t="s">
        <v>3737</v>
      </c>
      <c r="C1165" s="5" t="s">
        <v>1222</v>
      </c>
      <c r="D1165" s="5" t="s">
        <v>106</v>
      </c>
      <c r="E1165" s="5" t="s">
        <v>83</v>
      </c>
      <c r="F1165" s="5" t="s">
        <v>23</v>
      </c>
      <c r="G1165" t="s">
        <v>3018</v>
      </c>
      <c r="H1165" s="5" t="s">
        <v>100</v>
      </c>
      <c r="I1165" s="5" t="s">
        <v>857</v>
      </c>
      <c r="J1165" s="5" t="s">
        <v>858</v>
      </c>
      <c r="K1165" s="5" t="s">
        <v>73</v>
      </c>
      <c r="L1165">
        <v>1</v>
      </c>
      <c r="M1165">
        <v>89.36</v>
      </c>
      <c r="N1165" s="8">
        <v>4.47</v>
      </c>
      <c r="O1165" s="8">
        <v>84.89</v>
      </c>
      <c r="P1165" s="8">
        <v>4.24</v>
      </c>
      <c r="Q1165" s="10">
        <v>10</v>
      </c>
      <c r="R1165" s="10">
        <v>20</v>
      </c>
      <c r="S1165" s="8">
        <v>119.13</v>
      </c>
      <c r="T1165">
        <v>36</v>
      </c>
      <c r="U1165" t="str">
        <f t="shared" si="18"/>
        <v>Saturday</v>
      </c>
    </row>
    <row r="1166" spans="1:21" x14ac:dyDescent="0.3">
      <c r="A1166" s="5" t="s">
        <v>3019</v>
      </c>
      <c r="B1166" s="3" t="s">
        <v>3680</v>
      </c>
      <c r="C1166" s="5" t="s">
        <v>1225</v>
      </c>
      <c r="D1166" s="5" t="s">
        <v>21</v>
      </c>
      <c r="E1166" s="5" t="s">
        <v>112</v>
      </c>
      <c r="F1166" s="5" t="s">
        <v>37</v>
      </c>
      <c r="G1166" t="s">
        <v>3020</v>
      </c>
      <c r="H1166" s="5" t="s">
        <v>3677</v>
      </c>
      <c r="I1166" s="5" t="s">
        <v>862</v>
      </c>
      <c r="J1166" s="5" t="s">
        <v>863</v>
      </c>
      <c r="K1166" s="5" t="s">
        <v>73</v>
      </c>
      <c r="L1166">
        <v>1</v>
      </c>
      <c r="M1166">
        <v>173.22</v>
      </c>
      <c r="N1166" s="8">
        <v>0</v>
      </c>
      <c r="O1166" s="8">
        <v>173.22</v>
      </c>
      <c r="P1166" s="8">
        <v>8.66</v>
      </c>
      <c r="Q1166" s="10">
        <v>30</v>
      </c>
      <c r="R1166" s="10">
        <v>5</v>
      </c>
      <c r="S1166" s="8">
        <v>216.88</v>
      </c>
      <c r="T1166">
        <v>24.67</v>
      </c>
      <c r="U1166" t="str">
        <f t="shared" si="18"/>
        <v>Wednesday</v>
      </c>
    </row>
    <row r="1167" spans="1:21" x14ac:dyDescent="0.3">
      <c r="A1167" s="5" t="s">
        <v>3021</v>
      </c>
      <c r="B1167" s="3" t="s">
        <v>3708</v>
      </c>
      <c r="C1167" s="5" t="s">
        <v>1228</v>
      </c>
      <c r="D1167" s="5" t="s">
        <v>106</v>
      </c>
      <c r="E1167" s="5" t="s">
        <v>83</v>
      </c>
      <c r="F1167" s="5" t="s">
        <v>37</v>
      </c>
      <c r="G1167" t="s">
        <v>3022</v>
      </c>
      <c r="H1167" s="5" t="s">
        <v>100</v>
      </c>
      <c r="I1167" s="5" t="s">
        <v>867</v>
      </c>
      <c r="J1167" s="5" t="s">
        <v>868</v>
      </c>
      <c r="K1167" s="5" t="s">
        <v>73</v>
      </c>
      <c r="L1167">
        <v>3</v>
      </c>
      <c r="M1167">
        <v>136.86000000000001</v>
      </c>
      <c r="N1167" s="8">
        <v>0</v>
      </c>
      <c r="O1167" s="8">
        <v>410.58</v>
      </c>
      <c r="P1167" s="8">
        <v>20.53</v>
      </c>
      <c r="Q1167" s="10">
        <v>30</v>
      </c>
      <c r="R1167" s="10">
        <v>15</v>
      </c>
      <c r="S1167" s="8">
        <v>476.11</v>
      </c>
      <c r="T1167">
        <v>19</v>
      </c>
      <c r="U1167" t="str">
        <f t="shared" si="18"/>
        <v>Sunday</v>
      </c>
    </row>
    <row r="1168" spans="1:21" x14ac:dyDescent="0.3">
      <c r="A1168" s="5" t="s">
        <v>3023</v>
      </c>
      <c r="B1168" s="3" t="s">
        <v>3697</v>
      </c>
      <c r="C1168" s="5" t="s">
        <v>1231</v>
      </c>
      <c r="D1168" s="5" t="s">
        <v>21</v>
      </c>
      <c r="E1168" s="5" t="s">
        <v>69</v>
      </c>
      <c r="F1168" s="5" t="s">
        <v>23</v>
      </c>
      <c r="G1168" t="s">
        <v>3024</v>
      </c>
      <c r="H1168" s="5" t="s">
        <v>3676</v>
      </c>
      <c r="I1168" s="5" t="s">
        <v>872</v>
      </c>
      <c r="J1168" s="5" t="s">
        <v>873</v>
      </c>
      <c r="K1168" s="5" t="s">
        <v>45</v>
      </c>
      <c r="L1168">
        <v>2</v>
      </c>
      <c r="M1168">
        <v>131.56</v>
      </c>
      <c r="N1168" s="8">
        <v>6.58</v>
      </c>
      <c r="O1168" s="8">
        <v>256.54000000000002</v>
      </c>
      <c r="P1168" s="8">
        <v>12.83</v>
      </c>
      <c r="Q1168" s="10">
        <v>0</v>
      </c>
      <c r="R1168" s="10">
        <v>0</v>
      </c>
      <c r="S1168" s="8">
        <v>269.37</v>
      </c>
      <c r="T1168">
        <v>24.67</v>
      </c>
      <c r="U1168" t="str">
        <f t="shared" si="18"/>
        <v>Saturday</v>
      </c>
    </row>
    <row r="1169" spans="1:21" x14ac:dyDescent="0.3">
      <c r="A1169" s="5" t="s">
        <v>3025</v>
      </c>
      <c r="B1169" s="3" t="s">
        <v>3730</v>
      </c>
      <c r="C1169" s="5" t="s">
        <v>1234</v>
      </c>
      <c r="D1169" s="5" t="s">
        <v>82</v>
      </c>
      <c r="E1169" s="5" t="s">
        <v>83</v>
      </c>
      <c r="F1169" s="5" t="s">
        <v>42</v>
      </c>
      <c r="G1169" t="s">
        <v>3026</v>
      </c>
      <c r="H1169" s="5" t="s">
        <v>3677</v>
      </c>
      <c r="I1169" s="5" t="s">
        <v>877</v>
      </c>
      <c r="J1169" s="5" t="s">
        <v>878</v>
      </c>
      <c r="K1169" s="5" t="s">
        <v>45</v>
      </c>
      <c r="L1169">
        <v>7</v>
      </c>
      <c r="M1169">
        <v>79.87</v>
      </c>
      <c r="N1169" s="8">
        <v>7.99</v>
      </c>
      <c r="O1169" s="8">
        <v>551.1</v>
      </c>
      <c r="P1169" s="8">
        <v>27.56</v>
      </c>
      <c r="Q1169" s="10">
        <v>0</v>
      </c>
      <c r="R1169" s="10">
        <v>15</v>
      </c>
      <c r="S1169" s="8">
        <v>593.66</v>
      </c>
      <c r="T1169">
        <v>22</v>
      </c>
      <c r="U1169" t="str">
        <f t="shared" si="18"/>
        <v>Friday</v>
      </c>
    </row>
    <row r="1170" spans="1:21" x14ac:dyDescent="0.3">
      <c r="A1170" s="5" t="s">
        <v>3027</v>
      </c>
      <c r="B1170" s="3" t="s">
        <v>3715</v>
      </c>
      <c r="C1170" s="5" t="s">
        <v>1237</v>
      </c>
      <c r="D1170" s="5" t="s">
        <v>21</v>
      </c>
      <c r="E1170" s="5" t="s">
        <v>112</v>
      </c>
      <c r="F1170" s="5" t="s">
        <v>37</v>
      </c>
      <c r="G1170" t="s">
        <v>3028</v>
      </c>
      <c r="H1170" s="5" t="s">
        <v>3673</v>
      </c>
      <c r="I1170" s="5" t="s">
        <v>882</v>
      </c>
      <c r="J1170" s="5" t="s">
        <v>883</v>
      </c>
      <c r="K1170" s="5" t="s">
        <v>73</v>
      </c>
      <c r="L1170">
        <v>5</v>
      </c>
      <c r="M1170">
        <v>50.94</v>
      </c>
      <c r="N1170" s="8">
        <v>0</v>
      </c>
      <c r="O1170" s="8">
        <v>254.7</v>
      </c>
      <c r="P1170" s="8">
        <v>12.73</v>
      </c>
      <c r="Q1170" s="10">
        <v>0</v>
      </c>
      <c r="R1170" s="10">
        <v>0</v>
      </c>
      <c r="S1170" s="8">
        <v>267.43</v>
      </c>
      <c r="T1170">
        <v>24.67</v>
      </c>
      <c r="U1170" t="str">
        <f t="shared" si="18"/>
        <v>Saturday</v>
      </c>
    </row>
    <row r="1171" spans="1:21" x14ac:dyDescent="0.3">
      <c r="A1171" s="5" t="s">
        <v>3029</v>
      </c>
      <c r="B1171" s="3" t="s">
        <v>3683</v>
      </c>
      <c r="C1171" s="5" t="s">
        <v>1240</v>
      </c>
      <c r="D1171" s="5" t="s">
        <v>82</v>
      </c>
      <c r="E1171" s="5" t="s">
        <v>83</v>
      </c>
      <c r="F1171" s="5" t="s">
        <v>37</v>
      </c>
      <c r="G1171" t="s">
        <v>3030</v>
      </c>
      <c r="H1171" s="5" t="s">
        <v>3673</v>
      </c>
      <c r="I1171" s="5" t="s">
        <v>887</v>
      </c>
      <c r="J1171" s="5" t="s">
        <v>888</v>
      </c>
      <c r="K1171" s="5" t="s">
        <v>196</v>
      </c>
      <c r="L1171">
        <v>3</v>
      </c>
      <c r="M1171">
        <v>226.95</v>
      </c>
      <c r="N1171" s="8">
        <v>0</v>
      </c>
      <c r="O1171" s="8">
        <v>680.84999999999991</v>
      </c>
      <c r="P1171" s="8">
        <v>34.04</v>
      </c>
      <c r="Q1171" s="10">
        <v>30</v>
      </c>
      <c r="R1171" s="10">
        <v>5</v>
      </c>
      <c r="S1171" s="8">
        <v>749.88999999999987</v>
      </c>
      <c r="T1171">
        <v>24.67</v>
      </c>
      <c r="U1171" t="str">
        <f t="shared" si="18"/>
        <v>Thursday</v>
      </c>
    </row>
    <row r="1172" spans="1:21" x14ac:dyDescent="0.3">
      <c r="A1172" s="5" t="s">
        <v>3031</v>
      </c>
      <c r="B1172" s="3" t="s">
        <v>3696</v>
      </c>
      <c r="C1172" s="5" t="s">
        <v>1243</v>
      </c>
      <c r="D1172" s="5" t="s">
        <v>21</v>
      </c>
      <c r="E1172" s="5" t="s">
        <v>36</v>
      </c>
      <c r="F1172" s="5" t="s">
        <v>37</v>
      </c>
      <c r="G1172" t="s">
        <v>3032</v>
      </c>
      <c r="H1172" s="5" t="s">
        <v>3675</v>
      </c>
      <c r="I1172" s="5" t="s">
        <v>892</v>
      </c>
      <c r="J1172" s="5" t="s">
        <v>893</v>
      </c>
      <c r="K1172" s="5" t="s">
        <v>196</v>
      </c>
      <c r="L1172">
        <v>4</v>
      </c>
      <c r="M1172">
        <v>69.12</v>
      </c>
      <c r="N1172" s="8">
        <v>3.46</v>
      </c>
      <c r="O1172" s="8">
        <v>273.02</v>
      </c>
      <c r="P1172" s="8">
        <v>13.65</v>
      </c>
      <c r="Q1172" s="10">
        <v>20</v>
      </c>
      <c r="R1172" s="10">
        <v>0</v>
      </c>
      <c r="S1172" s="8">
        <v>306.67</v>
      </c>
      <c r="T1172">
        <v>39</v>
      </c>
      <c r="U1172" t="str">
        <f t="shared" si="18"/>
        <v>Friday</v>
      </c>
    </row>
    <row r="1173" spans="1:21" x14ac:dyDescent="0.3">
      <c r="A1173" s="5" t="s">
        <v>3033</v>
      </c>
      <c r="B1173" s="3" t="s">
        <v>3721</v>
      </c>
      <c r="C1173" s="5" t="s">
        <v>1246</v>
      </c>
      <c r="D1173" s="5" t="s">
        <v>106</v>
      </c>
      <c r="E1173" s="5" t="s">
        <v>83</v>
      </c>
      <c r="F1173" s="5" t="s">
        <v>23</v>
      </c>
      <c r="G1173" t="s">
        <v>3034</v>
      </c>
      <c r="H1173" s="5" t="s">
        <v>3674</v>
      </c>
      <c r="I1173" s="5" t="s">
        <v>897</v>
      </c>
      <c r="J1173" s="5" t="s">
        <v>898</v>
      </c>
      <c r="K1173" s="5" t="s">
        <v>40</v>
      </c>
      <c r="L1173">
        <v>2</v>
      </c>
      <c r="M1173">
        <v>61.13</v>
      </c>
      <c r="N1173" s="8">
        <v>0</v>
      </c>
      <c r="O1173" s="8">
        <v>122.26</v>
      </c>
      <c r="P1173" s="8">
        <v>6.11</v>
      </c>
      <c r="Q1173" s="10">
        <v>20</v>
      </c>
      <c r="R1173" s="10">
        <v>15</v>
      </c>
      <c r="S1173" s="8">
        <v>163.37</v>
      </c>
      <c r="T1173">
        <v>16</v>
      </c>
      <c r="U1173" t="str">
        <f t="shared" si="18"/>
        <v>Tuesday</v>
      </c>
    </row>
    <row r="1174" spans="1:21" x14ac:dyDescent="0.3">
      <c r="A1174" s="5" t="s">
        <v>3035</v>
      </c>
      <c r="B1174" s="3" t="s">
        <v>3709</v>
      </c>
      <c r="C1174" s="5" t="s">
        <v>1249</v>
      </c>
      <c r="D1174" s="5" t="s">
        <v>82</v>
      </c>
      <c r="E1174" s="5" t="s">
        <v>83</v>
      </c>
      <c r="F1174" s="5" t="s">
        <v>42</v>
      </c>
      <c r="G1174" t="s">
        <v>3036</v>
      </c>
      <c r="H1174" s="5" t="s">
        <v>3677</v>
      </c>
      <c r="I1174" s="5" t="s">
        <v>902</v>
      </c>
      <c r="J1174" s="5" t="s">
        <v>903</v>
      </c>
      <c r="K1174" s="5" t="s">
        <v>40</v>
      </c>
      <c r="L1174">
        <v>5</v>
      </c>
      <c r="M1174">
        <v>149.27000000000001</v>
      </c>
      <c r="N1174" s="8">
        <v>22.39</v>
      </c>
      <c r="O1174" s="8">
        <v>723.96</v>
      </c>
      <c r="P1174" s="8">
        <v>36.200000000000003</v>
      </c>
      <c r="Q1174" s="10">
        <v>0</v>
      </c>
      <c r="R1174" s="10">
        <v>10</v>
      </c>
      <c r="S1174" s="8">
        <v>770.16000000000008</v>
      </c>
      <c r="T1174">
        <v>24.67</v>
      </c>
      <c r="U1174" t="str">
        <f t="shared" si="18"/>
        <v>Thursday</v>
      </c>
    </row>
    <row r="1175" spans="1:21" x14ac:dyDescent="0.3">
      <c r="A1175" s="5" t="s">
        <v>3037</v>
      </c>
      <c r="B1175" s="3" t="s">
        <v>3707</v>
      </c>
      <c r="C1175" s="5" t="s">
        <v>1252</v>
      </c>
      <c r="D1175" s="5" t="s">
        <v>21</v>
      </c>
      <c r="E1175" s="5" t="s">
        <v>112</v>
      </c>
      <c r="F1175" s="5" t="s">
        <v>37</v>
      </c>
      <c r="G1175" t="s">
        <v>3038</v>
      </c>
      <c r="H1175" s="5" t="s">
        <v>3673</v>
      </c>
      <c r="I1175" s="5" t="s">
        <v>907</v>
      </c>
      <c r="J1175" s="5" t="s">
        <v>908</v>
      </c>
      <c r="K1175" s="5" t="s">
        <v>145</v>
      </c>
      <c r="L1175">
        <v>2</v>
      </c>
      <c r="M1175">
        <v>100.4</v>
      </c>
      <c r="N1175" s="8">
        <v>10.039999999999999</v>
      </c>
      <c r="O1175" s="8">
        <v>190.76</v>
      </c>
      <c r="P1175" s="8">
        <v>9.5399999999999991</v>
      </c>
      <c r="Q1175" s="10">
        <v>20</v>
      </c>
      <c r="R1175" s="10">
        <v>5</v>
      </c>
      <c r="S1175" s="8">
        <v>225.3</v>
      </c>
      <c r="T1175">
        <v>24.67</v>
      </c>
      <c r="U1175" t="str">
        <f t="shared" si="18"/>
        <v>Wednesday</v>
      </c>
    </row>
    <row r="1176" spans="1:21" x14ac:dyDescent="0.3">
      <c r="A1176" s="5" t="s">
        <v>3039</v>
      </c>
      <c r="B1176" s="3" t="s">
        <v>3700</v>
      </c>
      <c r="C1176" s="5" t="s">
        <v>1255</v>
      </c>
      <c r="D1176" s="5" t="s">
        <v>21</v>
      </c>
      <c r="E1176" s="5" t="s">
        <v>69</v>
      </c>
      <c r="F1176" s="5" t="s">
        <v>42</v>
      </c>
      <c r="G1176" t="s">
        <v>3040</v>
      </c>
      <c r="H1176" s="5" t="s">
        <v>3673</v>
      </c>
      <c r="I1176" s="5" t="s">
        <v>912</v>
      </c>
      <c r="J1176" s="5" t="s">
        <v>913</v>
      </c>
      <c r="K1176" s="5" t="s">
        <v>34</v>
      </c>
      <c r="L1176">
        <v>6</v>
      </c>
      <c r="M1176">
        <v>164.01</v>
      </c>
      <c r="N1176" s="8">
        <v>0</v>
      </c>
      <c r="O1176" s="8">
        <v>984.06</v>
      </c>
      <c r="P1176" s="8">
        <v>49.2</v>
      </c>
      <c r="Q1176" s="10">
        <v>0</v>
      </c>
      <c r="R1176" s="10">
        <v>15</v>
      </c>
      <c r="S1176" s="8">
        <v>1048.26</v>
      </c>
      <c r="T1176">
        <v>24.67</v>
      </c>
      <c r="U1176" t="str">
        <f t="shared" si="18"/>
        <v>Saturday</v>
      </c>
    </row>
    <row r="1177" spans="1:21" x14ac:dyDescent="0.3">
      <c r="A1177" s="5" t="s">
        <v>3041</v>
      </c>
      <c r="B1177" s="3" t="s">
        <v>3710</v>
      </c>
      <c r="C1177" s="5" t="s">
        <v>1258</v>
      </c>
      <c r="D1177" s="5" t="s">
        <v>21</v>
      </c>
      <c r="E1177" s="5" t="s">
        <v>36</v>
      </c>
      <c r="F1177" s="5" t="s">
        <v>23</v>
      </c>
      <c r="G1177" t="s">
        <v>3042</v>
      </c>
      <c r="H1177" s="5" t="s">
        <v>3673</v>
      </c>
      <c r="I1177" s="5" t="s">
        <v>917</v>
      </c>
      <c r="J1177" s="5" t="s">
        <v>918</v>
      </c>
      <c r="K1177" s="5" t="s">
        <v>73</v>
      </c>
      <c r="L1177">
        <v>2</v>
      </c>
      <c r="M1177">
        <v>209.46</v>
      </c>
      <c r="N1177" s="8">
        <v>0</v>
      </c>
      <c r="O1177" s="8">
        <v>418.92</v>
      </c>
      <c r="P1177" s="8">
        <v>20.95</v>
      </c>
      <c r="Q1177" s="10">
        <v>20</v>
      </c>
      <c r="R1177" s="10">
        <v>10</v>
      </c>
      <c r="S1177" s="8">
        <v>469.87</v>
      </c>
      <c r="T1177">
        <v>3</v>
      </c>
      <c r="U1177" t="str">
        <f t="shared" si="18"/>
        <v>Monday</v>
      </c>
    </row>
    <row r="1178" spans="1:21" x14ac:dyDescent="0.3">
      <c r="A1178" s="5" t="s">
        <v>3043</v>
      </c>
      <c r="B1178" s="3" t="s">
        <v>3712</v>
      </c>
      <c r="C1178" s="5" t="s">
        <v>1261</v>
      </c>
      <c r="D1178" s="5" t="s">
        <v>21</v>
      </c>
      <c r="E1178" s="5" t="s">
        <v>36</v>
      </c>
      <c r="F1178" s="5" t="s">
        <v>42</v>
      </c>
      <c r="G1178" t="s">
        <v>3044</v>
      </c>
      <c r="H1178" s="5" t="s">
        <v>3677</v>
      </c>
      <c r="I1178" s="5" t="s">
        <v>922</v>
      </c>
      <c r="J1178" s="5" t="s">
        <v>923</v>
      </c>
      <c r="K1178" s="5" t="s">
        <v>145</v>
      </c>
      <c r="L1178">
        <v>7</v>
      </c>
      <c r="M1178">
        <v>59.12</v>
      </c>
      <c r="N1178" s="8">
        <v>5.91</v>
      </c>
      <c r="O1178" s="8">
        <v>407.92999999999989</v>
      </c>
      <c r="P1178" s="8">
        <v>20.399999999999999</v>
      </c>
      <c r="Q1178" s="10">
        <v>30</v>
      </c>
      <c r="R1178" s="10">
        <v>10</v>
      </c>
      <c r="S1178" s="8">
        <v>468.32999999999993</v>
      </c>
      <c r="T1178">
        <v>18</v>
      </c>
      <c r="U1178" t="str">
        <f t="shared" si="18"/>
        <v>Thursday</v>
      </c>
    </row>
    <row r="1179" spans="1:21" x14ac:dyDescent="0.3">
      <c r="A1179" s="5" t="s">
        <v>3045</v>
      </c>
      <c r="B1179" s="3" t="s">
        <v>3705</v>
      </c>
      <c r="C1179" s="5" t="s">
        <v>1264</v>
      </c>
      <c r="D1179" s="5" t="s">
        <v>82</v>
      </c>
      <c r="E1179" s="5" t="s">
        <v>83</v>
      </c>
      <c r="F1179" s="5" t="s">
        <v>37</v>
      </c>
      <c r="G1179" t="s">
        <v>3046</v>
      </c>
      <c r="H1179" s="5" t="s">
        <v>25</v>
      </c>
      <c r="I1179" s="5" t="s">
        <v>927</v>
      </c>
      <c r="J1179" s="5" t="s">
        <v>928</v>
      </c>
      <c r="K1179" s="5" t="s">
        <v>196</v>
      </c>
      <c r="L1179">
        <v>3</v>
      </c>
      <c r="M1179">
        <v>173.78</v>
      </c>
      <c r="N1179" s="8">
        <v>26.07</v>
      </c>
      <c r="O1179" s="8">
        <v>495.27</v>
      </c>
      <c r="P1179" s="8">
        <v>24.76</v>
      </c>
      <c r="Q1179" s="10">
        <v>10</v>
      </c>
      <c r="R1179" s="10">
        <v>10</v>
      </c>
      <c r="S1179" s="8">
        <v>540.03000000000009</v>
      </c>
      <c r="T1179">
        <v>47</v>
      </c>
      <c r="U1179" t="str">
        <f t="shared" si="18"/>
        <v>Tuesday</v>
      </c>
    </row>
    <row r="1180" spans="1:21" x14ac:dyDescent="0.3">
      <c r="A1180" s="5" t="s">
        <v>3047</v>
      </c>
      <c r="B1180" s="3" t="s">
        <v>3727</v>
      </c>
      <c r="C1180" s="5" t="s">
        <v>1267</v>
      </c>
      <c r="D1180" s="5" t="s">
        <v>21</v>
      </c>
      <c r="E1180" s="5" t="s">
        <v>76</v>
      </c>
      <c r="F1180" s="5" t="s">
        <v>42</v>
      </c>
      <c r="G1180" t="s">
        <v>3048</v>
      </c>
      <c r="H1180" s="5" t="s">
        <v>25</v>
      </c>
      <c r="I1180" s="5" t="s">
        <v>932</v>
      </c>
      <c r="J1180" s="5" t="s">
        <v>933</v>
      </c>
      <c r="K1180" s="5" t="s">
        <v>103</v>
      </c>
      <c r="L1180">
        <v>1</v>
      </c>
      <c r="M1180">
        <v>123.68</v>
      </c>
      <c r="N1180" s="8">
        <v>12.37</v>
      </c>
      <c r="O1180" s="8">
        <v>111.31</v>
      </c>
      <c r="P1180" s="8">
        <v>5.57</v>
      </c>
      <c r="Q1180" s="10">
        <v>0</v>
      </c>
      <c r="R1180" s="10">
        <v>15</v>
      </c>
      <c r="S1180" s="8">
        <v>131.88</v>
      </c>
      <c r="T1180">
        <v>48</v>
      </c>
      <c r="U1180" t="str">
        <f t="shared" si="18"/>
        <v>Friday</v>
      </c>
    </row>
    <row r="1181" spans="1:21" x14ac:dyDescent="0.3">
      <c r="A1181" s="5" t="s">
        <v>3049</v>
      </c>
      <c r="B1181" s="3" t="s">
        <v>3678</v>
      </c>
      <c r="C1181" s="5" t="s">
        <v>1270</v>
      </c>
      <c r="D1181" s="5" t="s">
        <v>21</v>
      </c>
      <c r="E1181" s="5" t="s">
        <v>22</v>
      </c>
      <c r="F1181" s="5" t="s">
        <v>42</v>
      </c>
      <c r="G1181" t="s">
        <v>3050</v>
      </c>
      <c r="H1181" s="5" t="s">
        <v>100</v>
      </c>
      <c r="I1181" s="5" t="s">
        <v>937</v>
      </c>
      <c r="J1181" s="5" t="s">
        <v>938</v>
      </c>
      <c r="K1181" s="5" t="s">
        <v>34</v>
      </c>
      <c r="L1181">
        <v>3</v>
      </c>
      <c r="M1181">
        <v>164.33</v>
      </c>
      <c r="N1181" s="8">
        <v>0</v>
      </c>
      <c r="O1181" s="8">
        <v>492.99</v>
      </c>
      <c r="P1181" s="8">
        <v>24.65</v>
      </c>
      <c r="Q1181" s="10">
        <v>10</v>
      </c>
      <c r="R1181" s="10">
        <v>5</v>
      </c>
      <c r="S1181" s="8">
        <v>532.64</v>
      </c>
      <c r="T1181">
        <v>32</v>
      </c>
      <c r="U1181" t="str">
        <f t="shared" si="18"/>
        <v>Saturday</v>
      </c>
    </row>
    <row r="1182" spans="1:21" x14ac:dyDescent="0.3">
      <c r="A1182" s="5" t="s">
        <v>3051</v>
      </c>
      <c r="B1182" s="3" t="s">
        <v>3711</v>
      </c>
      <c r="C1182" s="5" t="s">
        <v>1273</v>
      </c>
      <c r="D1182" s="5" t="s">
        <v>21</v>
      </c>
      <c r="E1182" s="5" t="s">
        <v>36</v>
      </c>
      <c r="F1182" s="5" t="s">
        <v>42</v>
      </c>
      <c r="G1182" t="s">
        <v>3052</v>
      </c>
      <c r="H1182" s="5" t="s">
        <v>3677</v>
      </c>
      <c r="I1182" s="5" t="s">
        <v>942</v>
      </c>
      <c r="J1182" s="5" t="s">
        <v>943</v>
      </c>
      <c r="K1182" s="5" t="s">
        <v>40</v>
      </c>
      <c r="L1182">
        <v>4</v>
      </c>
      <c r="M1182">
        <v>152</v>
      </c>
      <c r="N1182" s="8">
        <v>22.8</v>
      </c>
      <c r="O1182" s="8">
        <v>585.20000000000005</v>
      </c>
      <c r="P1182" s="8">
        <v>29.26</v>
      </c>
      <c r="Q1182" s="10">
        <v>20</v>
      </c>
      <c r="R1182" s="10">
        <v>15</v>
      </c>
      <c r="S1182" s="8">
        <v>649.46</v>
      </c>
      <c r="T1182">
        <v>15</v>
      </c>
      <c r="U1182" t="str">
        <f t="shared" si="18"/>
        <v>Wednesday</v>
      </c>
    </row>
    <row r="1183" spans="1:21" x14ac:dyDescent="0.3">
      <c r="A1183" s="5" t="s">
        <v>3053</v>
      </c>
      <c r="B1183" s="3" t="s">
        <v>3722</v>
      </c>
      <c r="C1183" s="5" t="s">
        <v>1276</v>
      </c>
      <c r="D1183" s="5" t="s">
        <v>21</v>
      </c>
      <c r="E1183" s="5" t="s">
        <v>36</v>
      </c>
      <c r="F1183" s="5" t="s">
        <v>23</v>
      </c>
      <c r="G1183" t="s">
        <v>3054</v>
      </c>
      <c r="H1183" s="5" t="s">
        <v>3673</v>
      </c>
      <c r="I1183" s="5" t="s">
        <v>947</v>
      </c>
      <c r="J1183" s="5" t="s">
        <v>948</v>
      </c>
      <c r="K1183" s="5" t="s">
        <v>22</v>
      </c>
      <c r="L1183">
        <v>3</v>
      </c>
      <c r="M1183">
        <v>151.31</v>
      </c>
      <c r="N1183" s="8">
        <v>0</v>
      </c>
      <c r="O1183" s="8">
        <v>453.93</v>
      </c>
      <c r="P1183" s="8">
        <v>22.7</v>
      </c>
      <c r="Q1183" s="10">
        <v>30</v>
      </c>
      <c r="R1183" s="10">
        <v>20</v>
      </c>
      <c r="S1183" s="8">
        <v>526.63</v>
      </c>
      <c r="T1183">
        <v>41</v>
      </c>
      <c r="U1183" t="str">
        <f t="shared" si="18"/>
        <v>Friday</v>
      </c>
    </row>
    <row r="1184" spans="1:21" x14ac:dyDescent="0.3">
      <c r="A1184" s="5" t="s">
        <v>3055</v>
      </c>
      <c r="B1184" s="3" t="s">
        <v>3678</v>
      </c>
      <c r="C1184" s="5" t="s">
        <v>1279</v>
      </c>
      <c r="D1184" s="5" t="s">
        <v>21</v>
      </c>
      <c r="E1184" s="5" t="s">
        <v>76</v>
      </c>
      <c r="F1184" s="5" t="s">
        <v>23</v>
      </c>
      <c r="G1184" t="s">
        <v>3056</v>
      </c>
      <c r="H1184" s="5" t="s">
        <v>100</v>
      </c>
      <c r="I1184" s="5" t="s">
        <v>952</v>
      </c>
      <c r="J1184" s="5" t="s">
        <v>953</v>
      </c>
      <c r="K1184" s="5" t="s">
        <v>40</v>
      </c>
      <c r="L1184">
        <v>3</v>
      </c>
      <c r="M1184">
        <v>69.48</v>
      </c>
      <c r="N1184" s="8">
        <v>6.95</v>
      </c>
      <c r="O1184" s="8">
        <v>201.49</v>
      </c>
      <c r="P1184" s="8">
        <v>10.07</v>
      </c>
      <c r="Q1184" s="10">
        <v>10</v>
      </c>
      <c r="R1184" s="10">
        <v>5</v>
      </c>
      <c r="S1184" s="8">
        <v>226.56</v>
      </c>
      <c r="T1184">
        <v>26</v>
      </c>
      <c r="U1184" t="str">
        <f t="shared" si="18"/>
        <v>Saturday</v>
      </c>
    </row>
    <row r="1185" spans="1:21" x14ac:dyDescent="0.3">
      <c r="A1185" s="5" t="s">
        <v>3057</v>
      </c>
      <c r="B1185" s="3" t="s">
        <v>3692</v>
      </c>
      <c r="C1185" s="5" t="s">
        <v>1282</v>
      </c>
      <c r="D1185" s="5" t="s">
        <v>21</v>
      </c>
      <c r="E1185" s="5" t="s">
        <v>112</v>
      </c>
      <c r="F1185" s="5" t="s">
        <v>23</v>
      </c>
      <c r="G1185" t="s">
        <v>3058</v>
      </c>
      <c r="H1185" s="5" t="s">
        <v>3673</v>
      </c>
      <c r="I1185" s="5" t="s">
        <v>957</v>
      </c>
      <c r="J1185" s="5" t="s">
        <v>958</v>
      </c>
      <c r="K1185" s="5" t="s">
        <v>73</v>
      </c>
      <c r="L1185">
        <v>1</v>
      </c>
      <c r="M1185">
        <v>141.54</v>
      </c>
      <c r="N1185" s="8">
        <v>7.08</v>
      </c>
      <c r="O1185" s="8">
        <v>134.46</v>
      </c>
      <c r="P1185" s="8">
        <v>6.72</v>
      </c>
      <c r="Q1185" s="10">
        <v>0</v>
      </c>
      <c r="R1185" s="10">
        <v>20</v>
      </c>
      <c r="S1185" s="8">
        <v>161.18</v>
      </c>
      <c r="T1185">
        <v>24</v>
      </c>
      <c r="U1185" t="str">
        <f t="shared" si="18"/>
        <v>Wednesday</v>
      </c>
    </row>
    <row r="1186" spans="1:21" x14ac:dyDescent="0.3">
      <c r="A1186" s="5" t="s">
        <v>3059</v>
      </c>
      <c r="B1186" s="3" t="s">
        <v>3719</v>
      </c>
      <c r="C1186" s="5" t="s">
        <v>1285</v>
      </c>
      <c r="D1186" s="5" t="s">
        <v>21</v>
      </c>
      <c r="E1186" s="5" t="s">
        <v>69</v>
      </c>
      <c r="F1186" s="5" t="s">
        <v>42</v>
      </c>
      <c r="G1186" t="s">
        <v>3060</v>
      </c>
      <c r="H1186" s="5" t="s">
        <v>100</v>
      </c>
      <c r="I1186" s="5" t="s">
        <v>962</v>
      </c>
      <c r="J1186" s="5" t="s">
        <v>963</v>
      </c>
      <c r="K1186" s="5" t="s">
        <v>196</v>
      </c>
      <c r="L1186">
        <v>1</v>
      </c>
      <c r="M1186">
        <v>168.8</v>
      </c>
      <c r="N1186" s="8">
        <v>0</v>
      </c>
      <c r="O1186" s="8">
        <v>168.8</v>
      </c>
      <c r="P1186" s="8">
        <v>8.44</v>
      </c>
      <c r="Q1186" s="10">
        <v>10</v>
      </c>
      <c r="R1186" s="10">
        <v>20</v>
      </c>
      <c r="S1186" s="8">
        <v>207.24</v>
      </c>
      <c r="T1186">
        <v>24.67</v>
      </c>
      <c r="U1186" t="str">
        <f t="shared" si="18"/>
        <v>Sunday</v>
      </c>
    </row>
    <row r="1187" spans="1:21" x14ac:dyDescent="0.3">
      <c r="A1187" s="5" t="s">
        <v>3061</v>
      </c>
      <c r="B1187" s="3" t="s">
        <v>3694</v>
      </c>
      <c r="C1187" s="5" t="s">
        <v>1288</v>
      </c>
      <c r="D1187" s="5" t="s">
        <v>21</v>
      </c>
      <c r="E1187" s="5" t="s">
        <v>22</v>
      </c>
      <c r="F1187" s="5" t="s">
        <v>37</v>
      </c>
      <c r="G1187" t="s">
        <v>3062</v>
      </c>
      <c r="H1187" s="5" t="s">
        <v>25</v>
      </c>
      <c r="I1187" s="5" t="s">
        <v>967</v>
      </c>
      <c r="J1187" s="5" t="s">
        <v>968</v>
      </c>
      <c r="K1187" s="5" t="s">
        <v>28</v>
      </c>
      <c r="L1187">
        <v>2</v>
      </c>
      <c r="M1187">
        <v>204.55</v>
      </c>
      <c r="N1187" s="8">
        <v>30.68</v>
      </c>
      <c r="O1187" s="8">
        <v>378.42</v>
      </c>
      <c r="P1187" s="8">
        <v>18.920000000000002</v>
      </c>
      <c r="Q1187" s="10">
        <v>20</v>
      </c>
      <c r="R1187" s="10">
        <v>0</v>
      </c>
      <c r="S1187" s="8">
        <v>417.34</v>
      </c>
      <c r="T1187">
        <v>27</v>
      </c>
      <c r="U1187" t="str">
        <f t="shared" si="18"/>
        <v>Thursday</v>
      </c>
    </row>
    <row r="1188" spans="1:21" x14ac:dyDescent="0.3">
      <c r="A1188" s="5" t="s">
        <v>3063</v>
      </c>
      <c r="B1188" s="3" t="s">
        <v>3700</v>
      </c>
      <c r="C1188" s="5" t="s">
        <v>1291</v>
      </c>
      <c r="D1188" s="5" t="s">
        <v>106</v>
      </c>
      <c r="E1188" s="5" t="s">
        <v>83</v>
      </c>
      <c r="F1188" s="5" t="s">
        <v>37</v>
      </c>
      <c r="G1188" t="s">
        <v>3064</v>
      </c>
      <c r="H1188" s="5" t="s">
        <v>3677</v>
      </c>
      <c r="I1188" s="5" t="s">
        <v>972</v>
      </c>
      <c r="J1188" s="5" t="s">
        <v>973</v>
      </c>
      <c r="K1188" s="5" t="s">
        <v>28</v>
      </c>
      <c r="L1188">
        <v>3</v>
      </c>
      <c r="M1188">
        <v>138.13999999999999</v>
      </c>
      <c r="N1188" s="8">
        <v>6.91</v>
      </c>
      <c r="O1188" s="8">
        <v>407.50999999999988</v>
      </c>
      <c r="P1188" s="8">
        <v>20.38</v>
      </c>
      <c r="Q1188" s="10">
        <v>0</v>
      </c>
      <c r="R1188" s="10">
        <v>20</v>
      </c>
      <c r="S1188" s="8">
        <v>447.88999999999987</v>
      </c>
      <c r="T1188">
        <v>24.67</v>
      </c>
      <c r="U1188" t="str">
        <f t="shared" si="18"/>
        <v>Saturday</v>
      </c>
    </row>
    <row r="1189" spans="1:21" x14ac:dyDescent="0.3">
      <c r="A1189" s="5" t="s">
        <v>3065</v>
      </c>
      <c r="B1189" s="3" t="s">
        <v>3722</v>
      </c>
      <c r="C1189" s="5" t="s">
        <v>1294</v>
      </c>
      <c r="D1189" s="5" t="s">
        <v>21</v>
      </c>
      <c r="E1189" s="5" t="s">
        <v>76</v>
      </c>
      <c r="F1189" s="5" t="s">
        <v>42</v>
      </c>
      <c r="G1189" t="s">
        <v>3066</v>
      </c>
      <c r="H1189" s="5" t="s">
        <v>3673</v>
      </c>
      <c r="I1189" s="5" t="s">
        <v>977</v>
      </c>
      <c r="J1189" s="5" t="s">
        <v>978</v>
      </c>
      <c r="K1189" s="5" t="s">
        <v>145</v>
      </c>
      <c r="L1189">
        <v>3</v>
      </c>
      <c r="M1189">
        <v>0.86</v>
      </c>
      <c r="N1189" s="8">
        <v>0.09</v>
      </c>
      <c r="O1189" s="8">
        <v>2.4900000000000002</v>
      </c>
      <c r="P1189" s="8">
        <v>0.12</v>
      </c>
      <c r="Q1189" s="10">
        <v>10</v>
      </c>
      <c r="R1189" s="10">
        <v>5</v>
      </c>
      <c r="S1189" s="8">
        <v>17.61</v>
      </c>
      <c r="T1189">
        <v>17</v>
      </c>
      <c r="U1189" t="str">
        <f t="shared" si="18"/>
        <v>Friday</v>
      </c>
    </row>
    <row r="1190" spans="1:21" x14ac:dyDescent="0.3">
      <c r="A1190" s="5" t="s">
        <v>3067</v>
      </c>
      <c r="B1190" s="3" t="s">
        <v>3734</v>
      </c>
      <c r="C1190" s="5" t="s">
        <v>1297</v>
      </c>
      <c r="D1190" s="5" t="s">
        <v>21</v>
      </c>
      <c r="E1190" s="5" t="s">
        <v>76</v>
      </c>
      <c r="F1190" s="5" t="s">
        <v>37</v>
      </c>
      <c r="G1190" t="s">
        <v>3068</v>
      </c>
      <c r="H1190" s="5" t="s">
        <v>100</v>
      </c>
      <c r="I1190" s="5" t="s">
        <v>982</v>
      </c>
      <c r="J1190" s="5" t="s">
        <v>983</v>
      </c>
      <c r="K1190" s="5" t="s">
        <v>28</v>
      </c>
      <c r="L1190">
        <v>4</v>
      </c>
      <c r="M1190">
        <v>101.69</v>
      </c>
      <c r="N1190" s="8">
        <v>0</v>
      </c>
      <c r="O1190" s="8">
        <v>406.76</v>
      </c>
      <c r="P1190" s="8">
        <v>20.34</v>
      </c>
      <c r="Q1190" s="10">
        <v>30</v>
      </c>
      <c r="R1190" s="10">
        <v>5</v>
      </c>
      <c r="S1190" s="8">
        <v>462.1</v>
      </c>
      <c r="T1190">
        <v>24.67</v>
      </c>
      <c r="U1190" t="str">
        <f t="shared" si="18"/>
        <v>Monday</v>
      </c>
    </row>
    <row r="1191" spans="1:21" x14ac:dyDescent="0.3">
      <c r="A1191" s="5" t="s">
        <v>3069</v>
      </c>
      <c r="B1191" s="3" t="s">
        <v>3720</v>
      </c>
      <c r="C1191" s="5" t="s">
        <v>1300</v>
      </c>
      <c r="D1191" s="5" t="s">
        <v>21</v>
      </c>
      <c r="E1191" s="5" t="s">
        <v>76</v>
      </c>
      <c r="F1191" s="5" t="s">
        <v>42</v>
      </c>
      <c r="G1191" t="s">
        <v>3070</v>
      </c>
      <c r="H1191" s="5" t="s">
        <v>3674</v>
      </c>
      <c r="I1191" s="5" t="s">
        <v>987</v>
      </c>
      <c r="J1191" s="5" t="s">
        <v>988</v>
      </c>
      <c r="K1191" s="5" t="s">
        <v>196</v>
      </c>
      <c r="L1191">
        <v>5</v>
      </c>
      <c r="M1191">
        <v>164.62</v>
      </c>
      <c r="N1191" s="8">
        <v>8.23</v>
      </c>
      <c r="O1191" s="8">
        <v>814.87</v>
      </c>
      <c r="P1191" s="8">
        <v>40.74</v>
      </c>
      <c r="Q1191" s="10">
        <v>0</v>
      </c>
      <c r="R1191" s="10">
        <v>20</v>
      </c>
      <c r="S1191" s="8">
        <v>875.61</v>
      </c>
      <c r="T1191">
        <v>22</v>
      </c>
      <c r="U1191" t="str">
        <f t="shared" si="18"/>
        <v>Monday</v>
      </c>
    </row>
    <row r="1192" spans="1:21" x14ac:dyDescent="0.3">
      <c r="A1192" s="5" t="s">
        <v>3071</v>
      </c>
      <c r="B1192" s="3" t="s">
        <v>3700</v>
      </c>
      <c r="C1192" s="5" t="s">
        <v>1303</v>
      </c>
      <c r="D1192" s="5" t="s">
        <v>21</v>
      </c>
      <c r="E1192" s="5" t="s">
        <v>112</v>
      </c>
      <c r="F1192" s="5" t="s">
        <v>37</v>
      </c>
      <c r="G1192" t="s">
        <v>3072</v>
      </c>
      <c r="H1192" s="5" t="s">
        <v>3673</v>
      </c>
      <c r="I1192" s="5" t="s">
        <v>992</v>
      </c>
      <c r="J1192" s="5" t="s">
        <v>993</v>
      </c>
      <c r="K1192" s="5" t="s">
        <v>28</v>
      </c>
      <c r="L1192">
        <v>2</v>
      </c>
      <c r="M1192">
        <v>137.35</v>
      </c>
      <c r="N1192" s="8">
        <v>0</v>
      </c>
      <c r="O1192" s="8">
        <v>274.7</v>
      </c>
      <c r="P1192" s="8">
        <v>13.73</v>
      </c>
      <c r="Q1192" s="10">
        <v>30</v>
      </c>
      <c r="R1192" s="10">
        <v>20</v>
      </c>
      <c r="S1192" s="8">
        <v>338.43</v>
      </c>
      <c r="T1192">
        <v>34</v>
      </c>
      <c r="U1192" t="str">
        <f t="shared" si="18"/>
        <v>Saturday</v>
      </c>
    </row>
    <row r="1193" spans="1:21" x14ac:dyDescent="0.3">
      <c r="A1193" s="5" t="s">
        <v>3073</v>
      </c>
      <c r="B1193" s="3" t="s">
        <v>3716</v>
      </c>
      <c r="C1193" s="5" t="s">
        <v>1306</v>
      </c>
      <c r="D1193" s="5" t="s">
        <v>21</v>
      </c>
      <c r="E1193" s="5" t="s">
        <v>76</v>
      </c>
      <c r="F1193" s="5" t="s">
        <v>42</v>
      </c>
      <c r="G1193" t="s">
        <v>3074</v>
      </c>
      <c r="H1193" s="5" t="s">
        <v>25</v>
      </c>
      <c r="I1193" s="5" t="s">
        <v>997</v>
      </c>
      <c r="J1193" s="5" t="s">
        <v>998</v>
      </c>
      <c r="K1193" s="5" t="s">
        <v>145</v>
      </c>
      <c r="L1193">
        <v>1</v>
      </c>
      <c r="M1193">
        <v>73.66</v>
      </c>
      <c r="N1193" s="8">
        <v>3.68</v>
      </c>
      <c r="O1193" s="8">
        <v>69.97999999999999</v>
      </c>
      <c r="P1193" s="8">
        <v>3.5</v>
      </c>
      <c r="Q1193" s="10">
        <v>10</v>
      </c>
      <c r="R1193" s="10">
        <v>5</v>
      </c>
      <c r="S1193" s="8">
        <v>88.47999999999999</v>
      </c>
      <c r="T1193">
        <v>33</v>
      </c>
      <c r="U1193" t="str">
        <f t="shared" si="18"/>
        <v>Saturday</v>
      </c>
    </row>
    <row r="1194" spans="1:21" x14ac:dyDescent="0.3">
      <c r="A1194" s="5" t="s">
        <v>3075</v>
      </c>
      <c r="B1194" s="3" t="s">
        <v>3727</v>
      </c>
      <c r="C1194" s="5" t="s">
        <v>1309</v>
      </c>
      <c r="D1194" s="5" t="s">
        <v>21</v>
      </c>
      <c r="E1194" s="5" t="s">
        <v>22</v>
      </c>
      <c r="F1194" s="5" t="s">
        <v>42</v>
      </c>
      <c r="G1194" t="s">
        <v>3076</v>
      </c>
      <c r="H1194" s="5" t="s">
        <v>3675</v>
      </c>
      <c r="I1194" s="5" t="s">
        <v>1002</v>
      </c>
      <c r="J1194" s="5" t="s">
        <v>1003</v>
      </c>
      <c r="K1194" s="5" t="s">
        <v>103</v>
      </c>
      <c r="L1194">
        <v>1</v>
      </c>
      <c r="M1194">
        <v>170.98</v>
      </c>
      <c r="N1194" s="8">
        <v>0</v>
      </c>
      <c r="O1194" s="8">
        <v>170.98</v>
      </c>
      <c r="P1194" s="8">
        <v>8.5500000000000007</v>
      </c>
      <c r="Q1194" s="10">
        <v>30</v>
      </c>
      <c r="R1194" s="10">
        <v>0</v>
      </c>
      <c r="S1194" s="8">
        <v>209.53</v>
      </c>
      <c r="T1194">
        <v>40</v>
      </c>
      <c r="U1194" t="str">
        <f t="shared" si="18"/>
        <v>Friday</v>
      </c>
    </row>
    <row r="1195" spans="1:21" x14ac:dyDescent="0.3">
      <c r="A1195" s="5" t="s">
        <v>3077</v>
      </c>
      <c r="B1195" s="3" t="s">
        <v>3691</v>
      </c>
      <c r="C1195" s="5" t="s">
        <v>1312</v>
      </c>
      <c r="D1195" s="5" t="s">
        <v>21</v>
      </c>
      <c r="E1195" s="5" t="s">
        <v>112</v>
      </c>
      <c r="F1195" s="5" t="s">
        <v>42</v>
      </c>
      <c r="G1195" t="s">
        <v>3078</v>
      </c>
      <c r="H1195" s="5" t="s">
        <v>3673</v>
      </c>
      <c r="I1195" s="5" t="s">
        <v>1007</v>
      </c>
      <c r="J1195" s="5" t="s">
        <v>1008</v>
      </c>
      <c r="K1195" s="5" t="s">
        <v>45</v>
      </c>
      <c r="L1195">
        <v>3</v>
      </c>
      <c r="M1195">
        <v>53.19</v>
      </c>
      <c r="N1195" s="8">
        <v>0</v>
      </c>
      <c r="O1195" s="8">
        <v>159.57</v>
      </c>
      <c r="P1195" s="8">
        <v>7.98</v>
      </c>
      <c r="Q1195" s="10">
        <v>10</v>
      </c>
      <c r="R1195" s="10">
        <v>10</v>
      </c>
      <c r="S1195" s="8">
        <v>187.55</v>
      </c>
      <c r="T1195">
        <v>40</v>
      </c>
      <c r="U1195" t="str">
        <f t="shared" si="18"/>
        <v>Friday</v>
      </c>
    </row>
    <row r="1196" spans="1:21" x14ac:dyDescent="0.3">
      <c r="A1196" s="5" t="s">
        <v>3079</v>
      </c>
      <c r="B1196" s="3" t="s">
        <v>3731</v>
      </c>
      <c r="C1196" s="5" t="s">
        <v>1315</v>
      </c>
      <c r="D1196" s="5" t="s">
        <v>21</v>
      </c>
      <c r="E1196" s="5" t="s">
        <v>69</v>
      </c>
      <c r="F1196" s="5" t="s">
        <v>42</v>
      </c>
      <c r="G1196" t="s">
        <v>3080</v>
      </c>
      <c r="H1196" s="5" t="s">
        <v>3673</v>
      </c>
      <c r="I1196" s="5" t="s">
        <v>1012</v>
      </c>
      <c r="J1196" s="5" t="s">
        <v>1013</v>
      </c>
      <c r="K1196" s="5" t="s">
        <v>40</v>
      </c>
      <c r="L1196">
        <v>3</v>
      </c>
      <c r="M1196">
        <v>161.34</v>
      </c>
      <c r="N1196" s="8">
        <v>8.07</v>
      </c>
      <c r="O1196" s="8">
        <v>475.95</v>
      </c>
      <c r="P1196" s="8">
        <v>23.8</v>
      </c>
      <c r="Q1196" s="10">
        <v>20</v>
      </c>
      <c r="R1196" s="10">
        <v>0</v>
      </c>
      <c r="S1196" s="8">
        <v>519.75</v>
      </c>
      <c r="T1196">
        <v>25</v>
      </c>
      <c r="U1196" t="str">
        <f t="shared" si="18"/>
        <v>Monday</v>
      </c>
    </row>
    <row r="1197" spans="1:21" x14ac:dyDescent="0.3">
      <c r="A1197" s="5" t="s">
        <v>3081</v>
      </c>
      <c r="B1197" s="3" t="s">
        <v>3730</v>
      </c>
      <c r="C1197" s="5" t="s">
        <v>1318</v>
      </c>
      <c r="D1197" s="5" t="s">
        <v>21</v>
      </c>
      <c r="E1197" s="5" t="s">
        <v>112</v>
      </c>
      <c r="F1197" s="5" t="s">
        <v>42</v>
      </c>
      <c r="G1197" t="s">
        <v>3082</v>
      </c>
      <c r="H1197" s="5" t="s">
        <v>3677</v>
      </c>
      <c r="I1197" s="5" t="s">
        <v>1017</v>
      </c>
      <c r="J1197" s="5" t="s">
        <v>1018</v>
      </c>
      <c r="K1197" s="5" t="s">
        <v>40</v>
      </c>
      <c r="L1197">
        <v>2</v>
      </c>
      <c r="M1197">
        <v>17.420000000000002</v>
      </c>
      <c r="N1197" s="8">
        <v>2.61</v>
      </c>
      <c r="O1197" s="8">
        <v>32.229999999999997</v>
      </c>
      <c r="P1197" s="8">
        <v>1.61</v>
      </c>
      <c r="Q1197" s="10">
        <v>0</v>
      </c>
      <c r="R1197" s="10">
        <v>20</v>
      </c>
      <c r="S1197" s="8">
        <v>53.84</v>
      </c>
      <c r="T1197">
        <v>19</v>
      </c>
      <c r="U1197" t="str">
        <f t="shared" si="18"/>
        <v>Friday</v>
      </c>
    </row>
    <row r="1198" spans="1:21" x14ac:dyDescent="0.3">
      <c r="A1198" s="5" t="s">
        <v>3083</v>
      </c>
      <c r="B1198" s="3" t="s">
        <v>3715</v>
      </c>
      <c r="C1198" s="5" t="s">
        <v>1321</v>
      </c>
      <c r="D1198" s="5" t="s">
        <v>21</v>
      </c>
      <c r="E1198" s="5" t="s">
        <v>76</v>
      </c>
      <c r="F1198" s="5" t="s">
        <v>42</v>
      </c>
      <c r="G1198" t="s">
        <v>3084</v>
      </c>
      <c r="H1198" s="5" t="s">
        <v>3677</v>
      </c>
      <c r="I1198" s="5" t="s">
        <v>1022</v>
      </c>
      <c r="J1198" s="5" t="s">
        <v>1023</v>
      </c>
      <c r="K1198" s="5" t="s">
        <v>103</v>
      </c>
      <c r="L1198">
        <v>4</v>
      </c>
      <c r="M1198">
        <v>103.38</v>
      </c>
      <c r="N1198" s="8">
        <v>10.34</v>
      </c>
      <c r="O1198" s="8">
        <v>403.18</v>
      </c>
      <c r="P1198" s="8">
        <v>20.16</v>
      </c>
      <c r="Q1198" s="10">
        <v>20</v>
      </c>
      <c r="R1198" s="10">
        <v>15</v>
      </c>
      <c r="S1198" s="8">
        <v>458.34</v>
      </c>
      <c r="T1198">
        <v>26</v>
      </c>
      <c r="U1198" t="str">
        <f t="shared" si="18"/>
        <v>Saturday</v>
      </c>
    </row>
    <row r="1199" spans="1:21" x14ac:dyDescent="0.3">
      <c r="A1199" s="5" t="s">
        <v>3085</v>
      </c>
      <c r="B1199" s="3" t="s">
        <v>3708</v>
      </c>
      <c r="C1199" s="5" t="s">
        <v>1323</v>
      </c>
      <c r="D1199" s="5" t="s">
        <v>106</v>
      </c>
      <c r="E1199" s="5" t="s">
        <v>83</v>
      </c>
      <c r="F1199" s="5" t="s">
        <v>23</v>
      </c>
      <c r="G1199" t="s">
        <v>3086</v>
      </c>
      <c r="H1199" s="5" t="s">
        <v>25</v>
      </c>
      <c r="I1199" s="5" t="s">
        <v>1027</v>
      </c>
      <c r="J1199" s="5" t="s">
        <v>1028</v>
      </c>
      <c r="K1199" s="5" t="s">
        <v>22</v>
      </c>
      <c r="L1199">
        <v>2</v>
      </c>
      <c r="M1199">
        <v>113.09</v>
      </c>
      <c r="N1199" s="8">
        <v>11.31</v>
      </c>
      <c r="O1199" s="8">
        <v>214.87</v>
      </c>
      <c r="P1199" s="8">
        <v>10.74</v>
      </c>
      <c r="Q1199" s="10">
        <v>20</v>
      </c>
      <c r="R1199" s="10">
        <v>15</v>
      </c>
      <c r="S1199" s="8">
        <v>260.61</v>
      </c>
      <c r="T1199">
        <v>21</v>
      </c>
      <c r="U1199" t="str">
        <f t="shared" si="18"/>
        <v>Sunday</v>
      </c>
    </row>
    <row r="1200" spans="1:21" x14ac:dyDescent="0.3">
      <c r="A1200" s="5" t="s">
        <v>3087</v>
      </c>
      <c r="B1200" s="3" t="s">
        <v>3689</v>
      </c>
      <c r="C1200" s="5" t="s">
        <v>20</v>
      </c>
      <c r="D1200" s="5" t="s">
        <v>82</v>
      </c>
      <c r="E1200" s="5" t="s">
        <v>83</v>
      </c>
      <c r="F1200" s="5" t="s">
        <v>37</v>
      </c>
      <c r="G1200" t="s">
        <v>3088</v>
      </c>
      <c r="H1200" s="5" t="s">
        <v>3673</v>
      </c>
      <c r="I1200" s="5" t="s">
        <v>26</v>
      </c>
      <c r="J1200" s="5" t="s">
        <v>27</v>
      </c>
      <c r="K1200" s="5" t="s">
        <v>45</v>
      </c>
      <c r="L1200">
        <v>3</v>
      </c>
      <c r="M1200">
        <v>127.79</v>
      </c>
      <c r="N1200" s="8">
        <v>6.39</v>
      </c>
      <c r="O1200" s="8">
        <v>376.98</v>
      </c>
      <c r="P1200" s="8">
        <v>18.850000000000001</v>
      </c>
      <c r="Q1200" s="10">
        <v>0</v>
      </c>
      <c r="R1200" s="10">
        <v>20</v>
      </c>
      <c r="S1200" s="8">
        <v>415.83</v>
      </c>
      <c r="T1200">
        <v>43</v>
      </c>
      <c r="U1200" t="str">
        <f t="shared" si="18"/>
        <v>Wednesday</v>
      </c>
    </row>
    <row r="1201" spans="1:21" x14ac:dyDescent="0.3">
      <c r="A1201" s="5" t="s">
        <v>3089</v>
      </c>
      <c r="B1201" s="3" t="s">
        <v>3708</v>
      </c>
      <c r="C1201" s="5" t="s">
        <v>30</v>
      </c>
      <c r="D1201" s="5" t="s">
        <v>21</v>
      </c>
      <c r="E1201" s="5" t="s">
        <v>76</v>
      </c>
      <c r="F1201" s="5" t="s">
        <v>42</v>
      </c>
      <c r="G1201" t="s">
        <v>3090</v>
      </c>
      <c r="H1201" s="5" t="s">
        <v>100</v>
      </c>
      <c r="I1201" s="5" t="s">
        <v>32</v>
      </c>
      <c r="J1201" s="5" t="s">
        <v>33</v>
      </c>
      <c r="K1201" s="5" t="s">
        <v>40</v>
      </c>
      <c r="L1201">
        <v>2</v>
      </c>
      <c r="M1201">
        <v>73.989999999999995</v>
      </c>
      <c r="N1201" s="8">
        <v>11.1</v>
      </c>
      <c r="O1201" s="8">
        <v>136.88</v>
      </c>
      <c r="P1201" s="8">
        <v>6.84</v>
      </c>
      <c r="Q1201" s="10">
        <v>30</v>
      </c>
      <c r="R1201" s="10">
        <v>10</v>
      </c>
      <c r="S1201" s="8">
        <v>183.72</v>
      </c>
      <c r="T1201">
        <v>25</v>
      </c>
      <c r="U1201" t="str">
        <f t="shared" si="18"/>
        <v>Sunday</v>
      </c>
    </row>
    <row r="1202" spans="1:21" x14ac:dyDescent="0.3">
      <c r="A1202" s="5" t="s">
        <v>3091</v>
      </c>
      <c r="B1202" s="3" t="s">
        <v>3692</v>
      </c>
      <c r="C1202" s="5" t="s">
        <v>35</v>
      </c>
      <c r="D1202" s="5" t="s">
        <v>21</v>
      </c>
      <c r="E1202" s="5" t="s">
        <v>69</v>
      </c>
      <c r="F1202" s="5" t="s">
        <v>23</v>
      </c>
      <c r="G1202" t="s">
        <v>3092</v>
      </c>
      <c r="H1202" s="5" t="s">
        <v>3673</v>
      </c>
      <c r="I1202" s="5" t="s">
        <v>38</v>
      </c>
      <c r="J1202" s="5" t="s">
        <v>39</v>
      </c>
      <c r="K1202" s="5" t="s">
        <v>73</v>
      </c>
      <c r="L1202">
        <v>4</v>
      </c>
      <c r="M1202">
        <v>191.44</v>
      </c>
      <c r="N1202" s="8">
        <v>9.57</v>
      </c>
      <c r="O1202" s="8">
        <v>756.18999999999994</v>
      </c>
      <c r="P1202" s="8">
        <v>37.81</v>
      </c>
      <c r="Q1202" s="10">
        <v>10</v>
      </c>
      <c r="R1202" s="10">
        <v>10</v>
      </c>
      <c r="S1202" s="8">
        <v>814</v>
      </c>
      <c r="T1202">
        <v>27</v>
      </c>
      <c r="U1202" t="str">
        <f t="shared" si="18"/>
        <v>Wednesday</v>
      </c>
    </row>
    <row r="1203" spans="1:21" x14ac:dyDescent="0.3">
      <c r="A1203" s="5" t="s">
        <v>3093</v>
      </c>
      <c r="B1203" s="3" t="s">
        <v>3726</v>
      </c>
      <c r="C1203" s="5" t="s">
        <v>41</v>
      </c>
      <c r="D1203" s="5" t="s">
        <v>82</v>
      </c>
      <c r="E1203" s="5" t="s">
        <v>83</v>
      </c>
      <c r="F1203" s="5" t="s">
        <v>42</v>
      </c>
      <c r="G1203" t="s">
        <v>3094</v>
      </c>
      <c r="H1203" s="5" t="s">
        <v>3673</v>
      </c>
      <c r="I1203" s="5" t="s">
        <v>43</v>
      </c>
      <c r="J1203" s="5" t="s">
        <v>44</v>
      </c>
      <c r="K1203" s="5" t="s">
        <v>45</v>
      </c>
      <c r="L1203">
        <v>3</v>
      </c>
      <c r="M1203">
        <v>195.1</v>
      </c>
      <c r="N1203" s="8">
        <v>19.510000000000002</v>
      </c>
      <c r="O1203" s="8">
        <v>565.79</v>
      </c>
      <c r="P1203" s="8">
        <v>28.29</v>
      </c>
      <c r="Q1203" s="10">
        <v>20</v>
      </c>
      <c r="R1203" s="10">
        <v>5</v>
      </c>
      <c r="S1203" s="8">
        <v>619.07999999999993</v>
      </c>
      <c r="T1203">
        <v>32</v>
      </c>
      <c r="U1203" t="str">
        <f t="shared" si="18"/>
        <v>Monday</v>
      </c>
    </row>
    <row r="1204" spans="1:21" x14ac:dyDescent="0.3">
      <c r="A1204" s="5" t="s">
        <v>3095</v>
      </c>
      <c r="B1204" s="3" t="s">
        <v>3708</v>
      </c>
      <c r="C1204" s="5" t="s">
        <v>47</v>
      </c>
      <c r="D1204" s="5" t="s">
        <v>21</v>
      </c>
      <c r="E1204" s="5" t="s">
        <v>112</v>
      </c>
      <c r="F1204" s="5" t="s">
        <v>37</v>
      </c>
      <c r="G1204" t="s">
        <v>3096</v>
      </c>
      <c r="H1204" s="5" t="s">
        <v>3677</v>
      </c>
      <c r="I1204" s="5" t="s">
        <v>49</v>
      </c>
      <c r="J1204" s="5" t="s">
        <v>50</v>
      </c>
      <c r="K1204" s="5" t="s">
        <v>196</v>
      </c>
      <c r="L1204">
        <v>6</v>
      </c>
      <c r="M1204">
        <v>135.71</v>
      </c>
      <c r="N1204" s="8">
        <v>6.79</v>
      </c>
      <c r="O1204" s="8">
        <v>807.47</v>
      </c>
      <c r="P1204" s="8">
        <v>40.369999999999997</v>
      </c>
      <c r="Q1204" s="10">
        <v>10</v>
      </c>
      <c r="R1204" s="10">
        <v>15</v>
      </c>
      <c r="S1204" s="8">
        <v>872.84</v>
      </c>
      <c r="T1204">
        <v>20</v>
      </c>
      <c r="U1204" t="str">
        <f t="shared" si="18"/>
        <v>Sunday</v>
      </c>
    </row>
    <row r="1205" spans="1:21" x14ac:dyDescent="0.3">
      <c r="A1205" s="5" t="s">
        <v>3097</v>
      </c>
      <c r="B1205" s="3" t="s">
        <v>3681</v>
      </c>
      <c r="C1205" s="5" t="s">
        <v>52</v>
      </c>
      <c r="D1205" s="5" t="s">
        <v>21</v>
      </c>
      <c r="E1205" s="5" t="s">
        <v>76</v>
      </c>
      <c r="F1205" s="5" t="s">
        <v>42</v>
      </c>
      <c r="G1205" t="s">
        <v>3098</v>
      </c>
      <c r="H1205" s="5" t="s">
        <v>3677</v>
      </c>
      <c r="I1205" s="5" t="s">
        <v>54</v>
      </c>
      <c r="J1205" s="5" t="s">
        <v>55</v>
      </c>
      <c r="K1205" s="5" t="s">
        <v>145</v>
      </c>
      <c r="L1205">
        <v>8</v>
      </c>
      <c r="M1205">
        <v>143.91</v>
      </c>
      <c r="N1205" s="8">
        <v>7.2</v>
      </c>
      <c r="O1205" s="8">
        <v>1144.08</v>
      </c>
      <c r="P1205" s="8">
        <v>57.2</v>
      </c>
      <c r="Q1205" s="10">
        <v>20</v>
      </c>
      <c r="R1205" s="10">
        <v>15</v>
      </c>
      <c r="S1205" s="8">
        <v>1236.28</v>
      </c>
      <c r="T1205">
        <v>24</v>
      </c>
      <c r="U1205" t="str">
        <f t="shared" si="18"/>
        <v>Wednesday</v>
      </c>
    </row>
    <row r="1206" spans="1:21" x14ac:dyDescent="0.3">
      <c r="A1206" s="5" t="s">
        <v>3099</v>
      </c>
      <c r="B1206" s="3" t="s">
        <v>3690</v>
      </c>
      <c r="C1206" s="5" t="s">
        <v>58</v>
      </c>
      <c r="D1206" s="5" t="s">
        <v>21</v>
      </c>
      <c r="E1206" s="5" t="s">
        <v>69</v>
      </c>
      <c r="F1206" s="5" t="s">
        <v>23</v>
      </c>
      <c r="G1206" t="s">
        <v>3100</v>
      </c>
      <c r="H1206" s="5" t="s">
        <v>100</v>
      </c>
      <c r="I1206" s="5" t="s">
        <v>60</v>
      </c>
      <c r="J1206" s="5" t="s">
        <v>61</v>
      </c>
      <c r="K1206" s="5" t="s">
        <v>103</v>
      </c>
      <c r="L1206">
        <v>2</v>
      </c>
      <c r="M1206">
        <v>14.79</v>
      </c>
      <c r="N1206" s="8">
        <v>2.2200000000000002</v>
      </c>
      <c r="O1206" s="8">
        <v>27.36</v>
      </c>
      <c r="P1206" s="8">
        <v>1.37</v>
      </c>
      <c r="Q1206" s="10">
        <v>20</v>
      </c>
      <c r="R1206" s="10">
        <v>0</v>
      </c>
      <c r="S1206" s="8">
        <v>48.73</v>
      </c>
      <c r="T1206">
        <v>41</v>
      </c>
      <c r="U1206" t="str">
        <f t="shared" si="18"/>
        <v>Sunday</v>
      </c>
    </row>
    <row r="1207" spans="1:21" x14ac:dyDescent="0.3">
      <c r="A1207" s="5" t="s">
        <v>3101</v>
      </c>
      <c r="B1207" s="3" t="s">
        <v>3701</v>
      </c>
      <c r="C1207" s="5" t="s">
        <v>63</v>
      </c>
      <c r="D1207" s="5" t="s">
        <v>21</v>
      </c>
      <c r="E1207" s="5" t="s">
        <v>112</v>
      </c>
      <c r="F1207" s="5" t="s">
        <v>23</v>
      </c>
      <c r="G1207" t="s">
        <v>3102</v>
      </c>
      <c r="H1207" s="5" t="s">
        <v>3677</v>
      </c>
      <c r="I1207" s="5" t="s">
        <v>65</v>
      </c>
      <c r="J1207" s="5" t="s">
        <v>66</v>
      </c>
      <c r="K1207" s="5" t="s">
        <v>145</v>
      </c>
      <c r="L1207">
        <v>1</v>
      </c>
      <c r="M1207">
        <v>130.24</v>
      </c>
      <c r="N1207" s="8">
        <v>13.02</v>
      </c>
      <c r="O1207" s="8">
        <v>117.22</v>
      </c>
      <c r="P1207" s="8">
        <v>5.86</v>
      </c>
      <c r="Q1207" s="10">
        <v>10</v>
      </c>
      <c r="R1207" s="10">
        <v>5</v>
      </c>
      <c r="S1207" s="8">
        <v>138.08000000000001</v>
      </c>
      <c r="T1207">
        <v>24.67</v>
      </c>
      <c r="U1207" t="str">
        <f t="shared" si="18"/>
        <v>Tuesday</v>
      </c>
    </row>
    <row r="1208" spans="1:21" x14ac:dyDescent="0.3">
      <c r="A1208" s="5" t="s">
        <v>3103</v>
      </c>
      <c r="B1208" s="3" t="s">
        <v>3694</v>
      </c>
      <c r="C1208" s="5" t="s">
        <v>68</v>
      </c>
      <c r="D1208" s="5" t="s">
        <v>21</v>
      </c>
      <c r="E1208" s="5" t="s">
        <v>112</v>
      </c>
      <c r="F1208" s="5" t="s">
        <v>37</v>
      </c>
      <c r="G1208" t="s">
        <v>3104</v>
      </c>
      <c r="H1208" s="5" t="s">
        <v>3677</v>
      </c>
      <c r="I1208" s="5" t="s">
        <v>71</v>
      </c>
      <c r="J1208" s="5" t="s">
        <v>72</v>
      </c>
      <c r="K1208" s="5" t="s">
        <v>28</v>
      </c>
      <c r="L1208">
        <v>2</v>
      </c>
      <c r="M1208">
        <v>56.19</v>
      </c>
      <c r="N1208" s="8">
        <v>8.43</v>
      </c>
      <c r="O1208" s="8">
        <v>103.95</v>
      </c>
      <c r="P1208" s="8">
        <v>5.2</v>
      </c>
      <c r="Q1208" s="10">
        <v>20</v>
      </c>
      <c r="R1208" s="10">
        <v>0</v>
      </c>
      <c r="S1208" s="8">
        <v>129.15</v>
      </c>
      <c r="T1208">
        <v>3</v>
      </c>
      <c r="U1208" t="str">
        <f t="shared" si="18"/>
        <v>Thursday</v>
      </c>
    </row>
    <row r="1209" spans="1:21" x14ac:dyDescent="0.3">
      <c r="A1209" s="5" t="s">
        <v>3105</v>
      </c>
      <c r="B1209" s="3" t="s">
        <v>3684</v>
      </c>
      <c r="C1209" s="5" t="s">
        <v>75</v>
      </c>
      <c r="D1209" s="5" t="s">
        <v>21</v>
      </c>
      <c r="E1209" s="5" t="s">
        <v>76</v>
      </c>
      <c r="F1209" s="5" t="s">
        <v>37</v>
      </c>
      <c r="G1209" t="s">
        <v>3106</v>
      </c>
      <c r="H1209" s="5" t="s">
        <v>3676</v>
      </c>
      <c r="I1209" s="5" t="s">
        <v>78</v>
      </c>
      <c r="J1209" s="5" t="s">
        <v>79</v>
      </c>
      <c r="K1209" s="5" t="s">
        <v>34</v>
      </c>
      <c r="L1209">
        <v>1</v>
      </c>
      <c r="M1209">
        <v>103.73</v>
      </c>
      <c r="N1209" s="8">
        <v>5.19</v>
      </c>
      <c r="O1209" s="8">
        <v>98.54</v>
      </c>
      <c r="P1209" s="8">
        <v>4.93</v>
      </c>
      <c r="Q1209" s="10">
        <v>30</v>
      </c>
      <c r="R1209" s="10">
        <v>15</v>
      </c>
      <c r="S1209" s="8">
        <v>148.47</v>
      </c>
      <c r="T1209">
        <v>18</v>
      </c>
      <c r="U1209" t="str">
        <f t="shared" si="18"/>
        <v>Sunday</v>
      </c>
    </row>
    <row r="1210" spans="1:21" x14ac:dyDescent="0.3">
      <c r="A1210" s="5" t="s">
        <v>3107</v>
      </c>
      <c r="B1210" s="3" t="s">
        <v>3704</v>
      </c>
      <c r="C1210" s="5" t="s">
        <v>81</v>
      </c>
      <c r="D1210" s="5" t="s">
        <v>21</v>
      </c>
      <c r="E1210" s="5" t="s">
        <v>22</v>
      </c>
      <c r="F1210" s="5" t="s">
        <v>23</v>
      </c>
      <c r="G1210" t="s">
        <v>3108</v>
      </c>
      <c r="H1210" s="5" t="s">
        <v>3674</v>
      </c>
      <c r="I1210" s="5" t="s">
        <v>85</v>
      </c>
      <c r="J1210" s="5" t="s">
        <v>86</v>
      </c>
      <c r="K1210" s="5" t="s">
        <v>145</v>
      </c>
      <c r="L1210">
        <v>4</v>
      </c>
      <c r="M1210">
        <v>43.39</v>
      </c>
      <c r="N1210" s="8">
        <v>4.34</v>
      </c>
      <c r="O1210" s="8">
        <v>169.22</v>
      </c>
      <c r="P1210" s="8">
        <v>8.4600000000000009</v>
      </c>
      <c r="Q1210" s="10">
        <v>10</v>
      </c>
      <c r="R1210" s="10">
        <v>10</v>
      </c>
      <c r="S1210" s="8">
        <v>197.68</v>
      </c>
      <c r="T1210">
        <v>34</v>
      </c>
      <c r="U1210" t="str">
        <f t="shared" si="18"/>
        <v>Tuesday</v>
      </c>
    </row>
    <row r="1211" spans="1:21" x14ac:dyDescent="0.3">
      <c r="A1211" s="5" t="s">
        <v>3109</v>
      </c>
      <c r="B1211" s="3" t="s">
        <v>3731</v>
      </c>
      <c r="C1211" s="5" t="s">
        <v>88</v>
      </c>
      <c r="D1211" s="5" t="s">
        <v>21</v>
      </c>
      <c r="E1211" s="5" t="s">
        <v>36</v>
      </c>
      <c r="F1211" s="5" t="s">
        <v>23</v>
      </c>
      <c r="G1211" t="s">
        <v>3110</v>
      </c>
      <c r="H1211" s="5" t="s">
        <v>3673</v>
      </c>
      <c r="I1211" s="5" t="s">
        <v>90</v>
      </c>
      <c r="J1211" s="5" t="s">
        <v>91</v>
      </c>
      <c r="K1211" s="5" t="s">
        <v>196</v>
      </c>
      <c r="L1211">
        <v>1</v>
      </c>
      <c r="M1211">
        <v>41.69</v>
      </c>
      <c r="N1211" s="8">
        <v>0</v>
      </c>
      <c r="O1211" s="8">
        <v>41.69</v>
      </c>
      <c r="P1211" s="8">
        <v>2.08</v>
      </c>
      <c r="Q1211" s="10">
        <v>30</v>
      </c>
      <c r="R1211" s="10">
        <v>0</v>
      </c>
      <c r="S1211" s="8">
        <v>73.77</v>
      </c>
      <c r="T1211">
        <v>28</v>
      </c>
      <c r="U1211" t="str">
        <f t="shared" si="18"/>
        <v>Monday</v>
      </c>
    </row>
    <row r="1212" spans="1:21" x14ac:dyDescent="0.3">
      <c r="A1212" s="5" t="s">
        <v>3111</v>
      </c>
      <c r="B1212" s="3" t="s">
        <v>3712</v>
      </c>
      <c r="C1212" s="5" t="s">
        <v>93</v>
      </c>
      <c r="D1212" s="5" t="s">
        <v>21</v>
      </c>
      <c r="E1212" s="5" t="s">
        <v>112</v>
      </c>
      <c r="F1212" s="5" t="s">
        <v>37</v>
      </c>
      <c r="G1212" t="s">
        <v>3112</v>
      </c>
      <c r="H1212" s="5" t="s">
        <v>3676</v>
      </c>
      <c r="I1212" s="5" t="s">
        <v>95</v>
      </c>
      <c r="J1212" s="5" t="s">
        <v>96</v>
      </c>
      <c r="K1212" s="5" t="s">
        <v>40</v>
      </c>
      <c r="L1212">
        <v>3</v>
      </c>
      <c r="M1212">
        <v>141.93</v>
      </c>
      <c r="N1212" s="8">
        <v>21.29</v>
      </c>
      <c r="O1212" s="8">
        <v>404.5</v>
      </c>
      <c r="P1212" s="8">
        <v>20.23</v>
      </c>
      <c r="Q1212" s="10">
        <v>20</v>
      </c>
      <c r="R1212" s="10">
        <v>0</v>
      </c>
      <c r="S1212" s="8">
        <v>444.73</v>
      </c>
      <c r="T1212">
        <v>34</v>
      </c>
      <c r="U1212" t="str">
        <f t="shared" si="18"/>
        <v>Thursday</v>
      </c>
    </row>
    <row r="1213" spans="1:21" x14ac:dyDescent="0.3">
      <c r="A1213" s="5" t="s">
        <v>3113</v>
      </c>
      <c r="B1213" s="3" t="s">
        <v>3723</v>
      </c>
      <c r="C1213" s="5" t="s">
        <v>98</v>
      </c>
      <c r="D1213" s="5" t="s">
        <v>21</v>
      </c>
      <c r="E1213" s="5" t="s">
        <v>22</v>
      </c>
      <c r="F1213" s="5" t="s">
        <v>3671</v>
      </c>
      <c r="G1213" t="s">
        <v>3114</v>
      </c>
      <c r="H1213" s="5" t="s">
        <v>100</v>
      </c>
      <c r="I1213" s="5" t="s">
        <v>101</v>
      </c>
      <c r="J1213" s="5" t="s">
        <v>102</v>
      </c>
      <c r="K1213" s="5" t="s">
        <v>145</v>
      </c>
      <c r="L1213">
        <v>3</v>
      </c>
      <c r="M1213">
        <v>32.96</v>
      </c>
      <c r="N1213" s="8">
        <v>3.3</v>
      </c>
      <c r="O1213" s="8">
        <v>95.58</v>
      </c>
      <c r="P1213" s="8">
        <v>4.78</v>
      </c>
      <c r="Q1213" s="10">
        <v>30</v>
      </c>
      <c r="R1213" s="10">
        <v>20</v>
      </c>
      <c r="S1213" s="8">
        <v>150.36000000000001</v>
      </c>
      <c r="T1213">
        <v>24.67</v>
      </c>
      <c r="U1213" t="str">
        <f t="shared" si="18"/>
        <v>Monday</v>
      </c>
    </row>
    <row r="1214" spans="1:21" x14ac:dyDescent="0.3">
      <c r="A1214" s="5" t="s">
        <v>3115</v>
      </c>
      <c r="B1214" s="3" t="s">
        <v>3679</v>
      </c>
      <c r="C1214" s="5" t="s">
        <v>105</v>
      </c>
      <c r="D1214" s="5" t="s">
        <v>21</v>
      </c>
      <c r="E1214" s="5" t="s">
        <v>69</v>
      </c>
      <c r="F1214" s="5" t="s">
        <v>37</v>
      </c>
      <c r="G1214" t="s">
        <v>3116</v>
      </c>
      <c r="H1214" s="5" t="s">
        <v>25</v>
      </c>
      <c r="I1214" s="5" t="s">
        <v>108</v>
      </c>
      <c r="J1214" s="5" t="s">
        <v>109</v>
      </c>
      <c r="K1214" s="5" t="s">
        <v>40</v>
      </c>
      <c r="L1214">
        <v>1</v>
      </c>
      <c r="M1214">
        <v>255.79</v>
      </c>
      <c r="N1214" s="8">
        <v>38.369999999999997</v>
      </c>
      <c r="O1214" s="8">
        <v>217.42</v>
      </c>
      <c r="P1214" s="8">
        <v>10.87</v>
      </c>
      <c r="Q1214" s="10">
        <v>30</v>
      </c>
      <c r="R1214" s="10">
        <v>0</v>
      </c>
      <c r="S1214" s="8">
        <v>258.29000000000002</v>
      </c>
      <c r="T1214">
        <v>31</v>
      </c>
      <c r="U1214" t="str">
        <f t="shared" si="18"/>
        <v>Friday</v>
      </c>
    </row>
    <row r="1215" spans="1:21" x14ac:dyDescent="0.3">
      <c r="A1215" s="5" t="s">
        <v>3117</v>
      </c>
      <c r="B1215" s="3" t="s">
        <v>3719</v>
      </c>
      <c r="C1215" s="5" t="s">
        <v>111</v>
      </c>
      <c r="D1215" s="5" t="s">
        <v>21</v>
      </c>
      <c r="E1215" s="5" t="s">
        <v>76</v>
      </c>
      <c r="F1215" s="5" t="s">
        <v>23</v>
      </c>
      <c r="G1215" t="s">
        <v>3118</v>
      </c>
      <c r="H1215" s="5" t="s">
        <v>3673</v>
      </c>
      <c r="I1215" s="5" t="s">
        <v>114</v>
      </c>
      <c r="J1215" s="5" t="s">
        <v>115</v>
      </c>
      <c r="K1215" s="5" t="s">
        <v>28</v>
      </c>
      <c r="L1215">
        <v>3</v>
      </c>
      <c r="M1215">
        <v>182.03</v>
      </c>
      <c r="N1215" s="8">
        <v>9.1</v>
      </c>
      <c r="O1215" s="8">
        <v>536.99</v>
      </c>
      <c r="P1215" s="8">
        <v>26.85</v>
      </c>
      <c r="Q1215" s="10">
        <v>20</v>
      </c>
      <c r="R1215" s="10">
        <v>5</v>
      </c>
      <c r="S1215" s="8">
        <v>588.84</v>
      </c>
      <c r="T1215">
        <v>20</v>
      </c>
      <c r="U1215" t="str">
        <f t="shared" si="18"/>
        <v>Sunday</v>
      </c>
    </row>
    <row r="1216" spans="1:21" x14ac:dyDescent="0.3">
      <c r="A1216" s="5" t="s">
        <v>3119</v>
      </c>
      <c r="B1216" s="3" t="s">
        <v>3726</v>
      </c>
      <c r="C1216" s="5" t="s">
        <v>117</v>
      </c>
      <c r="D1216" s="5" t="s">
        <v>21</v>
      </c>
      <c r="E1216" s="5" t="s">
        <v>22</v>
      </c>
      <c r="F1216" s="5" t="s">
        <v>37</v>
      </c>
      <c r="G1216" t="s">
        <v>3120</v>
      </c>
      <c r="H1216" s="5" t="s">
        <v>3673</v>
      </c>
      <c r="I1216" s="5" t="s">
        <v>119</v>
      </c>
      <c r="J1216" s="5" t="s">
        <v>120</v>
      </c>
      <c r="K1216" s="5" t="s">
        <v>28</v>
      </c>
      <c r="L1216">
        <v>2</v>
      </c>
      <c r="M1216">
        <v>74.97</v>
      </c>
      <c r="N1216" s="8">
        <v>11.25</v>
      </c>
      <c r="O1216" s="8">
        <v>138.69</v>
      </c>
      <c r="P1216" s="8">
        <v>6.93</v>
      </c>
      <c r="Q1216" s="10">
        <v>0</v>
      </c>
      <c r="R1216" s="10">
        <v>15</v>
      </c>
      <c r="S1216" s="8">
        <v>160.62</v>
      </c>
      <c r="T1216">
        <v>23</v>
      </c>
      <c r="U1216" t="str">
        <f t="shared" si="18"/>
        <v>Monday</v>
      </c>
    </row>
    <row r="1217" spans="1:21" x14ac:dyDescent="0.3">
      <c r="A1217" s="5" t="s">
        <v>3121</v>
      </c>
      <c r="B1217" s="3" t="s">
        <v>3703</v>
      </c>
      <c r="C1217" s="5" t="s">
        <v>122</v>
      </c>
      <c r="D1217" s="5" t="s">
        <v>21</v>
      </c>
      <c r="E1217" s="5" t="s">
        <v>76</v>
      </c>
      <c r="F1217" s="5" t="s">
        <v>37</v>
      </c>
      <c r="G1217" t="s">
        <v>3122</v>
      </c>
      <c r="H1217" s="5" t="s">
        <v>3674</v>
      </c>
      <c r="I1217" s="5" t="s">
        <v>124</v>
      </c>
      <c r="J1217" s="5" t="s">
        <v>125</v>
      </c>
      <c r="K1217" s="5" t="s">
        <v>73</v>
      </c>
      <c r="L1217">
        <v>2</v>
      </c>
      <c r="M1217">
        <v>76.59</v>
      </c>
      <c r="N1217" s="8">
        <v>7.66</v>
      </c>
      <c r="O1217" s="8">
        <v>145.52000000000001</v>
      </c>
      <c r="P1217" s="8">
        <v>7.28</v>
      </c>
      <c r="Q1217" s="10">
        <v>10</v>
      </c>
      <c r="R1217" s="10">
        <v>10</v>
      </c>
      <c r="S1217" s="8">
        <v>172.8</v>
      </c>
      <c r="T1217">
        <v>24</v>
      </c>
      <c r="U1217" t="str">
        <f t="shared" si="18"/>
        <v>Friday</v>
      </c>
    </row>
    <row r="1218" spans="1:21" x14ac:dyDescent="0.3">
      <c r="A1218" s="5" t="s">
        <v>3123</v>
      </c>
      <c r="B1218" s="3" t="s">
        <v>3736</v>
      </c>
      <c r="C1218" s="5" t="s">
        <v>127</v>
      </c>
      <c r="D1218" s="5" t="s">
        <v>21</v>
      </c>
      <c r="E1218" s="5" t="s">
        <v>76</v>
      </c>
      <c r="F1218" s="5" t="s">
        <v>42</v>
      </c>
      <c r="G1218" t="s">
        <v>3124</v>
      </c>
      <c r="H1218" s="5" t="s">
        <v>3673</v>
      </c>
      <c r="I1218" s="5" t="s">
        <v>129</v>
      </c>
      <c r="J1218" s="5" t="s">
        <v>130</v>
      </c>
      <c r="K1218" s="5" t="s">
        <v>34</v>
      </c>
      <c r="L1218">
        <v>3</v>
      </c>
      <c r="M1218">
        <v>125.04</v>
      </c>
      <c r="N1218" s="8">
        <v>6.25</v>
      </c>
      <c r="O1218" s="8">
        <v>368.87</v>
      </c>
      <c r="P1218" s="8">
        <v>18.440000000000001</v>
      </c>
      <c r="Q1218" s="10">
        <v>30</v>
      </c>
      <c r="R1218" s="10">
        <v>20</v>
      </c>
      <c r="S1218" s="8">
        <v>437.31</v>
      </c>
      <c r="T1218">
        <v>16</v>
      </c>
      <c r="U1218" t="str">
        <f t="shared" si="18"/>
        <v>Tuesday</v>
      </c>
    </row>
    <row r="1219" spans="1:21" x14ac:dyDescent="0.3">
      <c r="A1219" s="5" t="s">
        <v>3125</v>
      </c>
      <c r="B1219" s="3" t="s">
        <v>3703</v>
      </c>
      <c r="C1219" s="5" t="s">
        <v>132</v>
      </c>
      <c r="D1219" s="5" t="s">
        <v>21</v>
      </c>
      <c r="E1219" s="5" t="s">
        <v>112</v>
      </c>
      <c r="F1219" s="5" t="s">
        <v>37</v>
      </c>
      <c r="G1219" t="s">
        <v>3126</v>
      </c>
      <c r="H1219" s="5" t="s">
        <v>3673</v>
      </c>
      <c r="I1219" s="5" t="s">
        <v>133</v>
      </c>
      <c r="J1219" s="5" t="s">
        <v>134</v>
      </c>
      <c r="K1219" s="5" t="s">
        <v>45</v>
      </c>
      <c r="L1219">
        <v>2</v>
      </c>
      <c r="M1219">
        <v>51.13</v>
      </c>
      <c r="N1219" s="8">
        <v>7.67</v>
      </c>
      <c r="O1219" s="8">
        <v>94.59</v>
      </c>
      <c r="P1219" s="8">
        <v>4.7300000000000004</v>
      </c>
      <c r="Q1219" s="10">
        <v>0</v>
      </c>
      <c r="R1219" s="10">
        <v>10</v>
      </c>
      <c r="S1219" s="8">
        <v>109.32</v>
      </c>
      <c r="T1219">
        <v>32</v>
      </c>
      <c r="U1219" t="str">
        <f t="shared" ref="U1219:U1282" si="19">TEXT(B1219,"dddd")</f>
        <v>Friday</v>
      </c>
    </row>
    <row r="1220" spans="1:21" x14ac:dyDescent="0.3">
      <c r="A1220" s="5" t="s">
        <v>3127</v>
      </c>
      <c r="B1220" s="3" t="s">
        <v>3730</v>
      </c>
      <c r="C1220" s="5" t="s">
        <v>136</v>
      </c>
      <c r="D1220" s="5" t="s">
        <v>21</v>
      </c>
      <c r="E1220" s="5" t="s">
        <v>36</v>
      </c>
      <c r="F1220" s="5" t="s">
        <v>42</v>
      </c>
      <c r="G1220" t="s">
        <v>3128</v>
      </c>
      <c r="H1220" s="5" t="s">
        <v>3675</v>
      </c>
      <c r="I1220" s="5" t="s">
        <v>138</v>
      </c>
      <c r="J1220" s="5" t="s">
        <v>139</v>
      </c>
      <c r="K1220" s="5" t="s">
        <v>40</v>
      </c>
      <c r="L1220">
        <v>1</v>
      </c>
      <c r="M1220">
        <v>187.04</v>
      </c>
      <c r="N1220" s="8">
        <v>9.35</v>
      </c>
      <c r="O1220" s="8">
        <v>177.69</v>
      </c>
      <c r="P1220" s="8">
        <v>8.8800000000000008</v>
      </c>
      <c r="Q1220" s="10">
        <v>10</v>
      </c>
      <c r="R1220" s="10">
        <v>5</v>
      </c>
      <c r="S1220" s="8">
        <v>201.57</v>
      </c>
      <c r="T1220">
        <v>24</v>
      </c>
      <c r="U1220" t="str">
        <f t="shared" si="19"/>
        <v>Friday</v>
      </c>
    </row>
    <row r="1221" spans="1:21" x14ac:dyDescent="0.3">
      <c r="A1221" s="5" t="s">
        <v>3129</v>
      </c>
      <c r="B1221" s="3" t="s">
        <v>3723</v>
      </c>
      <c r="C1221" s="5" t="s">
        <v>141</v>
      </c>
      <c r="D1221" s="5" t="s">
        <v>21</v>
      </c>
      <c r="E1221" s="5" t="s">
        <v>22</v>
      </c>
      <c r="F1221" s="5" t="s">
        <v>23</v>
      </c>
      <c r="G1221" t="s">
        <v>3130</v>
      </c>
      <c r="H1221" s="5" t="s">
        <v>3673</v>
      </c>
      <c r="I1221" s="5" t="s">
        <v>143</v>
      </c>
      <c r="J1221" s="5" t="s">
        <v>144</v>
      </c>
      <c r="K1221" s="5" t="s">
        <v>73</v>
      </c>
      <c r="L1221">
        <v>3</v>
      </c>
      <c r="M1221">
        <v>157.72999999999999</v>
      </c>
      <c r="N1221" s="8">
        <v>23.66</v>
      </c>
      <c r="O1221" s="8">
        <v>449.52999999999992</v>
      </c>
      <c r="P1221" s="8">
        <v>22.48</v>
      </c>
      <c r="Q1221" s="10">
        <v>30</v>
      </c>
      <c r="R1221" s="10">
        <v>15</v>
      </c>
      <c r="S1221" s="8">
        <v>517.01</v>
      </c>
      <c r="T1221">
        <v>21</v>
      </c>
      <c r="U1221" t="str">
        <f t="shared" si="19"/>
        <v>Monday</v>
      </c>
    </row>
    <row r="1222" spans="1:21" x14ac:dyDescent="0.3">
      <c r="A1222" s="5" t="s">
        <v>3131</v>
      </c>
      <c r="B1222" s="3" t="s">
        <v>3712</v>
      </c>
      <c r="C1222" s="5" t="s">
        <v>147</v>
      </c>
      <c r="D1222" s="5" t="s">
        <v>82</v>
      </c>
      <c r="E1222" s="5" t="s">
        <v>83</v>
      </c>
      <c r="F1222" s="5" t="s">
        <v>37</v>
      </c>
      <c r="G1222" t="s">
        <v>3132</v>
      </c>
      <c r="H1222" s="5" t="s">
        <v>3673</v>
      </c>
      <c r="I1222" s="5" t="s">
        <v>149</v>
      </c>
      <c r="J1222" s="5" t="s">
        <v>150</v>
      </c>
      <c r="K1222" s="5" t="s">
        <v>103</v>
      </c>
      <c r="L1222">
        <v>1</v>
      </c>
      <c r="M1222">
        <v>219.49</v>
      </c>
      <c r="N1222" s="8">
        <v>32.92</v>
      </c>
      <c r="O1222" s="8">
        <v>186.57</v>
      </c>
      <c r="P1222" s="8">
        <v>9.33</v>
      </c>
      <c r="Q1222" s="10">
        <v>20</v>
      </c>
      <c r="R1222" s="10">
        <v>10</v>
      </c>
      <c r="S1222" s="8">
        <v>225.9</v>
      </c>
      <c r="T1222">
        <v>20</v>
      </c>
      <c r="U1222" t="str">
        <f t="shared" si="19"/>
        <v>Thursday</v>
      </c>
    </row>
    <row r="1223" spans="1:21" x14ac:dyDescent="0.3">
      <c r="A1223" s="5" t="s">
        <v>3133</v>
      </c>
      <c r="B1223" s="3" t="s">
        <v>3711</v>
      </c>
      <c r="C1223" s="5" t="s">
        <v>152</v>
      </c>
      <c r="D1223" s="5" t="s">
        <v>21</v>
      </c>
      <c r="E1223" s="5" t="s">
        <v>112</v>
      </c>
      <c r="F1223" s="5" t="s">
        <v>42</v>
      </c>
      <c r="G1223" t="s">
        <v>3134</v>
      </c>
      <c r="H1223" s="5" t="s">
        <v>25</v>
      </c>
      <c r="I1223" s="5" t="s">
        <v>154</v>
      </c>
      <c r="J1223" s="5" t="s">
        <v>155</v>
      </c>
      <c r="K1223" s="5" t="s">
        <v>28</v>
      </c>
      <c r="L1223">
        <v>1</v>
      </c>
      <c r="M1223">
        <v>42.99</v>
      </c>
      <c r="N1223" s="8">
        <v>2.15</v>
      </c>
      <c r="O1223" s="8">
        <v>40.840000000000003</v>
      </c>
      <c r="P1223" s="8">
        <v>2.04</v>
      </c>
      <c r="Q1223" s="10">
        <v>10</v>
      </c>
      <c r="R1223" s="10">
        <v>20</v>
      </c>
      <c r="S1223" s="8">
        <v>72.88</v>
      </c>
      <c r="T1223">
        <v>37</v>
      </c>
      <c r="U1223" t="str">
        <f t="shared" si="19"/>
        <v>Wednesday</v>
      </c>
    </row>
    <row r="1224" spans="1:21" x14ac:dyDescent="0.3">
      <c r="A1224" s="5" t="s">
        <v>3135</v>
      </c>
      <c r="B1224" s="3" t="s">
        <v>3698</v>
      </c>
      <c r="C1224" s="5" t="s">
        <v>157</v>
      </c>
      <c r="D1224" s="5" t="s">
        <v>21</v>
      </c>
      <c r="E1224" s="5" t="s">
        <v>76</v>
      </c>
      <c r="F1224" s="5" t="s">
        <v>23</v>
      </c>
      <c r="G1224" t="s">
        <v>3136</v>
      </c>
      <c r="H1224" s="5" t="s">
        <v>3674</v>
      </c>
      <c r="I1224" s="5" t="s">
        <v>159</v>
      </c>
      <c r="J1224" s="5" t="s">
        <v>160</v>
      </c>
      <c r="K1224" s="5" t="s">
        <v>45</v>
      </c>
      <c r="L1224">
        <v>1</v>
      </c>
      <c r="M1224">
        <v>242.03</v>
      </c>
      <c r="N1224" s="8">
        <v>24.2</v>
      </c>
      <c r="O1224" s="8">
        <v>217.83</v>
      </c>
      <c r="P1224" s="8">
        <v>10.89</v>
      </c>
      <c r="Q1224" s="10">
        <v>0</v>
      </c>
      <c r="R1224" s="10">
        <v>20</v>
      </c>
      <c r="S1224" s="8">
        <v>248.72</v>
      </c>
      <c r="T1224">
        <v>29</v>
      </c>
      <c r="U1224" t="str">
        <f t="shared" si="19"/>
        <v>Sunday</v>
      </c>
    </row>
    <row r="1225" spans="1:21" x14ac:dyDescent="0.3">
      <c r="A1225" s="5" t="s">
        <v>3137</v>
      </c>
      <c r="B1225" s="3" t="s">
        <v>3688</v>
      </c>
      <c r="C1225" s="5" t="s">
        <v>162</v>
      </c>
      <c r="D1225" s="5" t="s">
        <v>21</v>
      </c>
      <c r="E1225" s="5" t="s">
        <v>76</v>
      </c>
      <c r="F1225" s="5" t="s">
        <v>37</v>
      </c>
      <c r="G1225" t="s">
        <v>3138</v>
      </c>
      <c r="H1225" s="5" t="s">
        <v>3673</v>
      </c>
      <c r="I1225" s="5" t="s">
        <v>164</v>
      </c>
      <c r="J1225" s="5" t="s">
        <v>165</v>
      </c>
      <c r="K1225" s="5" t="s">
        <v>45</v>
      </c>
      <c r="L1225">
        <v>3</v>
      </c>
      <c r="M1225">
        <v>160.01</v>
      </c>
      <c r="N1225" s="8">
        <v>0</v>
      </c>
      <c r="O1225" s="8">
        <v>480.03</v>
      </c>
      <c r="P1225" s="8">
        <v>24</v>
      </c>
      <c r="Q1225" s="10">
        <v>20</v>
      </c>
      <c r="R1225" s="10">
        <v>0</v>
      </c>
      <c r="S1225" s="8">
        <v>524.03</v>
      </c>
      <c r="T1225">
        <v>23</v>
      </c>
      <c r="U1225" t="str">
        <f t="shared" si="19"/>
        <v>Saturday</v>
      </c>
    </row>
    <row r="1226" spans="1:21" x14ac:dyDescent="0.3">
      <c r="A1226" s="5" t="s">
        <v>3139</v>
      </c>
      <c r="B1226" s="3" t="s">
        <v>3692</v>
      </c>
      <c r="C1226" s="5" t="s">
        <v>167</v>
      </c>
      <c r="D1226" s="5" t="s">
        <v>21</v>
      </c>
      <c r="E1226" s="5" t="s">
        <v>22</v>
      </c>
      <c r="F1226" s="5" t="s">
        <v>23</v>
      </c>
      <c r="G1226" t="s">
        <v>3140</v>
      </c>
      <c r="H1226" s="5" t="s">
        <v>25</v>
      </c>
      <c r="I1226" s="5" t="s">
        <v>169</v>
      </c>
      <c r="J1226" s="5" t="s">
        <v>170</v>
      </c>
      <c r="K1226" s="5" t="s">
        <v>45</v>
      </c>
      <c r="L1226">
        <v>4</v>
      </c>
      <c r="M1226">
        <v>135.22</v>
      </c>
      <c r="N1226" s="8">
        <v>13.52</v>
      </c>
      <c r="O1226" s="8">
        <v>527.36</v>
      </c>
      <c r="P1226" s="8">
        <v>26.37</v>
      </c>
      <c r="Q1226" s="10">
        <v>10</v>
      </c>
      <c r="R1226" s="10">
        <v>20</v>
      </c>
      <c r="S1226" s="8">
        <v>583.73</v>
      </c>
      <c r="T1226">
        <v>27</v>
      </c>
      <c r="U1226" t="str">
        <f t="shared" si="19"/>
        <v>Wednesday</v>
      </c>
    </row>
    <row r="1227" spans="1:21" x14ac:dyDescent="0.3">
      <c r="A1227" s="5" t="s">
        <v>3141</v>
      </c>
      <c r="B1227" s="3" t="s">
        <v>3682</v>
      </c>
      <c r="C1227" s="5" t="s">
        <v>172</v>
      </c>
      <c r="D1227" s="5" t="s">
        <v>21</v>
      </c>
      <c r="E1227" s="5" t="s">
        <v>36</v>
      </c>
      <c r="F1227" s="5" t="s">
        <v>37</v>
      </c>
      <c r="G1227" t="s">
        <v>3142</v>
      </c>
      <c r="H1227" s="5" t="s">
        <v>3673</v>
      </c>
      <c r="I1227" s="5" t="s">
        <v>174</v>
      </c>
      <c r="J1227" s="5" t="s">
        <v>175</v>
      </c>
      <c r="K1227" s="5" t="s">
        <v>45</v>
      </c>
      <c r="L1227">
        <v>1</v>
      </c>
      <c r="M1227">
        <v>195.69</v>
      </c>
      <c r="N1227" s="8">
        <v>29.35</v>
      </c>
      <c r="O1227" s="8">
        <v>166.34</v>
      </c>
      <c r="P1227" s="8">
        <v>8.32</v>
      </c>
      <c r="Q1227" s="10">
        <v>0</v>
      </c>
      <c r="R1227" s="10">
        <v>20</v>
      </c>
      <c r="S1227" s="8">
        <v>194.66</v>
      </c>
      <c r="T1227">
        <v>15</v>
      </c>
      <c r="U1227" t="str">
        <f t="shared" si="19"/>
        <v>Tuesday</v>
      </c>
    </row>
    <row r="1228" spans="1:21" x14ac:dyDescent="0.3">
      <c r="A1228" s="5" t="s">
        <v>3143</v>
      </c>
      <c r="B1228" s="3" t="s">
        <v>3723</v>
      </c>
      <c r="C1228" s="5" t="s">
        <v>177</v>
      </c>
      <c r="D1228" s="5" t="s">
        <v>21</v>
      </c>
      <c r="E1228" s="5" t="s">
        <v>36</v>
      </c>
      <c r="F1228" s="5" t="s">
        <v>42</v>
      </c>
      <c r="G1228" t="s">
        <v>3144</v>
      </c>
      <c r="H1228" s="5" t="s">
        <v>25</v>
      </c>
      <c r="I1228" s="5" t="s">
        <v>179</v>
      </c>
      <c r="J1228" s="5" t="s">
        <v>180</v>
      </c>
      <c r="K1228" s="5" t="s">
        <v>56</v>
      </c>
      <c r="L1228">
        <v>2</v>
      </c>
      <c r="M1228">
        <v>206.33</v>
      </c>
      <c r="N1228" s="8">
        <v>20.63</v>
      </c>
      <c r="O1228" s="8">
        <v>392.03</v>
      </c>
      <c r="P1228" s="8">
        <v>19.600000000000001</v>
      </c>
      <c r="Q1228" s="10">
        <v>0</v>
      </c>
      <c r="R1228" s="10">
        <v>10</v>
      </c>
      <c r="S1228" s="8">
        <v>421.63000000000011</v>
      </c>
      <c r="T1228">
        <v>34</v>
      </c>
      <c r="U1228" t="str">
        <f t="shared" si="19"/>
        <v>Monday</v>
      </c>
    </row>
    <row r="1229" spans="1:21" x14ac:dyDescent="0.3">
      <c r="A1229" s="5" t="s">
        <v>3145</v>
      </c>
      <c r="B1229" s="3" t="s">
        <v>3723</v>
      </c>
      <c r="C1229" s="5" t="s">
        <v>182</v>
      </c>
      <c r="D1229" s="5" t="s">
        <v>82</v>
      </c>
      <c r="E1229" s="5" t="s">
        <v>83</v>
      </c>
      <c r="F1229" s="5" t="s">
        <v>37</v>
      </c>
      <c r="G1229" t="s">
        <v>3146</v>
      </c>
      <c r="H1229" s="5" t="s">
        <v>3673</v>
      </c>
      <c r="I1229" s="5" t="s">
        <v>184</v>
      </c>
      <c r="J1229" s="5" t="s">
        <v>185</v>
      </c>
      <c r="K1229" s="5" t="s">
        <v>45</v>
      </c>
      <c r="L1229">
        <v>6</v>
      </c>
      <c r="M1229">
        <v>84.85</v>
      </c>
      <c r="N1229" s="8">
        <v>4.24</v>
      </c>
      <c r="O1229" s="8">
        <v>504.86</v>
      </c>
      <c r="P1229" s="8">
        <v>25.24</v>
      </c>
      <c r="Q1229" s="10">
        <v>10</v>
      </c>
      <c r="R1229" s="10">
        <v>10</v>
      </c>
      <c r="S1229" s="8">
        <v>550.09999999999991</v>
      </c>
      <c r="T1229">
        <v>24.67</v>
      </c>
      <c r="U1229" t="str">
        <f t="shared" si="19"/>
        <v>Monday</v>
      </c>
    </row>
    <row r="1230" spans="1:21" x14ac:dyDescent="0.3">
      <c r="A1230" s="5" t="s">
        <v>3147</v>
      </c>
      <c r="B1230" s="3" t="s">
        <v>3710</v>
      </c>
      <c r="C1230" s="5" t="s">
        <v>187</v>
      </c>
      <c r="D1230" s="5" t="s">
        <v>21</v>
      </c>
      <c r="E1230" s="5" t="s">
        <v>36</v>
      </c>
      <c r="F1230" s="5" t="s">
        <v>42</v>
      </c>
      <c r="G1230" t="s">
        <v>3148</v>
      </c>
      <c r="H1230" s="5" t="s">
        <v>3675</v>
      </c>
      <c r="I1230" s="5" t="s">
        <v>189</v>
      </c>
      <c r="J1230" s="5" t="s">
        <v>190</v>
      </c>
      <c r="K1230" s="5" t="s">
        <v>34</v>
      </c>
      <c r="L1230">
        <v>2</v>
      </c>
      <c r="M1230">
        <v>128.97</v>
      </c>
      <c r="N1230" s="8">
        <v>6.45</v>
      </c>
      <c r="O1230" s="8">
        <v>251.49</v>
      </c>
      <c r="P1230" s="8">
        <v>12.57</v>
      </c>
      <c r="Q1230" s="10">
        <v>0</v>
      </c>
      <c r="R1230" s="10">
        <v>20</v>
      </c>
      <c r="S1230" s="8">
        <v>284.06</v>
      </c>
      <c r="T1230">
        <v>32</v>
      </c>
      <c r="U1230" t="str">
        <f t="shared" si="19"/>
        <v>Monday</v>
      </c>
    </row>
    <row r="1231" spans="1:21" x14ac:dyDescent="0.3">
      <c r="A1231" s="5" t="s">
        <v>3149</v>
      </c>
      <c r="B1231" s="3" t="s">
        <v>3729</v>
      </c>
      <c r="C1231" s="5" t="s">
        <v>192</v>
      </c>
      <c r="D1231" s="5" t="s">
        <v>82</v>
      </c>
      <c r="E1231" s="5" t="s">
        <v>83</v>
      </c>
      <c r="F1231" s="5" t="s">
        <v>23</v>
      </c>
      <c r="H1231" s="5" t="s">
        <v>3676</v>
      </c>
      <c r="I1231" s="5" t="s">
        <v>194</v>
      </c>
      <c r="J1231" s="5" t="s">
        <v>195</v>
      </c>
      <c r="K1231" s="5" t="s">
        <v>73</v>
      </c>
      <c r="L1231">
        <v>1</v>
      </c>
      <c r="M1231">
        <v>193.79</v>
      </c>
      <c r="N1231" s="8">
        <v>0</v>
      </c>
      <c r="O1231" s="8">
        <v>193.79</v>
      </c>
      <c r="P1231" s="8">
        <v>9.69</v>
      </c>
      <c r="Q1231" s="10">
        <v>0</v>
      </c>
      <c r="R1231" s="10">
        <v>20</v>
      </c>
      <c r="S1231" s="8">
        <v>223.48</v>
      </c>
      <c r="T1231">
        <v>24.67</v>
      </c>
      <c r="U1231" t="str">
        <f t="shared" si="19"/>
        <v>Monday</v>
      </c>
    </row>
    <row r="1232" spans="1:21" x14ac:dyDescent="0.3">
      <c r="A1232" s="5" t="s">
        <v>3150</v>
      </c>
      <c r="B1232" s="3" t="s">
        <v>3716</v>
      </c>
      <c r="C1232" s="5" t="s">
        <v>198</v>
      </c>
      <c r="D1232" s="5" t="s">
        <v>21</v>
      </c>
      <c r="E1232" s="5" t="s">
        <v>22</v>
      </c>
      <c r="F1232" s="5" t="s">
        <v>37</v>
      </c>
      <c r="G1232" t="s">
        <v>3151</v>
      </c>
      <c r="H1232" s="5" t="s">
        <v>3675</v>
      </c>
      <c r="I1232" s="5" t="s">
        <v>200</v>
      </c>
      <c r="J1232" s="5" t="s">
        <v>201</v>
      </c>
      <c r="K1232" s="5" t="s">
        <v>73</v>
      </c>
      <c r="L1232">
        <v>1</v>
      </c>
      <c r="M1232">
        <v>243.73</v>
      </c>
      <c r="N1232" s="8">
        <v>12.19</v>
      </c>
      <c r="O1232" s="8">
        <v>231.54</v>
      </c>
      <c r="P1232" s="8">
        <v>11.58</v>
      </c>
      <c r="Q1232" s="10">
        <v>0</v>
      </c>
      <c r="R1232" s="10">
        <v>15</v>
      </c>
      <c r="S1232" s="8">
        <v>258.12</v>
      </c>
      <c r="T1232">
        <v>26</v>
      </c>
      <c r="U1232" t="str">
        <f t="shared" si="19"/>
        <v>Saturday</v>
      </c>
    </row>
    <row r="1233" spans="1:21" x14ac:dyDescent="0.3">
      <c r="A1233" s="5" t="s">
        <v>3152</v>
      </c>
      <c r="B1233" s="3" t="s">
        <v>3695</v>
      </c>
      <c r="C1233" s="5" t="s">
        <v>203</v>
      </c>
      <c r="D1233" s="5" t="s">
        <v>21</v>
      </c>
      <c r="E1233" s="5" t="s">
        <v>112</v>
      </c>
      <c r="F1233" s="5" t="s">
        <v>42</v>
      </c>
      <c r="G1233" t="s">
        <v>3153</v>
      </c>
      <c r="H1233" s="5" t="s">
        <v>3675</v>
      </c>
      <c r="I1233" s="5" t="s">
        <v>205</v>
      </c>
      <c r="J1233" s="5" t="s">
        <v>206</v>
      </c>
      <c r="K1233" s="5" t="s">
        <v>45</v>
      </c>
      <c r="L1233">
        <v>1</v>
      </c>
      <c r="M1233">
        <v>82</v>
      </c>
      <c r="N1233" s="8">
        <v>12.3</v>
      </c>
      <c r="O1233" s="8">
        <v>69.7</v>
      </c>
      <c r="P1233" s="8">
        <v>3.49</v>
      </c>
      <c r="Q1233" s="10">
        <v>0</v>
      </c>
      <c r="R1233" s="10">
        <v>0</v>
      </c>
      <c r="S1233" s="8">
        <v>73.19</v>
      </c>
      <c r="T1233">
        <v>30</v>
      </c>
      <c r="U1233" t="str">
        <f t="shared" si="19"/>
        <v>Thursday</v>
      </c>
    </row>
    <row r="1234" spans="1:21" x14ac:dyDescent="0.3">
      <c r="A1234" s="5" t="s">
        <v>3154</v>
      </c>
      <c r="B1234" s="3" t="s">
        <v>3686</v>
      </c>
      <c r="C1234" s="5" t="s">
        <v>208</v>
      </c>
      <c r="D1234" s="5" t="s">
        <v>21</v>
      </c>
      <c r="E1234" s="5" t="s">
        <v>76</v>
      </c>
      <c r="F1234" s="5" t="s">
        <v>23</v>
      </c>
      <c r="G1234" t="s">
        <v>3155</v>
      </c>
      <c r="H1234" s="5" t="s">
        <v>3677</v>
      </c>
      <c r="I1234" s="5" t="s">
        <v>210</v>
      </c>
      <c r="J1234" s="5" t="s">
        <v>211</v>
      </c>
      <c r="K1234" s="5" t="s">
        <v>40</v>
      </c>
      <c r="L1234">
        <v>1</v>
      </c>
      <c r="M1234">
        <v>128.51</v>
      </c>
      <c r="N1234" s="8">
        <v>12.85</v>
      </c>
      <c r="O1234" s="8">
        <v>115.66</v>
      </c>
      <c r="P1234" s="8">
        <v>5.78</v>
      </c>
      <c r="Q1234" s="10">
        <v>20</v>
      </c>
      <c r="R1234" s="10">
        <v>0</v>
      </c>
      <c r="S1234" s="8">
        <v>141.44</v>
      </c>
      <c r="T1234">
        <v>27</v>
      </c>
      <c r="U1234" t="str">
        <f t="shared" si="19"/>
        <v>Saturday</v>
      </c>
    </row>
    <row r="1235" spans="1:21" x14ac:dyDescent="0.3">
      <c r="A1235" s="5" t="s">
        <v>3156</v>
      </c>
      <c r="B1235" s="3" t="s">
        <v>3695</v>
      </c>
      <c r="C1235" s="5" t="s">
        <v>213</v>
      </c>
      <c r="D1235" s="5" t="s">
        <v>21</v>
      </c>
      <c r="E1235" s="5" t="s">
        <v>76</v>
      </c>
      <c r="F1235" s="5" t="s">
        <v>42</v>
      </c>
      <c r="G1235" t="s">
        <v>3157</v>
      </c>
      <c r="H1235" s="5" t="s">
        <v>100</v>
      </c>
      <c r="I1235" s="5" t="s">
        <v>215</v>
      </c>
      <c r="J1235" s="5" t="s">
        <v>216</v>
      </c>
      <c r="K1235" s="5" t="s">
        <v>56</v>
      </c>
      <c r="L1235">
        <v>1</v>
      </c>
      <c r="M1235">
        <v>26.36</v>
      </c>
      <c r="N1235" s="8">
        <v>1.32</v>
      </c>
      <c r="O1235" s="8">
        <v>25.04</v>
      </c>
      <c r="P1235" s="8">
        <v>1.25</v>
      </c>
      <c r="Q1235" s="10">
        <v>30</v>
      </c>
      <c r="R1235" s="10">
        <v>5</v>
      </c>
      <c r="S1235" s="8">
        <v>61.29</v>
      </c>
      <c r="T1235">
        <v>24.67</v>
      </c>
      <c r="U1235" t="str">
        <f t="shared" si="19"/>
        <v>Thursday</v>
      </c>
    </row>
    <row r="1236" spans="1:21" x14ac:dyDescent="0.3">
      <c r="A1236" s="5" t="s">
        <v>3158</v>
      </c>
      <c r="B1236" s="3" t="s">
        <v>3728</v>
      </c>
      <c r="C1236" s="5" t="s">
        <v>218</v>
      </c>
      <c r="D1236" s="5" t="s">
        <v>21</v>
      </c>
      <c r="E1236" s="5" t="s">
        <v>76</v>
      </c>
      <c r="F1236" s="5" t="s">
        <v>23</v>
      </c>
      <c r="G1236" t="s">
        <v>3159</v>
      </c>
      <c r="H1236" s="5" t="s">
        <v>3677</v>
      </c>
      <c r="I1236" s="5" t="s">
        <v>220</v>
      </c>
      <c r="J1236" s="5" t="s">
        <v>221</v>
      </c>
      <c r="K1236" s="5" t="s">
        <v>40</v>
      </c>
      <c r="L1236">
        <v>6</v>
      </c>
      <c r="M1236">
        <v>106.51</v>
      </c>
      <c r="N1236" s="8">
        <v>15.98</v>
      </c>
      <c r="O1236" s="8">
        <v>623.08000000000004</v>
      </c>
      <c r="P1236" s="8">
        <v>31.15</v>
      </c>
      <c r="Q1236" s="10">
        <v>10</v>
      </c>
      <c r="R1236" s="10">
        <v>15</v>
      </c>
      <c r="S1236" s="8">
        <v>679.23</v>
      </c>
      <c r="T1236">
        <v>24.67</v>
      </c>
      <c r="U1236" t="str">
        <f t="shared" si="19"/>
        <v>Friday</v>
      </c>
    </row>
    <row r="1237" spans="1:21" x14ac:dyDescent="0.3">
      <c r="A1237" s="5" t="s">
        <v>3160</v>
      </c>
      <c r="B1237" s="3" t="s">
        <v>3687</v>
      </c>
      <c r="C1237" s="5" t="s">
        <v>223</v>
      </c>
      <c r="D1237" s="5" t="s">
        <v>21</v>
      </c>
      <c r="E1237" s="5" t="s">
        <v>76</v>
      </c>
      <c r="F1237" s="5" t="s">
        <v>37</v>
      </c>
      <c r="G1237" t="s">
        <v>3161</v>
      </c>
      <c r="H1237" s="5" t="s">
        <v>3677</v>
      </c>
      <c r="I1237" s="5" t="s">
        <v>225</v>
      </c>
      <c r="J1237" s="5" t="s">
        <v>226</v>
      </c>
      <c r="K1237" s="5" t="s">
        <v>145</v>
      </c>
      <c r="L1237">
        <v>1</v>
      </c>
      <c r="M1237">
        <v>199.25</v>
      </c>
      <c r="N1237" s="8">
        <v>0</v>
      </c>
      <c r="O1237" s="8">
        <v>199.25</v>
      </c>
      <c r="P1237" s="8">
        <v>9.9600000000000009</v>
      </c>
      <c r="Q1237" s="10">
        <v>0</v>
      </c>
      <c r="R1237" s="10">
        <v>20</v>
      </c>
      <c r="S1237" s="8">
        <v>229.21</v>
      </c>
      <c r="T1237">
        <v>26</v>
      </c>
      <c r="U1237" t="str">
        <f t="shared" si="19"/>
        <v>Friday</v>
      </c>
    </row>
    <row r="1238" spans="1:21" x14ac:dyDescent="0.3">
      <c r="A1238" s="5" t="s">
        <v>3162</v>
      </c>
      <c r="B1238" s="3" t="s">
        <v>3710</v>
      </c>
      <c r="C1238" s="5" t="s">
        <v>228</v>
      </c>
      <c r="D1238" s="5" t="s">
        <v>21</v>
      </c>
      <c r="E1238" s="5" t="s">
        <v>22</v>
      </c>
      <c r="F1238" s="5" t="s">
        <v>42</v>
      </c>
      <c r="G1238" t="s">
        <v>3163</v>
      </c>
      <c r="H1238" s="5" t="s">
        <v>25</v>
      </c>
      <c r="I1238" s="5" t="s">
        <v>230</v>
      </c>
      <c r="J1238" s="5" t="s">
        <v>231</v>
      </c>
      <c r="K1238" s="5" t="s">
        <v>45</v>
      </c>
      <c r="L1238">
        <v>4</v>
      </c>
      <c r="M1238">
        <v>177.48</v>
      </c>
      <c r="N1238" s="8">
        <v>0</v>
      </c>
      <c r="O1238" s="8">
        <v>709.92</v>
      </c>
      <c r="P1238" s="8">
        <v>35.5</v>
      </c>
      <c r="Q1238" s="10">
        <v>20</v>
      </c>
      <c r="R1238" s="10">
        <v>5</v>
      </c>
      <c r="S1238" s="8">
        <v>770.42</v>
      </c>
      <c r="T1238">
        <v>20</v>
      </c>
      <c r="U1238" t="str">
        <f t="shared" si="19"/>
        <v>Monday</v>
      </c>
    </row>
    <row r="1239" spans="1:21" x14ac:dyDescent="0.3">
      <c r="A1239" s="5" t="s">
        <v>3164</v>
      </c>
      <c r="B1239" s="3" t="s">
        <v>3714</v>
      </c>
      <c r="C1239" s="5" t="s">
        <v>233</v>
      </c>
      <c r="D1239" s="5" t="s">
        <v>21</v>
      </c>
      <c r="E1239" s="5" t="s">
        <v>22</v>
      </c>
      <c r="F1239" s="5" t="s">
        <v>37</v>
      </c>
      <c r="H1239" s="5" t="s">
        <v>3673</v>
      </c>
      <c r="I1239" s="5" t="s">
        <v>235</v>
      </c>
      <c r="J1239" s="5" t="s">
        <v>236</v>
      </c>
      <c r="K1239" s="5" t="s">
        <v>196</v>
      </c>
      <c r="L1239">
        <v>6</v>
      </c>
      <c r="M1239">
        <v>143.91</v>
      </c>
      <c r="N1239" s="8">
        <v>0</v>
      </c>
      <c r="O1239" s="8">
        <v>863.46</v>
      </c>
      <c r="P1239" s="8">
        <v>43.17</v>
      </c>
      <c r="Q1239" s="10">
        <v>30</v>
      </c>
      <c r="R1239" s="10">
        <v>0</v>
      </c>
      <c r="S1239" s="8">
        <v>936.63</v>
      </c>
      <c r="T1239">
        <v>16</v>
      </c>
      <c r="U1239" t="str">
        <f t="shared" si="19"/>
        <v>Thursday</v>
      </c>
    </row>
    <row r="1240" spans="1:21" x14ac:dyDescent="0.3">
      <c r="A1240" s="5" t="s">
        <v>3165</v>
      </c>
      <c r="B1240" s="3" t="s">
        <v>3710</v>
      </c>
      <c r="C1240" s="5" t="s">
        <v>238</v>
      </c>
      <c r="D1240" s="5" t="s">
        <v>21</v>
      </c>
      <c r="E1240" s="5" t="s">
        <v>112</v>
      </c>
      <c r="F1240" s="5" t="s">
        <v>23</v>
      </c>
      <c r="G1240" t="s">
        <v>3166</v>
      </c>
      <c r="H1240" s="5" t="s">
        <v>3673</v>
      </c>
      <c r="I1240" s="5" t="s">
        <v>240</v>
      </c>
      <c r="J1240" s="5" t="s">
        <v>241</v>
      </c>
      <c r="K1240" s="5" t="s">
        <v>73</v>
      </c>
      <c r="L1240">
        <v>7</v>
      </c>
      <c r="M1240">
        <v>66.760000000000005</v>
      </c>
      <c r="N1240" s="8">
        <v>3.34</v>
      </c>
      <c r="O1240" s="8">
        <v>463.98000000000008</v>
      </c>
      <c r="P1240" s="8">
        <v>23.2</v>
      </c>
      <c r="Q1240" s="10">
        <v>10</v>
      </c>
      <c r="R1240" s="10">
        <v>0</v>
      </c>
      <c r="S1240" s="8">
        <v>497.18000000000012</v>
      </c>
      <c r="T1240">
        <v>23</v>
      </c>
      <c r="U1240" t="str">
        <f t="shared" si="19"/>
        <v>Monday</v>
      </c>
    </row>
    <row r="1241" spans="1:21" x14ac:dyDescent="0.3">
      <c r="A1241" s="5" t="s">
        <v>3167</v>
      </c>
      <c r="B1241" s="3" t="s">
        <v>3691</v>
      </c>
      <c r="C1241" s="5" t="s">
        <v>243</v>
      </c>
      <c r="D1241" s="5" t="s">
        <v>106</v>
      </c>
      <c r="E1241" s="5" t="s">
        <v>83</v>
      </c>
      <c r="F1241" s="5" t="s">
        <v>37</v>
      </c>
      <c r="G1241" t="s">
        <v>3168</v>
      </c>
      <c r="H1241" s="5" t="s">
        <v>100</v>
      </c>
      <c r="I1241" s="5" t="s">
        <v>245</v>
      </c>
      <c r="J1241" s="5" t="s">
        <v>246</v>
      </c>
      <c r="K1241" s="5" t="s">
        <v>145</v>
      </c>
      <c r="L1241">
        <v>1</v>
      </c>
      <c r="M1241">
        <v>150.80000000000001</v>
      </c>
      <c r="N1241" s="8">
        <v>7.54</v>
      </c>
      <c r="O1241" s="8">
        <v>143.26</v>
      </c>
      <c r="P1241" s="8">
        <v>7.16</v>
      </c>
      <c r="Q1241" s="10">
        <v>10</v>
      </c>
      <c r="R1241" s="10">
        <v>15</v>
      </c>
      <c r="S1241" s="8">
        <v>175.42</v>
      </c>
      <c r="T1241">
        <v>11</v>
      </c>
      <c r="U1241" t="str">
        <f t="shared" si="19"/>
        <v>Friday</v>
      </c>
    </row>
    <row r="1242" spans="1:21" x14ac:dyDescent="0.3">
      <c r="A1242" s="5" t="s">
        <v>3169</v>
      </c>
      <c r="B1242" s="3" t="s">
        <v>3709</v>
      </c>
      <c r="C1242" s="5" t="s">
        <v>248</v>
      </c>
      <c r="D1242" s="5" t="s">
        <v>21</v>
      </c>
      <c r="E1242" s="5" t="s">
        <v>69</v>
      </c>
      <c r="F1242" s="5" t="s">
        <v>37</v>
      </c>
      <c r="G1242" t="s">
        <v>3170</v>
      </c>
      <c r="H1242" s="5" t="s">
        <v>25</v>
      </c>
      <c r="I1242" s="5" t="s">
        <v>250</v>
      </c>
      <c r="J1242" s="5" t="s">
        <v>251</v>
      </c>
      <c r="K1242" s="5" t="s">
        <v>73</v>
      </c>
      <c r="L1242">
        <v>1</v>
      </c>
      <c r="M1242">
        <v>26.47</v>
      </c>
      <c r="N1242" s="8">
        <v>2.65</v>
      </c>
      <c r="O1242" s="8">
        <v>23.82</v>
      </c>
      <c r="P1242" s="8">
        <v>1.19</v>
      </c>
      <c r="Q1242" s="10">
        <v>20</v>
      </c>
      <c r="R1242" s="10">
        <v>20</v>
      </c>
      <c r="S1242" s="8">
        <v>65.010000000000005</v>
      </c>
      <c r="T1242">
        <v>16</v>
      </c>
      <c r="U1242" t="str">
        <f t="shared" si="19"/>
        <v>Thursday</v>
      </c>
    </row>
    <row r="1243" spans="1:21" x14ac:dyDescent="0.3">
      <c r="A1243" s="5" t="s">
        <v>3171</v>
      </c>
      <c r="B1243" s="3" t="s">
        <v>3728</v>
      </c>
      <c r="C1243" s="5" t="s">
        <v>253</v>
      </c>
      <c r="D1243" s="5" t="s">
        <v>21</v>
      </c>
      <c r="E1243" s="5" t="s">
        <v>22</v>
      </c>
      <c r="F1243" s="5" t="s">
        <v>23</v>
      </c>
      <c r="G1243" t="s">
        <v>3172</v>
      </c>
      <c r="H1243" s="5" t="s">
        <v>3673</v>
      </c>
      <c r="I1243" s="5" t="s">
        <v>255</v>
      </c>
      <c r="J1243" s="5" t="s">
        <v>256</v>
      </c>
      <c r="K1243" s="5" t="s">
        <v>73</v>
      </c>
      <c r="L1243">
        <v>4</v>
      </c>
      <c r="M1243">
        <v>95.95</v>
      </c>
      <c r="N1243" s="8">
        <v>9.6</v>
      </c>
      <c r="O1243" s="8">
        <v>374.2</v>
      </c>
      <c r="P1243" s="8">
        <v>18.71</v>
      </c>
      <c r="Q1243" s="10">
        <v>30</v>
      </c>
      <c r="R1243" s="10">
        <v>20</v>
      </c>
      <c r="S1243" s="8">
        <v>442.91</v>
      </c>
      <c r="T1243">
        <v>24.67</v>
      </c>
      <c r="U1243" t="str">
        <f t="shared" si="19"/>
        <v>Friday</v>
      </c>
    </row>
    <row r="1244" spans="1:21" x14ac:dyDescent="0.3">
      <c r="A1244" s="5" t="s">
        <v>3173</v>
      </c>
      <c r="B1244" s="3" t="s">
        <v>3690</v>
      </c>
      <c r="C1244" s="5" t="s">
        <v>258</v>
      </c>
      <c r="D1244" s="5" t="s">
        <v>106</v>
      </c>
      <c r="E1244" s="5" t="s">
        <v>83</v>
      </c>
      <c r="F1244" s="5" t="s">
        <v>42</v>
      </c>
      <c r="G1244" t="s">
        <v>3174</v>
      </c>
      <c r="H1244" s="5" t="s">
        <v>3673</v>
      </c>
      <c r="I1244" s="5" t="s">
        <v>260</v>
      </c>
      <c r="J1244" s="5" t="s">
        <v>261</v>
      </c>
      <c r="K1244" s="5" t="s">
        <v>45</v>
      </c>
      <c r="L1244">
        <v>4</v>
      </c>
      <c r="M1244">
        <v>91.99</v>
      </c>
      <c r="N1244" s="8">
        <v>4.5999999999999996</v>
      </c>
      <c r="O1244" s="8">
        <v>363.36</v>
      </c>
      <c r="P1244" s="8">
        <v>18.170000000000002</v>
      </c>
      <c r="Q1244" s="10">
        <v>20</v>
      </c>
      <c r="R1244" s="10">
        <v>0</v>
      </c>
      <c r="S1244" s="8">
        <v>401.53</v>
      </c>
      <c r="T1244">
        <v>10</v>
      </c>
      <c r="U1244" t="str">
        <f t="shared" si="19"/>
        <v>Sunday</v>
      </c>
    </row>
    <row r="1245" spans="1:21" x14ac:dyDescent="0.3">
      <c r="A1245" s="5" t="s">
        <v>3175</v>
      </c>
      <c r="B1245" s="3" t="s">
        <v>3712</v>
      </c>
      <c r="C1245" s="5" t="s">
        <v>263</v>
      </c>
      <c r="D1245" s="5" t="s">
        <v>106</v>
      </c>
      <c r="E1245" s="5" t="s">
        <v>83</v>
      </c>
      <c r="F1245" s="5" t="s">
        <v>23</v>
      </c>
      <c r="G1245" t="s">
        <v>3176</v>
      </c>
      <c r="H1245" s="5" t="s">
        <v>3673</v>
      </c>
      <c r="I1245" s="5" t="s">
        <v>265</v>
      </c>
      <c r="J1245" s="5" t="s">
        <v>266</v>
      </c>
      <c r="K1245" s="5" t="s">
        <v>28</v>
      </c>
      <c r="L1245">
        <v>1</v>
      </c>
      <c r="M1245">
        <v>95.95</v>
      </c>
      <c r="N1245" s="8">
        <v>9.6</v>
      </c>
      <c r="O1245" s="8">
        <v>86.350000000000009</v>
      </c>
      <c r="P1245" s="8">
        <v>4.32</v>
      </c>
      <c r="Q1245" s="10">
        <v>0</v>
      </c>
      <c r="R1245" s="10">
        <v>0</v>
      </c>
      <c r="S1245" s="8">
        <v>90.670000000000016</v>
      </c>
      <c r="T1245">
        <v>4</v>
      </c>
      <c r="U1245" t="str">
        <f t="shared" si="19"/>
        <v>Thursday</v>
      </c>
    </row>
    <row r="1246" spans="1:21" x14ac:dyDescent="0.3">
      <c r="A1246" s="5" t="s">
        <v>3177</v>
      </c>
      <c r="B1246" s="3" t="s">
        <v>3689</v>
      </c>
      <c r="C1246" s="5" t="s">
        <v>268</v>
      </c>
      <c r="D1246" s="5" t="s">
        <v>21</v>
      </c>
      <c r="E1246" s="5" t="s">
        <v>69</v>
      </c>
      <c r="F1246" s="5" t="s">
        <v>37</v>
      </c>
      <c r="G1246" t="s">
        <v>3178</v>
      </c>
      <c r="H1246" s="5" t="s">
        <v>3677</v>
      </c>
      <c r="I1246" s="5" t="s">
        <v>270</v>
      </c>
      <c r="J1246" s="5" t="s">
        <v>271</v>
      </c>
      <c r="K1246" s="5" t="s">
        <v>196</v>
      </c>
      <c r="L1246">
        <v>4</v>
      </c>
      <c r="M1246">
        <v>195.15</v>
      </c>
      <c r="N1246" s="8">
        <v>19.52</v>
      </c>
      <c r="O1246" s="8">
        <v>761.08</v>
      </c>
      <c r="P1246" s="8">
        <v>38.049999999999997</v>
      </c>
      <c r="Q1246" s="10">
        <v>10</v>
      </c>
      <c r="R1246" s="10">
        <v>0</v>
      </c>
      <c r="S1246" s="8">
        <v>809.13</v>
      </c>
      <c r="T1246">
        <v>17</v>
      </c>
      <c r="U1246" t="str">
        <f t="shared" si="19"/>
        <v>Wednesday</v>
      </c>
    </row>
    <row r="1247" spans="1:21" x14ac:dyDescent="0.3">
      <c r="A1247" s="5" t="s">
        <v>3179</v>
      </c>
      <c r="B1247" s="3" t="s">
        <v>3687</v>
      </c>
      <c r="C1247" s="5" t="s">
        <v>273</v>
      </c>
      <c r="D1247" s="5" t="s">
        <v>21</v>
      </c>
      <c r="E1247" s="5" t="s">
        <v>22</v>
      </c>
      <c r="F1247" s="5" t="s">
        <v>23</v>
      </c>
      <c r="H1247" s="5" t="s">
        <v>3673</v>
      </c>
      <c r="I1247" s="5" t="s">
        <v>275</v>
      </c>
      <c r="J1247" s="5" t="s">
        <v>276</v>
      </c>
      <c r="K1247" s="5" t="s">
        <v>22</v>
      </c>
      <c r="L1247">
        <v>1</v>
      </c>
      <c r="M1247">
        <v>190.16</v>
      </c>
      <c r="N1247" s="8">
        <v>9.51</v>
      </c>
      <c r="O1247" s="8">
        <v>180.65</v>
      </c>
      <c r="P1247" s="8">
        <v>9.0299999999999994</v>
      </c>
      <c r="Q1247" s="10">
        <v>10</v>
      </c>
      <c r="R1247" s="10">
        <v>0</v>
      </c>
      <c r="S1247" s="8">
        <v>199.68</v>
      </c>
      <c r="T1247">
        <v>24.67</v>
      </c>
      <c r="U1247" t="str">
        <f t="shared" si="19"/>
        <v>Friday</v>
      </c>
    </row>
    <row r="1248" spans="1:21" x14ac:dyDescent="0.3">
      <c r="A1248" s="5" t="s">
        <v>3180</v>
      </c>
      <c r="B1248" s="3" t="s">
        <v>3728</v>
      </c>
      <c r="C1248" s="5" t="s">
        <v>278</v>
      </c>
      <c r="D1248" s="5" t="s">
        <v>21</v>
      </c>
      <c r="E1248" s="5" t="s">
        <v>22</v>
      </c>
      <c r="F1248" s="5" t="s">
        <v>23</v>
      </c>
      <c r="G1248" t="s">
        <v>3181</v>
      </c>
      <c r="H1248" s="5" t="s">
        <v>3677</v>
      </c>
      <c r="I1248" s="5" t="s">
        <v>280</v>
      </c>
      <c r="J1248" s="5" t="s">
        <v>281</v>
      </c>
      <c r="K1248" s="5" t="s">
        <v>22</v>
      </c>
      <c r="L1248">
        <v>5</v>
      </c>
      <c r="M1248">
        <v>91.98</v>
      </c>
      <c r="N1248" s="8">
        <v>0</v>
      </c>
      <c r="O1248" s="8">
        <v>459.9</v>
      </c>
      <c r="P1248" s="8">
        <v>23</v>
      </c>
      <c r="Q1248" s="10">
        <v>0</v>
      </c>
      <c r="R1248" s="10">
        <v>10</v>
      </c>
      <c r="S1248" s="8">
        <v>492.9</v>
      </c>
      <c r="T1248">
        <v>35</v>
      </c>
      <c r="U1248" t="str">
        <f t="shared" si="19"/>
        <v>Friday</v>
      </c>
    </row>
    <row r="1249" spans="1:21" x14ac:dyDescent="0.3">
      <c r="A1249" s="5" t="s">
        <v>3182</v>
      </c>
      <c r="B1249" s="3" t="s">
        <v>3723</v>
      </c>
      <c r="C1249" s="5" t="s">
        <v>283</v>
      </c>
      <c r="D1249" s="5" t="s">
        <v>21</v>
      </c>
      <c r="E1249" s="5" t="s">
        <v>112</v>
      </c>
      <c r="F1249" s="5" t="s">
        <v>23</v>
      </c>
      <c r="G1249" t="s">
        <v>3183</v>
      </c>
      <c r="H1249" s="5" t="s">
        <v>100</v>
      </c>
      <c r="I1249" s="5" t="s">
        <v>285</v>
      </c>
      <c r="J1249" s="5" t="s">
        <v>286</v>
      </c>
      <c r="K1249" s="5" t="s">
        <v>34</v>
      </c>
      <c r="L1249">
        <v>1</v>
      </c>
      <c r="M1249">
        <v>236.38</v>
      </c>
      <c r="N1249" s="8">
        <v>23.64</v>
      </c>
      <c r="O1249" s="8">
        <v>212.74</v>
      </c>
      <c r="P1249" s="8">
        <v>10.64</v>
      </c>
      <c r="Q1249" s="10">
        <v>30</v>
      </c>
      <c r="R1249" s="10">
        <v>5</v>
      </c>
      <c r="S1249" s="8">
        <v>258.38</v>
      </c>
      <c r="T1249">
        <v>24.67</v>
      </c>
      <c r="U1249" t="str">
        <f t="shared" si="19"/>
        <v>Monday</v>
      </c>
    </row>
    <row r="1250" spans="1:21" x14ac:dyDescent="0.3">
      <c r="A1250" s="5" t="s">
        <v>3184</v>
      </c>
      <c r="B1250" s="3" t="s">
        <v>3693</v>
      </c>
      <c r="C1250" s="5" t="s">
        <v>288</v>
      </c>
      <c r="D1250" s="5" t="s">
        <v>21</v>
      </c>
      <c r="E1250" s="5" t="s">
        <v>22</v>
      </c>
      <c r="F1250" s="5" t="s">
        <v>42</v>
      </c>
      <c r="G1250" t="s">
        <v>3185</v>
      </c>
      <c r="H1250" s="5" t="s">
        <v>3673</v>
      </c>
      <c r="I1250" s="5" t="s">
        <v>290</v>
      </c>
      <c r="J1250" s="5" t="s">
        <v>291</v>
      </c>
      <c r="K1250" s="5" t="s">
        <v>196</v>
      </c>
      <c r="L1250">
        <v>5</v>
      </c>
      <c r="M1250">
        <v>154.46</v>
      </c>
      <c r="N1250" s="8">
        <v>23.17</v>
      </c>
      <c r="O1250" s="8">
        <v>749.13000000000011</v>
      </c>
      <c r="P1250" s="8">
        <v>37.46</v>
      </c>
      <c r="Q1250" s="10">
        <v>30</v>
      </c>
      <c r="R1250" s="10">
        <v>15</v>
      </c>
      <c r="S1250" s="8">
        <v>831.59000000000015</v>
      </c>
      <c r="T1250">
        <v>24.67</v>
      </c>
      <c r="U1250" t="str">
        <f t="shared" si="19"/>
        <v>Thursday</v>
      </c>
    </row>
    <row r="1251" spans="1:21" x14ac:dyDescent="0.3">
      <c r="A1251" s="5" t="s">
        <v>3186</v>
      </c>
      <c r="B1251" s="3" t="s">
        <v>3720</v>
      </c>
      <c r="C1251" s="5" t="s">
        <v>293</v>
      </c>
      <c r="D1251" s="5" t="s">
        <v>106</v>
      </c>
      <c r="E1251" s="5" t="s">
        <v>83</v>
      </c>
      <c r="F1251" s="5" t="s">
        <v>42</v>
      </c>
      <c r="G1251" t="s">
        <v>3187</v>
      </c>
      <c r="H1251" s="5" t="s">
        <v>3674</v>
      </c>
      <c r="I1251" s="5" t="s">
        <v>295</v>
      </c>
      <c r="J1251" s="5" t="s">
        <v>296</v>
      </c>
      <c r="K1251" s="5" t="s">
        <v>45</v>
      </c>
      <c r="L1251">
        <v>2</v>
      </c>
      <c r="M1251">
        <v>120.79</v>
      </c>
      <c r="N1251" s="8">
        <v>6.04</v>
      </c>
      <c r="O1251" s="8">
        <v>235.54</v>
      </c>
      <c r="P1251" s="8">
        <v>11.78</v>
      </c>
      <c r="Q1251" s="10">
        <v>20</v>
      </c>
      <c r="R1251" s="10">
        <v>5</v>
      </c>
      <c r="S1251" s="8">
        <v>272.32000000000011</v>
      </c>
      <c r="T1251">
        <v>21</v>
      </c>
      <c r="U1251" t="str">
        <f t="shared" si="19"/>
        <v>Monday</v>
      </c>
    </row>
    <row r="1252" spans="1:21" x14ac:dyDescent="0.3">
      <c r="A1252" s="5" t="s">
        <v>3188</v>
      </c>
      <c r="B1252" s="3" t="s">
        <v>3705</v>
      </c>
      <c r="C1252" s="5" t="s">
        <v>298</v>
      </c>
      <c r="D1252" s="5" t="s">
        <v>21</v>
      </c>
      <c r="E1252" s="5" t="s">
        <v>22</v>
      </c>
      <c r="F1252" s="5" t="s">
        <v>37</v>
      </c>
      <c r="G1252" t="s">
        <v>3189</v>
      </c>
      <c r="H1252" s="5" t="s">
        <v>3676</v>
      </c>
      <c r="I1252" s="5" t="s">
        <v>300</v>
      </c>
      <c r="J1252" s="5" t="s">
        <v>301</v>
      </c>
      <c r="K1252" s="5" t="s">
        <v>73</v>
      </c>
      <c r="L1252">
        <v>1</v>
      </c>
      <c r="M1252">
        <v>72.95</v>
      </c>
      <c r="N1252" s="8">
        <v>10.94</v>
      </c>
      <c r="O1252" s="8">
        <v>62.010000000000012</v>
      </c>
      <c r="P1252" s="8">
        <v>3.1</v>
      </c>
      <c r="Q1252" s="10">
        <v>0</v>
      </c>
      <c r="R1252" s="10">
        <v>0</v>
      </c>
      <c r="S1252" s="8">
        <v>65.11</v>
      </c>
      <c r="T1252">
        <v>17</v>
      </c>
      <c r="U1252" t="str">
        <f t="shared" si="19"/>
        <v>Tuesday</v>
      </c>
    </row>
    <row r="1253" spans="1:21" x14ac:dyDescent="0.3">
      <c r="A1253" s="5" t="s">
        <v>3190</v>
      </c>
      <c r="B1253" s="3" t="s">
        <v>3686</v>
      </c>
      <c r="C1253" s="5" t="s">
        <v>303</v>
      </c>
      <c r="D1253" s="5" t="s">
        <v>106</v>
      </c>
      <c r="E1253" s="5" t="s">
        <v>83</v>
      </c>
      <c r="F1253" s="5" t="s">
        <v>42</v>
      </c>
      <c r="G1253" t="s">
        <v>3191</v>
      </c>
      <c r="H1253" s="5" t="s">
        <v>3674</v>
      </c>
      <c r="I1253" s="5" t="s">
        <v>305</v>
      </c>
      <c r="J1253" s="5" t="s">
        <v>306</v>
      </c>
      <c r="K1253" s="5" t="s">
        <v>22</v>
      </c>
      <c r="L1253">
        <v>3</v>
      </c>
      <c r="M1253">
        <v>98.01</v>
      </c>
      <c r="N1253" s="8">
        <v>9.8000000000000007</v>
      </c>
      <c r="O1253" s="8">
        <v>284.23</v>
      </c>
      <c r="P1253" s="8">
        <v>14.21</v>
      </c>
      <c r="Q1253" s="10">
        <v>0</v>
      </c>
      <c r="R1253" s="10">
        <v>15</v>
      </c>
      <c r="S1253" s="8">
        <v>313.44</v>
      </c>
      <c r="T1253">
        <v>38</v>
      </c>
      <c r="U1253" t="str">
        <f t="shared" si="19"/>
        <v>Saturday</v>
      </c>
    </row>
    <row r="1254" spans="1:21" x14ac:dyDescent="0.3">
      <c r="A1254" s="5" t="s">
        <v>3192</v>
      </c>
      <c r="B1254" s="3" t="s">
        <v>3716</v>
      </c>
      <c r="C1254" s="5" t="s">
        <v>308</v>
      </c>
      <c r="D1254" s="5" t="s">
        <v>21</v>
      </c>
      <c r="E1254" s="5" t="s">
        <v>36</v>
      </c>
      <c r="F1254" s="5" t="s">
        <v>37</v>
      </c>
      <c r="G1254" t="s">
        <v>3193</v>
      </c>
      <c r="H1254" s="5" t="s">
        <v>3673</v>
      </c>
      <c r="I1254" s="5" t="s">
        <v>310</v>
      </c>
      <c r="J1254" s="5" t="s">
        <v>311</v>
      </c>
      <c r="K1254" s="5" t="s">
        <v>34</v>
      </c>
      <c r="L1254">
        <v>6</v>
      </c>
      <c r="M1254">
        <v>144.94999999999999</v>
      </c>
      <c r="N1254" s="8">
        <v>7.25</v>
      </c>
      <c r="O1254" s="8">
        <v>862.44999999999993</v>
      </c>
      <c r="P1254" s="8">
        <v>43.12</v>
      </c>
      <c r="Q1254" s="10">
        <v>20</v>
      </c>
      <c r="R1254" s="10">
        <v>10</v>
      </c>
      <c r="S1254" s="8">
        <v>935.56999999999994</v>
      </c>
      <c r="T1254">
        <v>37</v>
      </c>
      <c r="U1254" t="str">
        <f t="shared" si="19"/>
        <v>Saturday</v>
      </c>
    </row>
    <row r="1255" spans="1:21" x14ac:dyDescent="0.3">
      <c r="A1255" s="5" t="s">
        <v>3194</v>
      </c>
      <c r="B1255" s="3" t="s">
        <v>3707</v>
      </c>
      <c r="C1255" s="5" t="s">
        <v>313</v>
      </c>
      <c r="D1255" s="5" t="s">
        <v>21</v>
      </c>
      <c r="E1255" s="5" t="s">
        <v>76</v>
      </c>
      <c r="F1255" s="5" t="s">
        <v>42</v>
      </c>
      <c r="G1255" t="s">
        <v>3195</v>
      </c>
      <c r="H1255" s="5" t="s">
        <v>3673</v>
      </c>
      <c r="I1255" s="5" t="s">
        <v>315</v>
      </c>
      <c r="J1255" s="5" t="s">
        <v>316</v>
      </c>
      <c r="K1255" s="5" t="s">
        <v>28</v>
      </c>
      <c r="L1255">
        <v>1</v>
      </c>
      <c r="M1255">
        <v>155.9</v>
      </c>
      <c r="N1255" s="8">
        <v>23.39</v>
      </c>
      <c r="O1255" s="8">
        <v>132.51</v>
      </c>
      <c r="P1255" s="8">
        <v>6.63</v>
      </c>
      <c r="Q1255" s="10">
        <v>30</v>
      </c>
      <c r="R1255" s="10">
        <v>0</v>
      </c>
      <c r="S1255" s="8">
        <v>169.14</v>
      </c>
      <c r="T1255">
        <v>7</v>
      </c>
      <c r="U1255" t="str">
        <f t="shared" si="19"/>
        <v>Wednesday</v>
      </c>
    </row>
    <row r="1256" spans="1:21" x14ac:dyDescent="0.3">
      <c r="A1256" s="5" t="s">
        <v>3196</v>
      </c>
      <c r="B1256" s="3" t="s">
        <v>3723</v>
      </c>
      <c r="C1256" s="5" t="s">
        <v>318</v>
      </c>
      <c r="D1256" s="5" t="s">
        <v>82</v>
      </c>
      <c r="E1256" s="5" t="s">
        <v>83</v>
      </c>
      <c r="F1256" s="5" t="s">
        <v>42</v>
      </c>
      <c r="G1256" t="s">
        <v>3197</v>
      </c>
      <c r="H1256" s="5" t="s">
        <v>25</v>
      </c>
      <c r="I1256" s="5" t="s">
        <v>320</v>
      </c>
      <c r="J1256" s="5" t="s">
        <v>321</v>
      </c>
      <c r="K1256" s="5" t="s">
        <v>40</v>
      </c>
      <c r="L1256">
        <v>1</v>
      </c>
      <c r="M1256">
        <v>64.91</v>
      </c>
      <c r="N1256" s="8">
        <v>0</v>
      </c>
      <c r="O1256" s="8">
        <v>64.91</v>
      </c>
      <c r="P1256" s="8">
        <v>3.25</v>
      </c>
      <c r="Q1256" s="10">
        <v>10</v>
      </c>
      <c r="R1256" s="10">
        <v>10</v>
      </c>
      <c r="S1256" s="8">
        <v>88.16</v>
      </c>
      <c r="T1256">
        <v>28</v>
      </c>
      <c r="U1256" t="str">
        <f t="shared" si="19"/>
        <v>Monday</v>
      </c>
    </row>
    <row r="1257" spans="1:21" x14ac:dyDescent="0.3">
      <c r="A1257" s="5" t="s">
        <v>3198</v>
      </c>
      <c r="B1257" s="3" t="s">
        <v>3724</v>
      </c>
      <c r="C1257" s="5" t="s">
        <v>323</v>
      </c>
      <c r="D1257" s="5" t="s">
        <v>21</v>
      </c>
      <c r="E1257" s="5" t="s">
        <v>76</v>
      </c>
      <c r="F1257" s="5" t="s">
        <v>23</v>
      </c>
      <c r="G1257" t="s">
        <v>3199</v>
      </c>
      <c r="H1257" s="5" t="s">
        <v>25</v>
      </c>
      <c r="I1257" s="5" t="s">
        <v>325</v>
      </c>
      <c r="J1257" s="5" t="s">
        <v>326</v>
      </c>
      <c r="K1257" s="5" t="s">
        <v>34</v>
      </c>
      <c r="L1257">
        <v>3</v>
      </c>
      <c r="M1257">
        <v>240.82</v>
      </c>
      <c r="N1257" s="8">
        <v>0</v>
      </c>
      <c r="O1257" s="8">
        <v>722.46</v>
      </c>
      <c r="P1257" s="8">
        <v>36.119999999999997</v>
      </c>
      <c r="Q1257" s="10">
        <v>20</v>
      </c>
      <c r="R1257" s="10">
        <v>5</v>
      </c>
      <c r="S1257" s="8">
        <v>783.58</v>
      </c>
      <c r="T1257">
        <v>30</v>
      </c>
      <c r="U1257" t="str">
        <f t="shared" si="19"/>
        <v>Sunday</v>
      </c>
    </row>
    <row r="1258" spans="1:21" x14ac:dyDescent="0.3">
      <c r="A1258" s="5" t="s">
        <v>3200</v>
      </c>
      <c r="B1258" s="3" t="s">
        <v>3701</v>
      </c>
      <c r="C1258" s="5" t="s">
        <v>328</v>
      </c>
      <c r="D1258" s="5" t="s">
        <v>21</v>
      </c>
      <c r="E1258" s="5" t="s">
        <v>69</v>
      </c>
      <c r="F1258" s="5" t="s">
        <v>23</v>
      </c>
      <c r="G1258" t="s">
        <v>3201</v>
      </c>
      <c r="H1258" s="5" t="s">
        <v>25</v>
      </c>
      <c r="I1258" s="5" t="s">
        <v>329</v>
      </c>
      <c r="J1258" s="5" t="s">
        <v>330</v>
      </c>
      <c r="K1258" s="5" t="s">
        <v>56</v>
      </c>
      <c r="L1258">
        <v>2</v>
      </c>
      <c r="M1258">
        <v>101.24</v>
      </c>
      <c r="N1258" s="8">
        <v>5.0599999999999996</v>
      </c>
      <c r="O1258" s="8">
        <v>197.42</v>
      </c>
      <c r="P1258" s="8">
        <v>9.8699999999999992</v>
      </c>
      <c r="Q1258" s="10">
        <v>10</v>
      </c>
      <c r="R1258" s="10">
        <v>5</v>
      </c>
      <c r="S1258" s="8">
        <v>222.29</v>
      </c>
      <c r="T1258">
        <v>20</v>
      </c>
      <c r="U1258" t="str">
        <f t="shared" si="19"/>
        <v>Tuesday</v>
      </c>
    </row>
    <row r="1259" spans="1:21" x14ac:dyDescent="0.3">
      <c r="A1259" s="5" t="s">
        <v>3202</v>
      </c>
      <c r="B1259" s="3" t="s">
        <v>3695</v>
      </c>
      <c r="C1259" s="5" t="s">
        <v>332</v>
      </c>
      <c r="D1259" s="5" t="s">
        <v>21</v>
      </c>
      <c r="E1259" s="5" t="s">
        <v>22</v>
      </c>
      <c r="F1259" s="5" t="s">
        <v>42</v>
      </c>
      <c r="H1259" s="5" t="s">
        <v>3675</v>
      </c>
      <c r="I1259" s="5" t="s">
        <v>334</v>
      </c>
      <c r="J1259" s="5" t="s">
        <v>335</v>
      </c>
      <c r="K1259" s="5" t="s">
        <v>40</v>
      </c>
      <c r="L1259">
        <v>2</v>
      </c>
      <c r="M1259">
        <v>70.709999999999994</v>
      </c>
      <c r="N1259" s="8">
        <v>7.07</v>
      </c>
      <c r="O1259" s="8">
        <v>134.35</v>
      </c>
      <c r="P1259" s="8">
        <v>6.72</v>
      </c>
      <c r="Q1259" s="10">
        <v>30</v>
      </c>
      <c r="R1259" s="10">
        <v>10</v>
      </c>
      <c r="S1259" s="8">
        <v>181.07</v>
      </c>
      <c r="T1259">
        <v>23</v>
      </c>
      <c r="U1259" t="str">
        <f t="shared" si="19"/>
        <v>Thursday</v>
      </c>
    </row>
    <row r="1260" spans="1:21" x14ac:dyDescent="0.3">
      <c r="A1260" s="5" t="s">
        <v>3203</v>
      </c>
      <c r="B1260" s="3" t="s">
        <v>3736</v>
      </c>
      <c r="C1260" s="5" t="s">
        <v>337</v>
      </c>
      <c r="D1260" s="5" t="s">
        <v>21</v>
      </c>
      <c r="E1260" s="5" t="s">
        <v>69</v>
      </c>
      <c r="F1260" s="5" t="s">
        <v>37</v>
      </c>
      <c r="G1260" t="s">
        <v>3204</v>
      </c>
      <c r="H1260" s="5" t="s">
        <v>100</v>
      </c>
      <c r="I1260" s="5" t="s">
        <v>339</v>
      </c>
      <c r="J1260" s="5" t="s">
        <v>340</v>
      </c>
      <c r="K1260" s="5" t="s">
        <v>45</v>
      </c>
      <c r="L1260">
        <v>2</v>
      </c>
      <c r="M1260">
        <v>23.19</v>
      </c>
      <c r="N1260" s="8">
        <v>3.48</v>
      </c>
      <c r="O1260" s="8">
        <v>42.900000000000013</v>
      </c>
      <c r="P1260" s="8">
        <v>2.15</v>
      </c>
      <c r="Q1260" s="10">
        <v>10</v>
      </c>
      <c r="R1260" s="10">
        <v>0</v>
      </c>
      <c r="S1260" s="8">
        <v>55.05</v>
      </c>
      <c r="T1260">
        <v>22</v>
      </c>
      <c r="U1260" t="str">
        <f t="shared" si="19"/>
        <v>Tuesday</v>
      </c>
    </row>
    <row r="1261" spans="1:21" x14ac:dyDescent="0.3">
      <c r="A1261" s="5" t="s">
        <v>3205</v>
      </c>
      <c r="B1261" s="3" t="s">
        <v>3696</v>
      </c>
      <c r="C1261" s="5" t="s">
        <v>342</v>
      </c>
      <c r="D1261" s="5" t="s">
        <v>106</v>
      </c>
      <c r="E1261" s="5" t="s">
        <v>83</v>
      </c>
      <c r="F1261" s="5" t="s">
        <v>37</v>
      </c>
      <c r="G1261" t="s">
        <v>3206</v>
      </c>
      <c r="H1261" s="5" t="s">
        <v>3673</v>
      </c>
      <c r="I1261" s="5" t="s">
        <v>344</v>
      </c>
      <c r="J1261" s="5" t="s">
        <v>345</v>
      </c>
      <c r="K1261" s="5" t="s">
        <v>28</v>
      </c>
      <c r="L1261">
        <v>5</v>
      </c>
      <c r="M1261">
        <v>203.98</v>
      </c>
      <c r="N1261" s="8">
        <v>20.399999999999999</v>
      </c>
      <c r="O1261" s="8">
        <v>999.5</v>
      </c>
      <c r="P1261" s="8">
        <v>49.98</v>
      </c>
      <c r="Q1261" s="10">
        <v>30</v>
      </c>
      <c r="R1261" s="10">
        <v>20</v>
      </c>
      <c r="S1261" s="8">
        <v>1099.48</v>
      </c>
      <c r="T1261">
        <v>28</v>
      </c>
      <c r="U1261" t="str">
        <f t="shared" si="19"/>
        <v>Friday</v>
      </c>
    </row>
    <row r="1262" spans="1:21" x14ac:dyDescent="0.3">
      <c r="A1262" s="5" t="s">
        <v>3207</v>
      </c>
      <c r="B1262" s="3" t="s">
        <v>3709</v>
      </c>
      <c r="C1262" s="5" t="s">
        <v>347</v>
      </c>
      <c r="D1262" s="5" t="s">
        <v>21</v>
      </c>
      <c r="E1262" s="5" t="s">
        <v>69</v>
      </c>
      <c r="F1262" s="5" t="s">
        <v>37</v>
      </c>
      <c r="G1262" t="s">
        <v>3208</v>
      </c>
      <c r="H1262" s="5" t="s">
        <v>3673</v>
      </c>
      <c r="I1262" s="5" t="s">
        <v>349</v>
      </c>
      <c r="J1262" s="5" t="s">
        <v>350</v>
      </c>
      <c r="K1262" s="5" t="s">
        <v>22</v>
      </c>
      <c r="L1262">
        <v>5</v>
      </c>
      <c r="M1262">
        <v>129.41</v>
      </c>
      <c r="N1262" s="8">
        <v>6.47</v>
      </c>
      <c r="O1262" s="8">
        <v>640.57999999999993</v>
      </c>
      <c r="P1262" s="8">
        <v>32.03</v>
      </c>
      <c r="Q1262" s="10">
        <v>20</v>
      </c>
      <c r="R1262" s="10">
        <v>10</v>
      </c>
      <c r="S1262" s="8">
        <v>702.6099999999999</v>
      </c>
      <c r="T1262">
        <v>9</v>
      </c>
      <c r="U1262" t="str">
        <f t="shared" si="19"/>
        <v>Thursday</v>
      </c>
    </row>
    <row r="1263" spans="1:21" x14ac:dyDescent="0.3">
      <c r="A1263" s="5" t="s">
        <v>3209</v>
      </c>
      <c r="B1263" s="3" t="s">
        <v>3711</v>
      </c>
      <c r="C1263" s="5" t="s">
        <v>352</v>
      </c>
      <c r="D1263" s="5" t="s">
        <v>21</v>
      </c>
      <c r="E1263" s="5" t="s">
        <v>36</v>
      </c>
      <c r="F1263" s="5" t="s">
        <v>42</v>
      </c>
      <c r="G1263" t="s">
        <v>3210</v>
      </c>
      <c r="H1263" s="5" t="s">
        <v>3675</v>
      </c>
      <c r="I1263" s="5" t="s">
        <v>354</v>
      </c>
      <c r="J1263" s="5" t="s">
        <v>355</v>
      </c>
      <c r="K1263" s="5" t="s">
        <v>196</v>
      </c>
      <c r="L1263">
        <v>2</v>
      </c>
      <c r="M1263">
        <v>51.72</v>
      </c>
      <c r="N1263" s="8">
        <v>5.17</v>
      </c>
      <c r="O1263" s="8">
        <v>98.27</v>
      </c>
      <c r="P1263" s="8">
        <v>4.91</v>
      </c>
      <c r="Q1263" s="10">
        <v>30</v>
      </c>
      <c r="R1263" s="10">
        <v>20</v>
      </c>
      <c r="S1263" s="8">
        <v>153.18</v>
      </c>
      <c r="T1263">
        <v>24.67</v>
      </c>
      <c r="U1263" t="str">
        <f t="shared" si="19"/>
        <v>Wednesday</v>
      </c>
    </row>
    <row r="1264" spans="1:21" x14ac:dyDescent="0.3">
      <c r="A1264" s="5" t="s">
        <v>3211</v>
      </c>
      <c r="B1264" s="3" t="s">
        <v>3693</v>
      </c>
      <c r="C1264" s="5" t="s">
        <v>357</v>
      </c>
      <c r="D1264" s="5" t="s">
        <v>21</v>
      </c>
      <c r="E1264" s="5" t="s">
        <v>69</v>
      </c>
      <c r="F1264" s="5" t="s">
        <v>42</v>
      </c>
      <c r="G1264" t="s">
        <v>3212</v>
      </c>
      <c r="H1264" s="5" t="s">
        <v>3675</v>
      </c>
      <c r="I1264" s="5" t="s">
        <v>359</v>
      </c>
      <c r="J1264" s="5" t="s">
        <v>360</v>
      </c>
      <c r="K1264" s="5" t="s">
        <v>34</v>
      </c>
      <c r="L1264">
        <v>2</v>
      </c>
      <c r="M1264">
        <v>68.23</v>
      </c>
      <c r="N1264" s="8">
        <v>10.23</v>
      </c>
      <c r="O1264" s="8">
        <v>126.23</v>
      </c>
      <c r="P1264" s="8">
        <v>6.31</v>
      </c>
      <c r="Q1264" s="10">
        <v>20</v>
      </c>
      <c r="R1264" s="10">
        <v>5</v>
      </c>
      <c r="S1264" s="8">
        <v>157.54</v>
      </c>
      <c r="T1264">
        <v>30</v>
      </c>
      <c r="U1264" t="str">
        <f t="shared" si="19"/>
        <v>Thursday</v>
      </c>
    </row>
    <row r="1265" spans="1:21" x14ac:dyDescent="0.3">
      <c r="A1265" s="5" t="s">
        <v>3213</v>
      </c>
      <c r="B1265" s="3" t="s">
        <v>3707</v>
      </c>
      <c r="C1265" s="5" t="s">
        <v>362</v>
      </c>
      <c r="D1265" s="5" t="s">
        <v>21</v>
      </c>
      <c r="E1265" s="5" t="s">
        <v>112</v>
      </c>
      <c r="F1265" s="5" t="s">
        <v>37</v>
      </c>
      <c r="G1265" t="s">
        <v>3214</v>
      </c>
      <c r="H1265" s="5" t="s">
        <v>3674</v>
      </c>
      <c r="I1265" s="5" t="s">
        <v>364</v>
      </c>
      <c r="J1265" s="5" t="s">
        <v>365</v>
      </c>
      <c r="K1265" s="5" t="s">
        <v>145</v>
      </c>
      <c r="L1265">
        <v>1</v>
      </c>
      <c r="M1265">
        <v>109.04</v>
      </c>
      <c r="N1265" s="8">
        <v>0</v>
      </c>
      <c r="O1265" s="8">
        <v>109.04</v>
      </c>
      <c r="P1265" s="8">
        <v>5.45</v>
      </c>
      <c r="Q1265" s="10">
        <v>10</v>
      </c>
      <c r="R1265" s="10">
        <v>10</v>
      </c>
      <c r="S1265" s="8">
        <v>134.49</v>
      </c>
      <c r="T1265">
        <v>26</v>
      </c>
      <c r="U1265" t="str">
        <f t="shared" si="19"/>
        <v>Wednesday</v>
      </c>
    </row>
    <row r="1266" spans="1:21" x14ac:dyDescent="0.3">
      <c r="A1266" s="5" t="s">
        <v>3215</v>
      </c>
      <c r="B1266" s="3" t="s">
        <v>3686</v>
      </c>
      <c r="C1266" s="5" t="s">
        <v>367</v>
      </c>
      <c r="D1266" s="5" t="s">
        <v>21</v>
      </c>
      <c r="E1266" s="5" t="s">
        <v>22</v>
      </c>
      <c r="F1266" s="5" t="s">
        <v>37</v>
      </c>
      <c r="G1266" t="s">
        <v>3216</v>
      </c>
      <c r="H1266" s="5" t="s">
        <v>3677</v>
      </c>
      <c r="I1266" s="5" t="s">
        <v>369</v>
      </c>
      <c r="J1266" s="5" t="s">
        <v>370</v>
      </c>
      <c r="K1266" s="5" t="s">
        <v>34</v>
      </c>
      <c r="L1266">
        <v>1</v>
      </c>
      <c r="M1266">
        <v>146.82</v>
      </c>
      <c r="N1266" s="8">
        <v>0</v>
      </c>
      <c r="O1266" s="8">
        <v>146.82</v>
      </c>
      <c r="P1266" s="8">
        <v>7.34</v>
      </c>
      <c r="Q1266" s="10">
        <v>30</v>
      </c>
      <c r="R1266" s="10">
        <v>5</v>
      </c>
      <c r="S1266" s="8">
        <v>189.16</v>
      </c>
      <c r="T1266">
        <v>31</v>
      </c>
      <c r="U1266" t="str">
        <f t="shared" si="19"/>
        <v>Saturday</v>
      </c>
    </row>
    <row r="1267" spans="1:21" x14ac:dyDescent="0.3">
      <c r="A1267" s="5" t="s">
        <v>3217</v>
      </c>
      <c r="B1267" s="3" t="s">
        <v>3681</v>
      </c>
      <c r="C1267" s="5" t="s">
        <v>372</v>
      </c>
      <c r="D1267" s="5" t="s">
        <v>106</v>
      </c>
      <c r="E1267" s="5" t="s">
        <v>83</v>
      </c>
      <c r="F1267" s="5" t="s">
        <v>37</v>
      </c>
      <c r="G1267" t="s">
        <v>3218</v>
      </c>
      <c r="H1267" s="5" t="s">
        <v>3676</v>
      </c>
      <c r="I1267" s="5" t="s">
        <v>374</v>
      </c>
      <c r="J1267" s="5" t="s">
        <v>375</v>
      </c>
      <c r="K1267" s="5" t="s">
        <v>196</v>
      </c>
      <c r="L1267">
        <v>1</v>
      </c>
      <c r="M1267">
        <v>78.16</v>
      </c>
      <c r="N1267" s="8">
        <v>0</v>
      </c>
      <c r="O1267" s="8">
        <v>78.16</v>
      </c>
      <c r="P1267" s="8">
        <v>3.91</v>
      </c>
      <c r="Q1267" s="10">
        <v>0</v>
      </c>
      <c r="R1267" s="10">
        <v>0</v>
      </c>
      <c r="S1267" s="8">
        <v>82.07</v>
      </c>
      <c r="T1267">
        <v>24.67</v>
      </c>
      <c r="U1267" t="str">
        <f t="shared" si="19"/>
        <v>Wednesday</v>
      </c>
    </row>
    <row r="1268" spans="1:21" x14ac:dyDescent="0.3">
      <c r="A1268" s="5" t="s">
        <v>3219</v>
      </c>
      <c r="B1268" s="3" t="s">
        <v>3719</v>
      </c>
      <c r="C1268" s="5" t="s">
        <v>377</v>
      </c>
      <c r="D1268" s="5" t="s">
        <v>21</v>
      </c>
      <c r="E1268" s="5" t="s">
        <v>36</v>
      </c>
      <c r="F1268" s="5" t="s">
        <v>42</v>
      </c>
      <c r="G1268" t="s">
        <v>3220</v>
      </c>
      <c r="H1268" s="5" t="s">
        <v>3676</v>
      </c>
      <c r="I1268" s="5" t="s">
        <v>379</v>
      </c>
      <c r="J1268" s="5" t="s">
        <v>380</v>
      </c>
      <c r="K1268" s="5" t="s">
        <v>145</v>
      </c>
      <c r="L1268">
        <v>1</v>
      </c>
      <c r="M1268">
        <v>139.5</v>
      </c>
      <c r="N1268" s="8">
        <v>0</v>
      </c>
      <c r="O1268" s="8">
        <v>139.5</v>
      </c>
      <c r="P1268" s="8">
        <v>6.98</v>
      </c>
      <c r="Q1268" s="10">
        <v>20</v>
      </c>
      <c r="R1268" s="10">
        <v>5</v>
      </c>
      <c r="S1268" s="8">
        <v>171.48</v>
      </c>
      <c r="T1268">
        <v>24.67</v>
      </c>
      <c r="U1268" t="str">
        <f t="shared" si="19"/>
        <v>Sunday</v>
      </c>
    </row>
    <row r="1269" spans="1:21" x14ac:dyDescent="0.3">
      <c r="A1269" s="5" t="s">
        <v>3221</v>
      </c>
      <c r="B1269" s="3" t="s">
        <v>3709</v>
      </c>
      <c r="C1269" s="5" t="s">
        <v>382</v>
      </c>
      <c r="D1269" s="5" t="s">
        <v>82</v>
      </c>
      <c r="E1269" s="5" t="s">
        <v>83</v>
      </c>
      <c r="F1269" s="5" t="s">
        <v>37</v>
      </c>
      <c r="G1269" t="s">
        <v>3222</v>
      </c>
      <c r="H1269" s="5" t="s">
        <v>3673</v>
      </c>
      <c r="I1269" s="5" t="s">
        <v>383</v>
      </c>
      <c r="J1269" s="5" t="s">
        <v>384</v>
      </c>
      <c r="K1269" s="5" t="s">
        <v>196</v>
      </c>
      <c r="L1269">
        <v>2</v>
      </c>
      <c r="M1269">
        <v>94.6</v>
      </c>
      <c r="N1269" s="8">
        <v>14.19</v>
      </c>
      <c r="O1269" s="8">
        <v>175.01</v>
      </c>
      <c r="P1269" s="8">
        <v>8.75</v>
      </c>
      <c r="Q1269" s="10">
        <v>30</v>
      </c>
      <c r="R1269" s="10">
        <v>20</v>
      </c>
      <c r="S1269" s="8">
        <v>233.76</v>
      </c>
      <c r="T1269">
        <v>17</v>
      </c>
      <c r="U1269" t="str">
        <f t="shared" si="19"/>
        <v>Thursday</v>
      </c>
    </row>
    <row r="1270" spans="1:21" x14ac:dyDescent="0.3">
      <c r="A1270" s="5" t="s">
        <v>3223</v>
      </c>
      <c r="B1270" s="3" t="s">
        <v>3730</v>
      </c>
      <c r="C1270" s="5" t="s">
        <v>386</v>
      </c>
      <c r="D1270" s="5" t="s">
        <v>21</v>
      </c>
      <c r="E1270" s="5" t="s">
        <v>22</v>
      </c>
      <c r="F1270" s="5" t="s">
        <v>42</v>
      </c>
      <c r="G1270" t="s">
        <v>3224</v>
      </c>
      <c r="H1270" s="5" t="s">
        <v>3677</v>
      </c>
      <c r="I1270" s="5" t="s">
        <v>388</v>
      </c>
      <c r="J1270" s="5" t="s">
        <v>389</v>
      </c>
      <c r="K1270" s="5" t="s">
        <v>196</v>
      </c>
      <c r="L1270">
        <v>2</v>
      </c>
      <c r="M1270">
        <v>253.44</v>
      </c>
      <c r="N1270" s="8">
        <v>25.34</v>
      </c>
      <c r="O1270" s="8">
        <v>481.54</v>
      </c>
      <c r="P1270" s="8">
        <v>24.08</v>
      </c>
      <c r="Q1270" s="10">
        <v>20</v>
      </c>
      <c r="R1270" s="10">
        <v>10</v>
      </c>
      <c r="S1270" s="8">
        <v>535.62</v>
      </c>
      <c r="T1270">
        <v>41</v>
      </c>
      <c r="U1270" t="str">
        <f t="shared" si="19"/>
        <v>Friday</v>
      </c>
    </row>
    <row r="1271" spans="1:21" x14ac:dyDescent="0.3">
      <c r="A1271" s="5" t="s">
        <v>3225</v>
      </c>
      <c r="B1271" s="3" t="s">
        <v>3694</v>
      </c>
      <c r="C1271" s="5" t="s">
        <v>391</v>
      </c>
      <c r="D1271" s="5" t="s">
        <v>21</v>
      </c>
      <c r="E1271" s="5" t="s">
        <v>69</v>
      </c>
      <c r="F1271" s="5" t="s">
        <v>23</v>
      </c>
      <c r="G1271" t="s">
        <v>3226</v>
      </c>
      <c r="H1271" s="5" t="s">
        <v>3673</v>
      </c>
      <c r="I1271" s="5" t="s">
        <v>393</v>
      </c>
      <c r="J1271" s="5" t="s">
        <v>394</v>
      </c>
      <c r="K1271" s="5" t="s">
        <v>196</v>
      </c>
      <c r="L1271">
        <v>1</v>
      </c>
      <c r="M1271">
        <v>161.21</v>
      </c>
      <c r="N1271" s="8">
        <v>16.12</v>
      </c>
      <c r="O1271" s="8">
        <v>145.09</v>
      </c>
      <c r="P1271" s="8">
        <v>7.25</v>
      </c>
      <c r="Q1271" s="10">
        <v>30</v>
      </c>
      <c r="R1271" s="10">
        <v>15</v>
      </c>
      <c r="S1271" s="8">
        <v>197.34</v>
      </c>
      <c r="T1271">
        <v>14</v>
      </c>
      <c r="U1271" t="str">
        <f t="shared" si="19"/>
        <v>Thursday</v>
      </c>
    </row>
    <row r="1272" spans="1:21" x14ac:dyDescent="0.3">
      <c r="A1272" s="5" t="s">
        <v>3227</v>
      </c>
      <c r="B1272" s="3" t="s">
        <v>3733</v>
      </c>
      <c r="C1272" s="5" t="s">
        <v>396</v>
      </c>
      <c r="D1272" s="5" t="s">
        <v>21</v>
      </c>
      <c r="E1272" s="5" t="s">
        <v>22</v>
      </c>
      <c r="F1272" s="5" t="s">
        <v>37</v>
      </c>
      <c r="G1272" t="s">
        <v>3228</v>
      </c>
      <c r="H1272" s="5" t="s">
        <v>3675</v>
      </c>
      <c r="I1272" s="5" t="s">
        <v>398</v>
      </c>
      <c r="J1272" s="5" t="s">
        <v>399</v>
      </c>
      <c r="K1272" s="5" t="s">
        <v>34</v>
      </c>
      <c r="L1272">
        <v>3</v>
      </c>
      <c r="M1272">
        <v>94.25</v>
      </c>
      <c r="N1272" s="8">
        <v>4.71</v>
      </c>
      <c r="O1272" s="8">
        <v>278.04000000000002</v>
      </c>
      <c r="P1272" s="8">
        <v>13.9</v>
      </c>
      <c r="Q1272" s="10">
        <v>30</v>
      </c>
      <c r="R1272" s="10">
        <v>0</v>
      </c>
      <c r="S1272" s="8">
        <v>321.94</v>
      </c>
      <c r="T1272">
        <v>28</v>
      </c>
      <c r="U1272" t="str">
        <f t="shared" si="19"/>
        <v>Sunday</v>
      </c>
    </row>
    <row r="1273" spans="1:21" x14ac:dyDescent="0.3">
      <c r="A1273" s="5" t="s">
        <v>3229</v>
      </c>
      <c r="B1273" s="3" t="s">
        <v>3723</v>
      </c>
      <c r="C1273" s="5" t="s">
        <v>401</v>
      </c>
      <c r="D1273" s="5" t="s">
        <v>21</v>
      </c>
      <c r="E1273" s="5" t="s">
        <v>112</v>
      </c>
      <c r="F1273" s="5" t="s">
        <v>37</v>
      </c>
      <c r="G1273" t="s">
        <v>3230</v>
      </c>
      <c r="H1273" s="5" t="s">
        <v>3673</v>
      </c>
      <c r="I1273" s="5" t="s">
        <v>403</v>
      </c>
      <c r="J1273" s="5" t="s">
        <v>404</v>
      </c>
      <c r="K1273" s="5" t="s">
        <v>196</v>
      </c>
      <c r="L1273">
        <v>4</v>
      </c>
      <c r="M1273">
        <v>18.03</v>
      </c>
      <c r="N1273" s="8">
        <v>1.8</v>
      </c>
      <c r="O1273" s="8">
        <v>70.320000000000007</v>
      </c>
      <c r="P1273" s="8">
        <v>3.52</v>
      </c>
      <c r="Q1273" s="10">
        <v>20</v>
      </c>
      <c r="R1273" s="10">
        <v>15</v>
      </c>
      <c r="S1273" s="8">
        <v>108.84</v>
      </c>
      <c r="T1273">
        <v>22</v>
      </c>
      <c r="U1273" t="str">
        <f t="shared" si="19"/>
        <v>Monday</v>
      </c>
    </row>
    <row r="1274" spans="1:21" x14ac:dyDescent="0.3">
      <c r="A1274" s="5" t="s">
        <v>3231</v>
      </c>
      <c r="B1274" s="3" t="s">
        <v>3719</v>
      </c>
      <c r="C1274" s="5" t="s">
        <v>406</v>
      </c>
      <c r="D1274" s="5" t="s">
        <v>21</v>
      </c>
      <c r="E1274" s="5" t="s">
        <v>112</v>
      </c>
      <c r="F1274" s="5" t="s">
        <v>42</v>
      </c>
      <c r="G1274" t="s">
        <v>3232</v>
      </c>
      <c r="H1274" s="5" t="s">
        <v>3673</v>
      </c>
      <c r="I1274" s="5" t="s">
        <v>408</v>
      </c>
      <c r="J1274" s="5" t="s">
        <v>409</v>
      </c>
      <c r="K1274" s="5" t="s">
        <v>28</v>
      </c>
      <c r="L1274">
        <v>1</v>
      </c>
      <c r="M1274">
        <v>27.52</v>
      </c>
      <c r="N1274" s="8">
        <v>2.75</v>
      </c>
      <c r="O1274" s="8">
        <v>24.77</v>
      </c>
      <c r="P1274" s="8">
        <v>1.24</v>
      </c>
      <c r="Q1274" s="10">
        <v>10</v>
      </c>
      <c r="R1274" s="10">
        <v>20</v>
      </c>
      <c r="S1274" s="8">
        <v>56.01</v>
      </c>
      <c r="T1274">
        <v>31</v>
      </c>
      <c r="U1274" t="str">
        <f t="shared" si="19"/>
        <v>Sunday</v>
      </c>
    </row>
    <row r="1275" spans="1:21" x14ac:dyDescent="0.3">
      <c r="A1275" s="5" t="s">
        <v>3233</v>
      </c>
      <c r="B1275" s="3" t="s">
        <v>3724</v>
      </c>
      <c r="C1275" s="5" t="s">
        <v>411</v>
      </c>
      <c r="D1275" s="5" t="s">
        <v>21</v>
      </c>
      <c r="E1275" s="5" t="s">
        <v>76</v>
      </c>
      <c r="F1275" s="5" t="s">
        <v>37</v>
      </c>
      <c r="G1275" t="s">
        <v>3234</v>
      </c>
      <c r="H1275" s="5" t="s">
        <v>3675</v>
      </c>
      <c r="I1275" s="5" t="s">
        <v>413</v>
      </c>
      <c r="J1275" s="5" t="s">
        <v>414</v>
      </c>
      <c r="K1275" s="5" t="s">
        <v>40</v>
      </c>
      <c r="L1275">
        <v>3</v>
      </c>
      <c r="M1275">
        <v>189.74</v>
      </c>
      <c r="N1275" s="8">
        <v>18.97</v>
      </c>
      <c r="O1275" s="8">
        <v>550.25</v>
      </c>
      <c r="P1275" s="8">
        <v>27.51</v>
      </c>
      <c r="Q1275" s="10">
        <v>0</v>
      </c>
      <c r="R1275" s="10">
        <v>10</v>
      </c>
      <c r="S1275" s="8">
        <v>587.76</v>
      </c>
      <c r="T1275">
        <v>24.67</v>
      </c>
      <c r="U1275" t="str">
        <f t="shared" si="19"/>
        <v>Sunday</v>
      </c>
    </row>
    <row r="1276" spans="1:21" x14ac:dyDescent="0.3">
      <c r="A1276" s="5" t="s">
        <v>3235</v>
      </c>
      <c r="B1276" s="3" t="s">
        <v>3716</v>
      </c>
      <c r="C1276" s="5" t="s">
        <v>416</v>
      </c>
      <c r="D1276" s="5" t="s">
        <v>21</v>
      </c>
      <c r="E1276" s="5" t="s">
        <v>36</v>
      </c>
      <c r="F1276" s="5" t="s">
        <v>37</v>
      </c>
      <c r="G1276" t="s">
        <v>3236</v>
      </c>
      <c r="H1276" s="5" t="s">
        <v>3677</v>
      </c>
      <c r="I1276" s="5" t="s">
        <v>418</v>
      </c>
      <c r="J1276" s="5" t="s">
        <v>419</v>
      </c>
      <c r="K1276" s="5" t="s">
        <v>196</v>
      </c>
      <c r="L1276">
        <v>1</v>
      </c>
      <c r="M1276">
        <v>23.71</v>
      </c>
      <c r="N1276" s="8">
        <v>3.56</v>
      </c>
      <c r="O1276" s="8">
        <v>20.149999999999999</v>
      </c>
      <c r="P1276" s="8">
        <v>1.01</v>
      </c>
      <c r="Q1276" s="10">
        <v>10</v>
      </c>
      <c r="R1276" s="10">
        <v>10</v>
      </c>
      <c r="S1276" s="8">
        <v>41.16</v>
      </c>
      <c r="T1276">
        <v>13</v>
      </c>
      <c r="U1276" t="str">
        <f t="shared" si="19"/>
        <v>Saturday</v>
      </c>
    </row>
    <row r="1277" spans="1:21" x14ac:dyDescent="0.3">
      <c r="A1277" s="5" t="s">
        <v>3237</v>
      </c>
      <c r="B1277" s="3" t="s">
        <v>3684</v>
      </c>
      <c r="C1277" s="5" t="s">
        <v>421</v>
      </c>
      <c r="D1277" s="5" t="s">
        <v>21</v>
      </c>
      <c r="E1277" s="5" t="s">
        <v>22</v>
      </c>
      <c r="F1277" s="5" t="s">
        <v>42</v>
      </c>
      <c r="G1277" t="s">
        <v>3238</v>
      </c>
      <c r="H1277" s="5" t="s">
        <v>3676</v>
      </c>
      <c r="I1277" s="5" t="s">
        <v>423</v>
      </c>
      <c r="J1277" s="5" t="s">
        <v>424</v>
      </c>
      <c r="K1277" s="5" t="s">
        <v>45</v>
      </c>
      <c r="L1277">
        <v>4</v>
      </c>
      <c r="M1277">
        <v>117.22</v>
      </c>
      <c r="N1277" s="8">
        <v>17.579999999999998</v>
      </c>
      <c r="O1277" s="8">
        <v>451.3</v>
      </c>
      <c r="P1277" s="8">
        <v>22.57</v>
      </c>
      <c r="Q1277" s="10">
        <v>0</v>
      </c>
      <c r="R1277" s="10">
        <v>15</v>
      </c>
      <c r="S1277" s="8">
        <v>488.87</v>
      </c>
      <c r="T1277">
        <v>26</v>
      </c>
      <c r="U1277" t="str">
        <f t="shared" si="19"/>
        <v>Sunday</v>
      </c>
    </row>
    <row r="1278" spans="1:21" x14ac:dyDescent="0.3">
      <c r="A1278" s="5" t="s">
        <v>3239</v>
      </c>
      <c r="B1278" s="3" t="s">
        <v>3720</v>
      </c>
      <c r="C1278" s="5" t="s">
        <v>426</v>
      </c>
      <c r="D1278" s="5" t="s">
        <v>21</v>
      </c>
      <c r="E1278" s="5" t="s">
        <v>76</v>
      </c>
      <c r="F1278" s="5" t="s">
        <v>23</v>
      </c>
      <c r="G1278" t="s">
        <v>3240</v>
      </c>
      <c r="H1278" s="5" t="s">
        <v>25</v>
      </c>
      <c r="I1278" s="5" t="s">
        <v>427</v>
      </c>
      <c r="J1278" s="5" t="s">
        <v>428</v>
      </c>
      <c r="K1278" s="5" t="s">
        <v>196</v>
      </c>
      <c r="L1278">
        <v>1</v>
      </c>
      <c r="M1278">
        <v>122.51</v>
      </c>
      <c r="N1278" s="8">
        <v>12.25</v>
      </c>
      <c r="O1278" s="8">
        <v>110.26</v>
      </c>
      <c r="P1278" s="8">
        <v>5.51</v>
      </c>
      <c r="Q1278" s="10">
        <v>0</v>
      </c>
      <c r="R1278" s="10">
        <v>5</v>
      </c>
      <c r="S1278" s="8">
        <v>120.77</v>
      </c>
      <c r="T1278">
        <v>10</v>
      </c>
      <c r="U1278" t="str">
        <f t="shared" si="19"/>
        <v>Monday</v>
      </c>
    </row>
    <row r="1279" spans="1:21" x14ac:dyDescent="0.3">
      <c r="A1279" s="5" t="s">
        <v>3241</v>
      </c>
      <c r="B1279" s="3" t="s">
        <v>3698</v>
      </c>
      <c r="C1279" s="5" t="s">
        <v>430</v>
      </c>
      <c r="D1279" s="5" t="s">
        <v>21</v>
      </c>
      <c r="E1279" s="5" t="s">
        <v>112</v>
      </c>
      <c r="F1279" s="5" t="s">
        <v>37</v>
      </c>
      <c r="G1279" t="s">
        <v>3242</v>
      </c>
      <c r="H1279" s="5" t="s">
        <v>3677</v>
      </c>
      <c r="I1279" s="5" t="s">
        <v>432</v>
      </c>
      <c r="J1279" s="5" t="s">
        <v>433</v>
      </c>
      <c r="K1279" s="5" t="s">
        <v>22</v>
      </c>
      <c r="L1279">
        <v>5</v>
      </c>
      <c r="M1279">
        <v>201.79</v>
      </c>
      <c r="N1279" s="8">
        <v>0</v>
      </c>
      <c r="O1279" s="8">
        <v>1008.95</v>
      </c>
      <c r="P1279" s="8">
        <v>50.45</v>
      </c>
      <c r="Q1279" s="10">
        <v>0</v>
      </c>
      <c r="R1279" s="10">
        <v>5</v>
      </c>
      <c r="S1279" s="8">
        <v>1064.4000000000001</v>
      </c>
      <c r="T1279">
        <v>21</v>
      </c>
      <c r="U1279" t="str">
        <f t="shared" si="19"/>
        <v>Sunday</v>
      </c>
    </row>
    <row r="1280" spans="1:21" x14ac:dyDescent="0.3">
      <c r="A1280" s="5" t="s">
        <v>3243</v>
      </c>
      <c r="B1280" s="3" t="s">
        <v>3720</v>
      </c>
      <c r="C1280" s="5" t="s">
        <v>435</v>
      </c>
      <c r="D1280" s="5" t="s">
        <v>106</v>
      </c>
      <c r="E1280" s="5" t="s">
        <v>83</v>
      </c>
      <c r="F1280" s="5" t="s">
        <v>37</v>
      </c>
      <c r="G1280" t="s">
        <v>3244</v>
      </c>
      <c r="H1280" s="5" t="s">
        <v>3673</v>
      </c>
      <c r="I1280" s="5" t="s">
        <v>437</v>
      </c>
      <c r="J1280" s="5" t="s">
        <v>438</v>
      </c>
      <c r="K1280" s="5" t="s">
        <v>22</v>
      </c>
      <c r="L1280">
        <v>1</v>
      </c>
      <c r="M1280">
        <v>71.12</v>
      </c>
      <c r="N1280" s="8">
        <v>3.56</v>
      </c>
      <c r="O1280" s="8">
        <v>67.56</v>
      </c>
      <c r="P1280" s="8">
        <v>3.38</v>
      </c>
      <c r="Q1280" s="10">
        <v>30</v>
      </c>
      <c r="R1280" s="10">
        <v>0</v>
      </c>
      <c r="S1280" s="8">
        <v>100.94</v>
      </c>
      <c r="T1280">
        <v>26</v>
      </c>
      <c r="U1280" t="str">
        <f t="shared" si="19"/>
        <v>Monday</v>
      </c>
    </row>
    <row r="1281" spans="1:21" x14ac:dyDescent="0.3">
      <c r="A1281" s="5" t="s">
        <v>3245</v>
      </c>
      <c r="B1281" s="3" t="s">
        <v>3701</v>
      </c>
      <c r="C1281" s="5" t="s">
        <v>440</v>
      </c>
      <c r="D1281" s="5" t="s">
        <v>21</v>
      </c>
      <c r="E1281" s="5" t="s">
        <v>112</v>
      </c>
      <c r="F1281" s="5" t="s">
        <v>42</v>
      </c>
      <c r="G1281" t="s">
        <v>3246</v>
      </c>
      <c r="H1281" s="5" t="s">
        <v>3676</v>
      </c>
      <c r="I1281" s="5" t="s">
        <v>442</v>
      </c>
      <c r="J1281" s="5" t="s">
        <v>443</v>
      </c>
      <c r="K1281" s="5" t="s">
        <v>196</v>
      </c>
      <c r="L1281">
        <v>2</v>
      </c>
      <c r="M1281">
        <v>54.23</v>
      </c>
      <c r="N1281" s="8">
        <v>8.1300000000000008</v>
      </c>
      <c r="O1281" s="8">
        <v>100.33</v>
      </c>
      <c r="P1281" s="8">
        <v>5.0199999999999996</v>
      </c>
      <c r="Q1281" s="10">
        <v>30</v>
      </c>
      <c r="R1281" s="10">
        <v>15</v>
      </c>
      <c r="S1281" s="8">
        <v>150.35</v>
      </c>
      <c r="T1281">
        <v>24</v>
      </c>
      <c r="U1281" t="str">
        <f t="shared" si="19"/>
        <v>Tuesday</v>
      </c>
    </row>
    <row r="1282" spans="1:21" x14ac:dyDescent="0.3">
      <c r="A1282" s="5" t="s">
        <v>3247</v>
      </c>
      <c r="B1282" s="3" t="s">
        <v>3699</v>
      </c>
      <c r="C1282" s="5" t="s">
        <v>445</v>
      </c>
      <c r="D1282" s="5" t="s">
        <v>21</v>
      </c>
      <c r="E1282" s="5" t="s">
        <v>112</v>
      </c>
      <c r="F1282" s="5" t="s">
        <v>23</v>
      </c>
      <c r="G1282" t="s">
        <v>3248</v>
      </c>
      <c r="H1282" s="5" t="s">
        <v>25</v>
      </c>
      <c r="I1282" s="5" t="s">
        <v>447</v>
      </c>
      <c r="J1282" s="5" t="s">
        <v>448</v>
      </c>
      <c r="K1282" s="5" t="s">
        <v>28</v>
      </c>
      <c r="L1282">
        <v>2</v>
      </c>
      <c r="M1282">
        <v>231.2</v>
      </c>
      <c r="N1282" s="8">
        <v>0</v>
      </c>
      <c r="O1282" s="8">
        <v>462.4</v>
      </c>
      <c r="P1282" s="8">
        <v>23.12</v>
      </c>
      <c r="Q1282" s="10">
        <v>20</v>
      </c>
      <c r="R1282" s="10">
        <v>5</v>
      </c>
      <c r="S1282" s="8">
        <v>510.52</v>
      </c>
      <c r="T1282">
        <v>24.67</v>
      </c>
      <c r="U1282" t="str">
        <f t="shared" si="19"/>
        <v>Sunday</v>
      </c>
    </row>
    <row r="1283" spans="1:21" x14ac:dyDescent="0.3">
      <c r="A1283" s="5" t="s">
        <v>3249</v>
      </c>
      <c r="B1283" s="3" t="s">
        <v>3708</v>
      </c>
      <c r="C1283" s="5" t="s">
        <v>450</v>
      </c>
      <c r="D1283" s="5" t="s">
        <v>21</v>
      </c>
      <c r="E1283" s="5" t="s">
        <v>76</v>
      </c>
      <c r="F1283" s="5" t="s">
        <v>3671</v>
      </c>
      <c r="G1283" t="s">
        <v>3250</v>
      </c>
      <c r="H1283" s="5" t="s">
        <v>25</v>
      </c>
      <c r="I1283" s="5" t="s">
        <v>452</v>
      </c>
      <c r="J1283" s="5" t="s">
        <v>453</v>
      </c>
      <c r="K1283" s="5" t="s">
        <v>28</v>
      </c>
      <c r="L1283">
        <v>4</v>
      </c>
      <c r="M1283">
        <v>86.57</v>
      </c>
      <c r="N1283" s="8">
        <v>8.66</v>
      </c>
      <c r="O1283" s="8">
        <v>337.61999999999989</v>
      </c>
      <c r="P1283" s="8">
        <v>16.88</v>
      </c>
      <c r="Q1283" s="10">
        <v>20</v>
      </c>
      <c r="R1283" s="10">
        <v>5</v>
      </c>
      <c r="S1283" s="8">
        <v>379.49999999999989</v>
      </c>
      <c r="T1283">
        <v>14</v>
      </c>
      <c r="U1283" t="str">
        <f t="shared" ref="U1283:U1346" si="20">TEXT(B1283,"dddd")</f>
        <v>Sunday</v>
      </c>
    </row>
    <row r="1284" spans="1:21" x14ac:dyDescent="0.3">
      <c r="A1284" s="5" t="s">
        <v>3251</v>
      </c>
      <c r="B1284" s="3" t="s">
        <v>3732</v>
      </c>
      <c r="C1284" s="5" t="s">
        <v>455</v>
      </c>
      <c r="D1284" s="5" t="s">
        <v>21</v>
      </c>
      <c r="E1284" s="5" t="s">
        <v>112</v>
      </c>
      <c r="F1284" s="5" t="s">
        <v>42</v>
      </c>
      <c r="H1284" s="5" t="s">
        <v>25</v>
      </c>
      <c r="I1284" s="5" t="s">
        <v>456</v>
      </c>
      <c r="J1284" s="5" t="s">
        <v>457</v>
      </c>
      <c r="K1284" s="5" t="s">
        <v>45</v>
      </c>
      <c r="L1284">
        <v>3</v>
      </c>
      <c r="M1284">
        <v>161.19999999999999</v>
      </c>
      <c r="N1284" s="8">
        <v>8.06</v>
      </c>
      <c r="O1284" s="8">
        <v>475.54</v>
      </c>
      <c r="P1284" s="8">
        <v>23.78</v>
      </c>
      <c r="Q1284" s="10">
        <v>10</v>
      </c>
      <c r="R1284" s="10">
        <v>5</v>
      </c>
      <c r="S1284" s="8">
        <v>514.31999999999994</v>
      </c>
      <c r="T1284">
        <v>23</v>
      </c>
      <c r="U1284" t="str">
        <f t="shared" si="20"/>
        <v>Wednesday</v>
      </c>
    </row>
    <row r="1285" spans="1:21" x14ac:dyDescent="0.3">
      <c r="A1285" s="5" t="s">
        <v>3252</v>
      </c>
      <c r="B1285" s="3" t="s">
        <v>3719</v>
      </c>
      <c r="C1285" s="5" t="s">
        <v>459</v>
      </c>
      <c r="D1285" s="5" t="s">
        <v>21</v>
      </c>
      <c r="E1285" s="5" t="s">
        <v>112</v>
      </c>
      <c r="F1285" s="5" t="s">
        <v>37</v>
      </c>
      <c r="G1285" t="s">
        <v>3253</v>
      </c>
      <c r="H1285" s="5" t="s">
        <v>3673</v>
      </c>
      <c r="I1285" s="5" t="s">
        <v>460</v>
      </c>
      <c r="J1285" s="5" t="s">
        <v>461</v>
      </c>
      <c r="K1285" s="5" t="s">
        <v>196</v>
      </c>
      <c r="L1285">
        <v>4</v>
      </c>
      <c r="M1285">
        <v>121.39</v>
      </c>
      <c r="N1285" s="8">
        <v>0</v>
      </c>
      <c r="O1285" s="8">
        <v>485.56</v>
      </c>
      <c r="P1285" s="8">
        <v>24.28</v>
      </c>
      <c r="Q1285" s="10">
        <v>30</v>
      </c>
      <c r="R1285" s="10">
        <v>0</v>
      </c>
      <c r="S1285" s="8">
        <v>539.84</v>
      </c>
      <c r="T1285">
        <v>24.67</v>
      </c>
      <c r="U1285" t="str">
        <f t="shared" si="20"/>
        <v>Sunday</v>
      </c>
    </row>
    <row r="1286" spans="1:21" x14ac:dyDescent="0.3">
      <c r="A1286" s="5" t="s">
        <v>3254</v>
      </c>
      <c r="B1286" s="3" t="s">
        <v>3717</v>
      </c>
      <c r="C1286" s="5" t="s">
        <v>463</v>
      </c>
      <c r="D1286" s="5" t="s">
        <v>21</v>
      </c>
      <c r="E1286" s="5" t="s">
        <v>69</v>
      </c>
      <c r="F1286" s="5" t="s">
        <v>42</v>
      </c>
      <c r="G1286" t="s">
        <v>3255</v>
      </c>
      <c r="H1286" s="5" t="s">
        <v>3673</v>
      </c>
      <c r="I1286" s="5" t="s">
        <v>465</v>
      </c>
      <c r="J1286" s="5" t="s">
        <v>466</v>
      </c>
      <c r="K1286" s="5" t="s">
        <v>145</v>
      </c>
      <c r="L1286">
        <v>2</v>
      </c>
      <c r="M1286">
        <v>58.19</v>
      </c>
      <c r="N1286" s="8">
        <v>2.91</v>
      </c>
      <c r="O1286" s="8">
        <v>113.47</v>
      </c>
      <c r="P1286" s="8">
        <v>5.67</v>
      </c>
      <c r="Q1286" s="10">
        <v>30</v>
      </c>
      <c r="R1286" s="10">
        <v>0</v>
      </c>
      <c r="S1286" s="8">
        <v>149.13999999999999</v>
      </c>
      <c r="T1286">
        <v>12</v>
      </c>
      <c r="U1286" t="str">
        <f t="shared" si="20"/>
        <v>Tuesday</v>
      </c>
    </row>
    <row r="1287" spans="1:21" x14ac:dyDescent="0.3">
      <c r="A1287" s="5" t="s">
        <v>3256</v>
      </c>
      <c r="B1287" s="3" t="s">
        <v>3696</v>
      </c>
      <c r="C1287" s="5" t="s">
        <v>468</v>
      </c>
      <c r="D1287" s="5" t="s">
        <v>106</v>
      </c>
      <c r="E1287" s="5" t="s">
        <v>83</v>
      </c>
      <c r="F1287" s="5" t="s">
        <v>37</v>
      </c>
      <c r="G1287" t="s">
        <v>3257</v>
      </c>
      <c r="H1287" s="5" t="s">
        <v>3676</v>
      </c>
      <c r="I1287" s="5" t="s">
        <v>470</v>
      </c>
      <c r="J1287" s="5" t="s">
        <v>471</v>
      </c>
      <c r="K1287" s="5" t="s">
        <v>28</v>
      </c>
      <c r="L1287">
        <v>4</v>
      </c>
      <c r="M1287">
        <v>40.159999999999997</v>
      </c>
      <c r="N1287" s="8">
        <v>2.0099999999999998</v>
      </c>
      <c r="O1287" s="8">
        <v>158.63</v>
      </c>
      <c r="P1287" s="8">
        <v>7.93</v>
      </c>
      <c r="Q1287" s="10">
        <v>20</v>
      </c>
      <c r="R1287" s="10">
        <v>20</v>
      </c>
      <c r="S1287" s="8">
        <v>206.56</v>
      </c>
      <c r="T1287">
        <v>3</v>
      </c>
      <c r="U1287" t="str">
        <f t="shared" si="20"/>
        <v>Friday</v>
      </c>
    </row>
    <row r="1288" spans="1:21" x14ac:dyDescent="0.3">
      <c r="A1288" s="5" t="s">
        <v>3258</v>
      </c>
      <c r="B1288" s="3" t="s">
        <v>3712</v>
      </c>
      <c r="C1288" s="5" t="s">
        <v>473</v>
      </c>
      <c r="D1288" s="5" t="s">
        <v>21</v>
      </c>
      <c r="E1288" s="5" t="s">
        <v>76</v>
      </c>
      <c r="F1288" s="5" t="s">
        <v>42</v>
      </c>
      <c r="G1288" t="s">
        <v>3259</v>
      </c>
      <c r="H1288" s="5" t="s">
        <v>3676</v>
      </c>
      <c r="I1288" s="5" t="s">
        <v>475</v>
      </c>
      <c r="J1288" s="5" t="s">
        <v>476</v>
      </c>
      <c r="K1288" s="5" t="s">
        <v>34</v>
      </c>
      <c r="L1288">
        <v>5</v>
      </c>
      <c r="M1288">
        <v>31.41</v>
      </c>
      <c r="N1288" s="8">
        <v>4.71</v>
      </c>
      <c r="O1288" s="8">
        <v>152.34</v>
      </c>
      <c r="P1288" s="8">
        <v>7.62</v>
      </c>
      <c r="Q1288" s="10">
        <v>0</v>
      </c>
      <c r="R1288" s="10">
        <v>5</v>
      </c>
      <c r="S1288" s="8">
        <v>164.96</v>
      </c>
      <c r="T1288">
        <v>12</v>
      </c>
      <c r="U1288" t="str">
        <f t="shared" si="20"/>
        <v>Thursday</v>
      </c>
    </row>
    <row r="1289" spans="1:21" x14ac:dyDescent="0.3">
      <c r="A1289" s="5" t="s">
        <v>3260</v>
      </c>
      <c r="B1289" s="3" t="s">
        <v>3686</v>
      </c>
      <c r="C1289" s="5" t="s">
        <v>478</v>
      </c>
      <c r="D1289" s="5" t="s">
        <v>21</v>
      </c>
      <c r="E1289" s="5" t="s">
        <v>36</v>
      </c>
      <c r="F1289" s="5" t="s">
        <v>23</v>
      </c>
      <c r="G1289" t="s">
        <v>3261</v>
      </c>
      <c r="H1289" s="5" t="s">
        <v>25</v>
      </c>
      <c r="I1289" s="5" t="s">
        <v>480</v>
      </c>
      <c r="J1289" s="5" t="s">
        <v>481</v>
      </c>
      <c r="K1289" s="5" t="s">
        <v>34</v>
      </c>
      <c r="L1289">
        <v>1</v>
      </c>
      <c r="M1289">
        <v>6.43</v>
      </c>
      <c r="N1289" s="8">
        <v>0.64</v>
      </c>
      <c r="O1289" s="8">
        <v>5.79</v>
      </c>
      <c r="P1289" s="8">
        <v>0.28999999999999998</v>
      </c>
      <c r="Q1289" s="10">
        <v>0</v>
      </c>
      <c r="R1289" s="10">
        <v>20</v>
      </c>
      <c r="S1289" s="8">
        <v>26.08</v>
      </c>
      <c r="T1289">
        <v>24.67</v>
      </c>
      <c r="U1289" t="str">
        <f t="shared" si="20"/>
        <v>Saturday</v>
      </c>
    </row>
    <row r="1290" spans="1:21" x14ac:dyDescent="0.3">
      <c r="A1290" s="5" t="s">
        <v>3262</v>
      </c>
      <c r="B1290" s="3" t="s">
        <v>3689</v>
      </c>
      <c r="C1290" s="5" t="s">
        <v>483</v>
      </c>
      <c r="D1290" s="5" t="s">
        <v>21</v>
      </c>
      <c r="E1290" s="5" t="s">
        <v>112</v>
      </c>
      <c r="F1290" s="5" t="s">
        <v>23</v>
      </c>
      <c r="G1290" t="s">
        <v>3263</v>
      </c>
      <c r="H1290" s="5" t="s">
        <v>25</v>
      </c>
      <c r="I1290" s="5" t="s">
        <v>485</v>
      </c>
      <c r="J1290" s="5" t="s">
        <v>486</v>
      </c>
      <c r="K1290" s="5" t="s">
        <v>34</v>
      </c>
      <c r="L1290">
        <v>3</v>
      </c>
      <c r="M1290">
        <v>138.33000000000001</v>
      </c>
      <c r="N1290" s="8">
        <v>0</v>
      </c>
      <c r="O1290" s="8">
        <v>414.99</v>
      </c>
      <c r="P1290" s="8">
        <v>20.75</v>
      </c>
      <c r="Q1290" s="10">
        <v>20</v>
      </c>
      <c r="R1290" s="10">
        <v>15</v>
      </c>
      <c r="S1290" s="8">
        <v>470.74</v>
      </c>
      <c r="T1290">
        <v>12</v>
      </c>
      <c r="U1290" t="str">
        <f t="shared" si="20"/>
        <v>Wednesday</v>
      </c>
    </row>
    <row r="1291" spans="1:21" x14ac:dyDescent="0.3">
      <c r="A1291" s="5" t="s">
        <v>3264</v>
      </c>
      <c r="B1291" s="3" t="s">
        <v>3734</v>
      </c>
      <c r="C1291" s="5" t="s">
        <v>488</v>
      </c>
      <c r="D1291" s="5" t="s">
        <v>21</v>
      </c>
      <c r="E1291" s="5" t="s">
        <v>76</v>
      </c>
      <c r="F1291" s="5" t="s">
        <v>23</v>
      </c>
      <c r="G1291" t="s">
        <v>3265</v>
      </c>
      <c r="H1291" s="5" t="s">
        <v>3673</v>
      </c>
      <c r="I1291" s="5" t="s">
        <v>490</v>
      </c>
      <c r="J1291" s="5" t="s">
        <v>491</v>
      </c>
      <c r="K1291" s="5" t="s">
        <v>40</v>
      </c>
      <c r="L1291">
        <v>1</v>
      </c>
      <c r="M1291">
        <v>120.38</v>
      </c>
      <c r="N1291" s="8">
        <v>6.02</v>
      </c>
      <c r="O1291" s="8">
        <v>114.36</v>
      </c>
      <c r="P1291" s="8">
        <v>5.72</v>
      </c>
      <c r="Q1291" s="10">
        <v>30</v>
      </c>
      <c r="R1291" s="10">
        <v>0</v>
      </c>
      <c r="S1291" s="8">
        <v>150.08000000000001</v>
      </c>
      <c r="T1291">
        <v>12</v>
      </c>
      <c r="U1291" t="str">
        <f t="shared" si="20"/>
        <v>Monday</v>
      </c>
    </row>
    <row r="1292" spans="1:21" x14ac:dyDescent="0.3">
      <c r="A1292" s="5" t="s">
        <v>3266</v>
      </c>
      <c r="B1292" s="3" t="s">
        <v>3680</v>
      </c>
      <c r="C1292" s="5" t="s">
        <v>493</v>
      </c>
      <c r="D1292" s="5" t="s">
        <v>21</v>
      </c>
      <c r="E1292" s="5" t="s">
        <v>112</v>
      </c>
      <c r="F1292" s="5" t="s">
        <v>42</v>
      </c>
      <c r="G1292" t="s">
        <v>3267</v>
      </c>
      <c r="H1292" s="5" t="s">
        <v>3674</v>
      </c>
      <c r="I1292" s="5" t="s">
        <v>495</v>
      </c>
      <c r="J1292" s="5" t="s">
        <v>496</v>
      </c>
      <c r="K1292" s="5" t="s">
        <v>45</v>
      </c>
      <c r="L1292">
        <v>1</v>
      </c>
      <c r="M1292">
        <v>39.950000000000003</v>
      </c>
      <c r="N1292" s="8">
        <v>5.99</v>
      </c>
      <c r="O1292" s="8">
        <v>33.96</v>
      </c>
      <c r="P1292" s="8">
        <v>1.7</v>
      </c>
      <c r="Q1292" s="10">
        <v>0</v>
      </c>
      <c r="R1292" s="10">
        <v>15</v>
      </c>
      <c r="S1292" s="8">
        <v>50.66</v>
      </c>
      <c r="T1292">
        <v>22</v>
      </c>
      <c r="U1292" t="str">
        <f t="shared" si="20"/>
        <v>Wednesday</v>
      </c>
    </row>
    <row r="1293" spans="1:21" x14ac:dyDescent="0.3">
      <c r="A1293" s="5" t="s">
        <v>3268</v>
      </c>
      <c r="B1293" s="3" t="s">
        <v>3691</v>
      </c>
      <c r="C1293" s="5" t="s">
        <v>498</v>
      </c>
      <c r="D1293" s="5" t="s">
        <v>21</v>
      </c>
      <c r="E1293" s="5" t="s">
        <v>76</v>
      </c>
      <c r="F1293" s="5" t="s">
        <v>37</v>
      </c>
      <c r="G1293" t="s">
        <v>3269</v>
      </c>
      <c r="H1293" s="5" t="s">
        <v>3673</v>
      </c>
      <c r="I1293" s="5" t="s">
        <v>500</v>
      </c>
      <c r="J1293" s="5" t="s">
        <v>501</v>
      </c>
      <c r="K1293" s="5" t="s">
        <v>28</v>
      </c>
      <c r="L1293">
        <v>1</v>
      </c>
      <c r="M1293">
        <v>172.57</v>
      </c>
      <c r="N1293" s="8">
        <v>8.6300000000000008</v>
      </c>
      <c r="O1293" s="8">
        <v>163.94</v>
      </c>
      <c r="P1293" s="8">
        <v>8.1999999999999993</v>
      </c>
      <c r="Q1293" s="10">
        <v>20</v>
      </c>
      <c r="R1293" s="10">
        <v>20</v>
      </c>
      <c r="S1293" s="8">
        <v>212.14</v>
      </c>
      <c r="T1293">
        <v>36</v>
      </c>
      <c r="U1293" t="str">
        <f t="shared" si="20"/>
        <v>Friday</v>
      </c>
    </row>
    <row r="1294" spans="1:21" x14ac:dyDescent="0.3">
      <c r="A1294" s="5" t="s">
        <v>3270</v>
      </c>
      <c r="B1294" s="3" t="s">
        <v>3698</v>
      </c>
      <c r="C1294" s="5" t="s">
        <v>503</v>
      </c>
      <c r="D1294" s="5" t="s">
        <v>21</v>
      </c>
      <c r="E1294" s="5" t="s">
        <v>76</v>
      </c>
      <c r="F1294" s="5" t="s">
        <v>37</v>
      </c>
      <c r="G1294" t="s">
        <v>3271</v>
      </c>
      <c r="H1294" s="5" t="s">
        <v>3677</v>
      </c>
      <c r="I1294" s="5" t="s">
        <v>505</v>
      </c>
      <c r="J1294" s="5" t="s">
        <v>506</v>
      </c>
      <c r="K1294" s="5" t="s">
        <v>145</v>
      </c>
      <c r="L1294">
        <v>3</v>
      </c>
      <c r="M1294">
        <v>61.21</v>
      </c>
      <c r="N1294" s="8">
        <v>6.12</v>
      </c>
      <c r="O1294" s="8">
        <v>177.51</v>
      </c>
      <c r="P1294" s="8">
        <v>8.8800000000000008</v>
      </c>
      <c r="Q1294" s="10">
        <v>30</v>
      </c>
      <c r="R1294" s="10">
        <v>5</v>
      </c>
      <c r="S1294" s="8">
        <v>221.39</v>
      </c>
      <c r="T1294">
        <v>21</v>
      </c>
      <c r="U1294" t="str">
        <f t="shared" si="20"/>
        <v>Sunday</v>
      </c>
    </row>
    <row r="1295" spans="1:21" x14ac:dyDescent="0.3">
      <c r="A1295" s="5" t="s">
        <v>3272</v>
      </c>
      <c r="B1295" s="3" t="s">
        <v>3723</v>
      </c>
      <c r="C1295" s="5" t="s">
        <v>508</v>
      </c>
      <c r="D1295" s="5" t="s">
        <v>82</v>
      </c>
      <c r="E1295" s="5" t="s">
        <v>83</v>
      </c>
      <c r="F1295" s="5" t="s">
        <v>23</v>
      </c>
      <c r="G1295" t="s">
        <v>3273</v>
      </c>
      <c r="H1295" s="5" t="s">
        <v>3677</v>
      </c>
      <c r="I1295" s="5" t="s">
        <v>510</v>
      </c>
      <c r="J1295" s="5" t="s">
        <v>511</v>
      </c>
      <c r="K1295" s="5" t="s">
        <v>56</v>
      </c>
      <c r="L1295">
        <v>4</v>
      </c>
      <c r="M1295">
        <v>114.54</v>
      </c>
      <c r="N1295" s="8">
        <v>11.45</v>
      </c>
      <c r="O1295" s="8">
        <v>446.71</v>
      </c>
      <c r="P1295" s="8">
        <v>22.34</v>
      </c>
      <c r="Q1295" s="10">
        <v>10</v>
      </c>
      <c r="R1295" s="10">
        <v>0</v>
      </c>
      <c r="S1295" s="8">
        <v>479.05</v>
      </c>
      <c r="T1295">
        <v>24.67</v>
      </c>
      <c r="U1295" t="str">
        <f t="shared" si="20"/>
        <v>Monday</v>
      </c>
    </row>
    <row r="1296" spans="1:21" x14ac:dyDescent="0.3">
      <c r="A1296" s="5" t="s">
        <v>3274</v>
      </c>
      <c r="B1296" s="3" t="s">
        <v>3718</v>
      </c>
      <c r="C1296" s="5" t="s">
        <v>513</v>
      </c>
      <c r="D1296" s="5" t="s">
        <v>21</v>
      </c>
      <c r="E1296" s="5" t="s">
        <v>76</v>
      </c>
      <c r="F1296" s="5" t="s">
        <v>37</v>
      </c>
      <c r="G1296" t="s">
        <v>3275</v>
      </c>
      <c r="H1296" s="5" t="s">
        <v>100</v>
      </c>
      <c r="I1296" s="5" t="s">
        <v>515</v>
      </c>
      <c r="J1296" s="5" t="s">
        <v>516</v>
      </c>
      <c r="K1296" s="5" t="s">
        <v>22</v>
      </c>
      <c r="L1296">
        <v>2</v>
      </c>
      <c r="M1296">
        <v>24.37</v>
      </c>
      <c r="N1296" s="8">
        <v>0</v>
      </c>
      <c r="O1296" s="8">
        <v>48.74</v>
      </c>
      <c r="P1296" s="8">
        <v>2.44</v>
      </c>
      <c r="Q1296" s="10">
        <v>20</v>
      </c>
      <c r="R1296" s="10">
        <v>5</v>
      </c>
      <c r="S1296" s="8">
        <v>76.180000000000007</v>
      </c>
      <c r="T1296">
        <v>26</v>
      </c>
      <c r="U1296" t="str">
        <f t="shared" si="20"/>
        <v>Wednesday</v>
      </c>
    </row>
    <row r="1297" spans="1:21" x14ac:dyDescent="0.3">
      <c r="A1297" s="5" t="s">
        <v>3276</v>
      </c>
      <c r="B1297" s="3" t="s">
        <v>3736</v>
      </c>
      <c r="C1297" s="5" t="s">
        <v>518</v>
      </c>
      <c r="D1297" s="5" t="s">
        <v>21</v>
      </c>
      <c r="E1297" s="5" t="s">
        <v>36</v>
      </c>
      <c r="F1297" s="5" t="s">
        <v>37</v>
      </c>
      <c r="G1297" t="s">
        <v>3277</v>
      </c>
      <c r="H1297" s="5" t="s">
        <v>3673</v>
      </c>
      <c r="I1297" s="5" t="s">
        <v>520</v>
      </c>
      <c r="J1297" s="5" t="s">
        <v>521</v>
      </c>
      <c r="K1297" s="5" t="s">
        <v>45</v>
      </c>
      <c r="L1297">
        <v>5</v>
      </c>
      <c r="M1297">
        <v>78.84</v>
      </c>
      <c r="N1297" s="8">
        <v>11.83</v>
      </c>
      <c r="O1297" s="8">
        <v>382.37000000000012</v>
      </c>
      <c r="P1297" s="8">
        <v>19.12</v>
      </c>
      <c r="Q1297" s="10">
        <v>10</v>
      </c>
      <c r="R1297" s="10">
        <v>5</v>
      </c>
      <c r="S1297" s="8">
        <v>416.49000000000012</v>
      </c>
      <c r="T1297">
        <v>18</v>
      </c>
      <c r="U1297" t="str">
        <f t="shared" si="20"/>
        <v>Tuesday</v>
      </c>
    </row>
    <row r="1298" spans="1:21" x14ac:dyDescent="0.3">
      <c r="A1298" s="5" t="s">
        <v>3278</v>
      </c>
      <c r="B1298" s="3" t="s">
        <v>3727</v>
      </c>
      <c r="C1298" s="5" t="s">
        <v>523</v>
      </c>
      <c r="D1298" s="5" t="s">
        <v>106</v>
      </c>
      <c r="E1298" s="5" t="s">
        <v>83</v>
      </c>
      <c r="F1298" s="5" t="s">
        <v>23</v>
      </c>
      <c r="G1298" t="s">
        <v>3279</v>
      </c>
      <c r="H1298" s="5" t="s">
        <v>3676</v>
      </c>
      <c r="I1298" s="5" t="s">
        <v>525</v>
      </c>
      <c r="J1298" s="5" t="s">
        <v>526</v>
      </c>
      <c r="K1298" s="5" t="s">
        <v>103</v>
      </c>
      <c r="L1298">
        <v>4</v>
      </c>
      <c r="M1298">
        <v>165.63</v>
      </c>
      <c r="N1298" s="8">
        <v>8.2799999999999994</v>
      </c>
      <c r="O1298" s="8">
        <v>654.24</v>
      </c>
      <c r="P1298" s="8">
        <v>32.71</v>
      </c>
      <c r="Q1298" s="10">
        <v>0</v>
      </c>
      <c r="R1298" s="10">
        <v>0</v>
      </c>
      <c r="S1298" s="8">
        <v>686.95</v>
      </c>
      <c r="T1298">
        <v>24.67</v>
      </c>
      <c r="U1298" t="str">
        <f t="shared" si="20"/>
        <v>Friday</v>
      </c>
    </row>
    <row r="1299" spans="1:21" x14ac:dyDescent="0.3">
      <c r="A1299" s="5" t="s">
        <v>3280</v>
      </c>
      <c r="B1299" s="3" t="s">
        <v>3733</v>
      </c>
      <c r="C1299" s="5" t="s">
        <v>528</v>
      </c>
      <c r="D1299" s="5" t="s">
        <v>106</v>
      </c>
      <c r="E1299" s="5" t="s">
        <v>83</v>
      </c>
      <c r="F1299" s="5" t="s">
        <v>23</v>
      </c>
      <c r="G1299" t="s">
        <v>3281</v>
      </c>
      <c r="H1299" s="5" t="s">
        <v>3675</v>
      </c>
      <c r="I1299" s="5" t="s">
        <v>530</v>
      </c>
      <c r="J1299" s="5" t="s">
        <v>531</v>
      </c>
      <c r="K1299" s="5" t="s">
        <v>45</v>
      </c>
      <c r="L1299">
        <v>4</v>
      </c>
      <c r="M1299">
        <v>81.64</v>
      </c>
      <c r="N1299" s="8">
        <v>8.16</v>
      </c>
      <c r="O1299" s="8">
        <v>318.39999999999998</v>
      </c>
      <c r="P1299" s="8">
        <v>15.92</v>
      </c>
      <c r="Q1299" s="10">
        <v>20</v>
      </c>
      <c r="R1299" s="10">
        <v>20</v>
      </c>
      <c r="S1299" s="8">
        <v>374.32</v>
      </c>
      <c r="T1299">
        <v>24.67</v>
      </c>
      <c r="U1299" t="str">
        <f t="shared" si="20"/>
        <v>Sunday</v>
      </c>
    </row>
    <row r="1300" spans="1:21" x14ac:dyDescent="0.3">
      <c r="A1300" s="5" t="s">
        <v>3282</v>
      </c>
      <c r="B1300" s="3" t="s">
        <v>3685</v>
      </c>
      <c r="C1300" s="5" t="s">
        <v>533</v>
      </c>
      <c r="D1300" s="5" t="s">
        <v>82</v>
      </c>
      <c r="E1300" s="5" t="s">
        <v>83</v>
      </c>
      <c r="F1300" s="5" t="s">
        <v>42</v>
      </c>
      <c r="G1300" t="s">
        <v>3283</v>
      </c>
      <c r="H1300" s="5" t="s">
        <v>25</v>
      </c>
      <c r="I1300" s="5" t="s">
        <v>535</v>
      </c>
      <c r="J1300" s="5" t="s">
        <v>536</v>
      </c>
      <c r="K1300" s="5" t="s">
        <v>45</v>
      </c>
      <c r="L1300">
        <v>1</v>
      </c>
      <c r="M1300">
        <v>211.39</v>
      </c>
      <c r="N1300" s="8">
        <v>0</v>
      </c>
      <c r="O1300" s="8">
        <v>211.39</v>
      </c>
      <c r="P1300" s="8">
        <v>10.57</v>
      </c>
      <c r="Q1300" s="10">
        <v>0</v>
      </c>
      <c r="R1300" s="10">
        <v>20</v>
      </c>
      <c r="S1300" s="8">
        <v>241.96</v>
      </c>
      <c r="T1300">
        <v>24.67</v>
      </c>
      <c r="U1300" t="str">
        <f t="shared" si="20"/>
        <v>Thursday</v>
      </c>
    </row>
    <row r="1301" spans="1:21" x14ac:dyDescent="0.3">
      <c r="A1301" s="5" t="s">
        <v>3284</v>
      </c>
      <c r="B1301" s="3" t="s">
        <v>3727</v>
      </c>
      <c r="C1301" s="5" t="s">
        <v>538</v>
      </c>
      <c r="D1301" s="5" t="s">
        <v>21</v>
      </c>
      <c r="E1301" s="5" t="s">
        <v>22</v>
      </c>
      <c r="F1301" s="5" t="s">
        <v>37</v>
      </c>
      <c r="G1301" t="s">
        <v>3285</v>
      </c>
      <c r="H1301" s="5" t="s">
        <v>3673</v>
      </c>
      <c r="I1301" s="5" t="s">
        <v>539</v>
      </c>
      <c r="J1301" s="5" t="s">
        <v>540</v>
      </c>
      <c r="K1301" s="5" t="s">
        <v>73</v>
      </c>
      <c r="L1301">
        <v>3</v>
      </c>
      <c r="M1301">
        <v>165.99</v>
      </c>
      <c r="N1301" s="8">
        <v>0</v>
      </c>
      <c r="O1301" s="8">
        <v>497.97</v>
      </c>
      <c r="P1301" s="8">
        <v>24.9</v>
      </c>
      <c r="Q1301" s="10">
        <v>10</v>
      </c>
      <c r="R1301" s="10">
        <v>20</v>
      </c>
      <c r="S1301" s="8">
        <v>552.87</v>
      </c>
      <c r="T1301">
        <v>27</v>
      </c>
      <c r="U1301" t="str">
        <f t="shared" si="20"/>
        <v>Friday</v>
      </c>
    </row>
    <row r="1302" spans="1:21" x14ac:dyDescent="0.3">
      <c r="A1302" s="5" t="s">
        <v>3286</v>
      </c>
      <c r="B1302" s="3" t="s">
        <v>3694</v>
      </c>
      <c r="C1302" s="5" t="s">
        <v>542</v>
      </c>
      <c r="D1302" s="5" t="s">
        <v>21</v>
      </c>
      <c r="E1302" s="5" t="s">
        <v>69</v>
      </c>
      <c r="F1302" s="5" t="s">
        <v>37</v>
      </c>
      <c r="G1302" t="s">
        <v>3287</v>
      </c>
      <c r="H1302" s="5" t="s">
        <v>3673</v>
      </c>
      <c r="I1302" s="5" t="s">
        <v>544</v>
      </c>
      <c r="J1302" s="5" t="s">
        <v>545</v>
      </c>
      <c r="K1302" s="5" t="s">
        <v>45</v>
      </c>
      <c r="L1302">
        <v>3</v>
      </c>
      <c r="M1302">
        <v>139.19999999999999</v>
      </c>
      <c r="N1302" s="8">
        <v>6.96</v>
      </c>
      <c r="O1302" s="8">
        <v>410.64</v>
      </c>
      <c r="P1302" s="8">
        <v>20.53</v>
      </c>
      <c r="Q1302" s="10">
        <v>20</v>
      </c>
      <c r="R1302" s="10">
        <v>10</v>
      </c>
      <c r="S1302" s="8">
        <v>461.17</v>
      </c>
      <c r="T1302">
        <v>24.67</v>
      </c>
      <c r="U1302" t="str">
        <f t="shared" si="20"/>
        <v>Thursday</v>
      </c>
    </row>
    <row r="1303" spans="1:21" x14ac:dyDescent="0.3">
      <c r="A1303" s="5" t="s">
        <v>3288</v>
      </c>
      <c r="B1303" s="3" t="s">
        <v>3693</v>
      </c>
      <c r="C1303" s="5" t="s">
        <v>547</v>
      </c>
      <c r="D1303" s="5" t="s">
        <v>21</v>
      </c>
      <c r="E1303" s="5" t="s">
        <v>76</v>
      </c>
      <c r="F1303" s="5" t="s">
        <v>23</v>
      </c>
      <c r="G1303" t="s">
        <v>3289</v>
      </c>
      <c r="H1303" s="5" t="s">
        <v>3677</v>
      </c>
      <c r="I1303" s="5" t="s">
        <v>549</v>
      </c>
      <c r="J1303" s="5" t="s">
        <v>550</v>
      </c>
      <c r="K1303" s="5" t="s">
        <v>73</v>
      </c>
      <c r="L1303">
        <v>1</v>
      </c>
      <c r="M1303">
        <v>113.91</v>
      </c>
      <c r="N1303" s="8">
        <v>5.7</v>
      </c>
      <c r="O1303" s="8">
        <v>108.21</v>
      </c>
      <c r="P1303" s="8">
        <v>5.41</v>
      </c>
      <c r="Q1303" s="10">
        <v>0</v>
      </c>
      <c r="R1303" s="10">
        <v>0</v>
      </c>
      <c r="S1303" s="8">
        <v>113.62</v>
      </c>
      <c r="T1303">
        <v>20</v>
      </c>
      <c r="U1303" t="str">
        <f t="shared" si="20"/>
        <v>Thursday</v>
      </c>
    </row>
    <row r="1304" spans="1:21" x14ac:dyDescent="0.3">
      <c r="A1304" s="5" t="s">
        <v>3290</v>
      </c>
      <c r="B1304" s="3" t="s">
        <v>3734</v>
      </c>
      <c r="C1304" s="5" t="s">
        <v>552</v>
      </c>
      <c r="D1304" s="5" t="s">
        <v>21</v>
      </c>
      <c r="E1304" s="5" t="s">
        <v>112</v>
      </c>
      <c r="F1304" s="5" t="s">
        <v>37</v>
      </c>
      <c r="H1304" s="5" t="s">
        <v>3677</v>
      </c>
      <c r="I1304" s="5" t="s">
        <v>554</v>
      </c>
      <c r="J1304" s="5" t="s">
        <v>555</v>
      </c>
      <c r="K1304" s="5" t="s">
        <v>28</v>
      </c>
      <c r="L1304">
        <v>4</v>
      </c>
      <c r="M1304">
        <v>203.97</v>
      </c>
      <c r="N1304" s="8">
        <v>10.199999999999999</v>
      </c>
      <c r="O1304" s="8">
        <v>805.68</v>
      </c>
      <c r="P1304" s="8">
        <v>40.28</v>
      </c>
      <c r="Q1304" s="10">
        <v>0</v>
      </c>
      <c r="R1304" s="10">
        <v>10</v>
      </c>
      <c r="S1304" s="8">
        <v>855.95999999999992</v>
      </c>
      <c r="T1304">
        <v>26</v>
      </c>
      <c r="U1304" t="str">
        <f t="shared" si="20"/>
        <v>Monday</v>
      </c>
    </row>
    <row r="1305" spans="1:21" x14ac:dyDescent="0.3">
      <c r="A1305" s="5" t="s">
        <v>3291</v>
      </c>
      <c r="B1305" s="3" t="s">
        <v>3690</v>
      </c>
      <c r="C1305" s="5" t="s">
        <v>557</v>
      </c>
      <c r="D1305" s="5" t="s">
        <v>21</v>
      </c>
      <c r="E1305" s="5" t="s">
        <v>36</v>
      </c>
      <c r="F1305" s="5" t="s">
        <v>23</v>
      </c>
      <c r="G1305" t="s">
        <v>3292</v>
      </c>
      <c r="H1305" s="5" t="s">
        <v>100</v>
      </c>
      <c r="I1305" s="5" t="s">
        <v>559</v>
      </c>
      <c r="J1305" s="5" t="s">
        <v>560</v>
      </c>
      <c r="K1305" s="5" t="s">
        <v>40</v>
      </c>
      <c r="L1305">
        <v>7</v>
      </c>
      <c r="M1305">
        <v>82.95</v>
      </c>
      <c r="N1305" s="8">
        <v>0</v>
      </c>
      <c r="O1305" s="8">
        <v>580.65</v>
      </c>
      <c r="P1305" s="8">
        <v>29.03</v>
      </c>
      <c r="Q1305" s="10">
        <v>20</v>
      </c>
      <c r="R1305" s="10">
        <v>5</v>
      </c>
      <c r="S1305" s="8">
        <v>634.67999999999995</v>
      </c>
      <c r="T1305">
        <v>24</v>
      </c>
      <c r="U1305" t="str">
        <f t="shared" si="20"/>
        <v>Sunday</v>
      </c>
    </row>
    <row r="1306" spans="1:21" x14ac:dyDescent="0.3">
      <c r="A1306" s="5" t="s">
        <v>3293</v>
      </c>
      <c r="B1306" s="3" t="s">
        <v>3693</v>
      </c>
      <c r="C1306" s="5" t="s">
        <v>562</v>
      </c>
      <c r="D1306" s="5" t="s">
        <v>21</v>
      </c>
      <c r="E1306" s="5" t="s">
        <v>69</v>
      </c>
      <c r="F1306" s="5" t="s">
        <v>42</v>
      </c>
      <c r="G1306" t="s">
        <v>3294</v>
      </c>
      <c r="H1306" s="5" t="s">
        <v>100</v>
      </c>
      <c r="I1306" s="5" t="s">
        <v>564</v>
      </c>
      <c r="J1306" s="5" t="s">
        <v>565</v>
      </c>
      <c r="K1306" s="5" t="s">
        <v>28</v>
      </c>
      <c r="L1306">
        <v>5</v>
      </c>
      <c r="M1306">
        <v>82.4</v>
      </c>
      <c r="N1306" s="8">
        <v>0</v>
      </c>
      <c r="O1306" s="8">
        <v>412</v>
      </c>
      <c r="P1306" s="8">
        <v>20.6</v>
      </c>
      <c r="Q1306" s="10">
        <v>0</v>
      </c>
      <c r="R1306" s="10">
        <v>0</v>
      </c>
      <c r="S1306" s="8">
        <v>432.6</v>
      </c>
      <c r="T1306">
        <v>27</v>
      </c>
      <c r="U1306" t="str">
        <f t="shared" si="20"/>
        <v>Thursday</v>
      </c>
    </row>
    <row r="1307" spans="1:21" x14ac:dyDescent="0.3">
      <c r="A1307" s="5" t="s">
        <v>3295</v>
      </c>
      <c r="B1307" s="3" t="s">
        <v>3720</v>
      </c>
      <c r="C1307" s="5" t="s">
        <v>567</v>
      </c>
      <c r="D1307" s="5" t="s">
        <v>21</v>
      </c>
      <c r="E1307" s="5" t="s">
        <v>112</v>
      </c>
      <c r="F1307" s="5" t="s">
        <v>37</v>
      </c>
      <c r="G1307" t="s">
        <v>3296</v>
      </c>
      <c r="H1307" s="5" t="s">
        <v>3673</v>
      </c>
      <c r="I1307" s="5" t="s">
        <v>569</v>
      </c>
      <c r="J1307" s="5" t="s">
        <v>570</v>
      </c>
      <c r="K1307" s="5" t="s">
        <v>103</v>
      </c>
      <c r="L1307">
        <v>3</v>
      </c>
      <c r="M1307">
        <v>158.96</v>
      </c>
      <c r="N1307" s="8">
        <v>15.9</v>
      </c>
      <c r="O1307" s="8">
        <v>460.98</v>
      </c>
      <c r="P1307" s="8">
        <v>23.05</v>
      </c>
      <c r="Q1307" s="10">
        <v>10</v>
      </c>
      <c r="R1307" s="10">
        <v>15</v>
      </c>
      <c r="S1307" s="8">
        <v>509.03</v>
      </c>
      <c r="T1307">
        <v>21</v>
      </c>
      <c r="U1307" t="str">
        <f t="shared" si="20"/>
        <v>Monday</v>
      </c>
    </row>
    <row r="1308" spans="1:21" x14ac:dyDescent="0.3">
      <c r="A1308" s="5" t="s">
        <v>3297</v>
      </c>
      <c r="B1308" s="3" t="s">
        <v>3732</v>
      </c>
      <c r="C1308" s="5" t="s">
        <v>572</v>
      </c>
      <c r="D1308" s="5" t="s">
        <v>21</v>
      </c>
      <c r="E1308" s="5" t="s">
        <v>112</v>
      </c>
      <c r="F1308" s="5" t="s">
        <v>37</v>
      </c>
      <c r="G1308" t="s">
        <v>3298</v>
      </c>
      <c r="H1308" s="5" t="s">
        <v>3673</v>
      </c>
      <c r="I1308" s="5" t="s">
        <v>574</v>
      </c>
      <c r="J1308" s="5" t="s">
        <v>575</v>
      </c>
      <c r="K1308" s="5" t="s">
        <v>45</v>
      </c>
      <c r="L1308">
        <v>1</v>
      </c>
      <c r="M1308">
        <v>165.27</v>
      </c>
      <c r="N1308" s="8">
        <v>0</v>
      </c>
      <c r="O1308" s="8">
        <v>165.27</v>
      </c>
      <c r="P1308" s="8">
        <v>8.26</v>
      </c>
      <c r="Q1308" s="10">
        <v>20</v>
      </c>
      <c r="R1308" s="10">
        <v>20</v>
      </c>
      <c r="S1308" s="8">
        <v>213.53</v>
      </c>
      <c r="T1308">
        <v>23</v>
      </c>
      <c r="U1308" t="str">
        <f t="shared" si="20"/>
        <v>Wednesday</v>
      </c>
    </row>
    <row r="1309" spans="1:21" x14ac:dyDescent="0.3">
      <c r="A1309" s="5" t="s">
        <v>3299</v>
      </c>
      <c r="B1309" s="3" t="s">
        <v>3712</v>
      </c>
      <c r="C1309" s="5" t="s">
        <v>577</v>
      </c>
      <c r="D1309" s="5" t="s">
        <v>82</v>
      </c>
      <c r="E1309" s="5" t="s">
        <v>83</v>
      </c>
      <c r="F1309" s="5" t="s">
        <v>23</v>
      </c>
      <c r="G1309" t="s">
        <v>3300</v>
      </c>
      <c r="H1309" s="5" t="s">
        <v>3675</v>
      </c>
      <c r="I1309" s="5" t="s">
        <v>579</v>
      </c>
      <c r="J1309" s="5" t="s">
        <v>580</v>
      </c>
      <c r="K1309" s="5" t="s">
        <v>196</v>
      </c>
      <c r="L1309">
        <v>2</v>
      </c>
      <c r="M1309">
        <v>138.03</v>
      </c>
      <c r="N1309" s="8">
        <v>0</v>
      </c>
      <c r="O1309" s="8">
        <v>276.06</v>
      </c>
      <c r="P1309" s="8">
        <v>13.8</v>
      </c>
      <c r="Q1309" s="10">
        <v>20</v>
      </c>
      <c r="R1309" s="10">
        <v>5</v>
      </c>
      <c r="S1309" s="8">
        <v>314.86</v>
      </c>
      <c r="T1309">
        <v>24.67</v>
      </c>
      <c r="U1309" t="str">
        <f t="shared" si="20"/>
        <v>Thursday</v>
      </c>
    </row>
    <row r="1310" spans="1:21" x14ac:dyDescent="0.3">
      <c r="A1310" s="5" t="s">
        <v>3301</v>
      </c>
      <c r="B1310" s="3" t="s">
        <v>3714</v>
      </c>
      <c r="C1310" s="5" t="s">
        <v>582</v>
      </c>
      <c r="D1310" s="5" t="s">
        <v>21</v>
      </c>
      <c r="E1310" s="5" t="s">
        <v>22</v>
      </c>
      <c r="F1310" s="5" t="s">
        <v>23</v>
      </c>
      <c r="G1310" t="s">
        <v>3302</v>
      </c>
      <c r="H1310" s="5" t="s">
        <v>3675</v>
      </c>
      <c r="I1310" s="5" t="s">
        <v>584</v>
      </c>
      <c r="J1310" s="5" t="s">
        <v>585</v>
      </c>
      <c r="K1310" s="5" t="s">
        <v>73</v>
      </c>
      <c r="L1310">
        <v>4</v>
      </c>
      <c r="M1310">
        <v>67.209999999999994</v>
      </c>
      <c r="N1310" s="8">
        <v>3.36</v>
      </c>
      <c r="O1310" s="8">
        <v>265.48</v>
      </c>
      <c r="P1310" s="8">
        <v>13.27</v>
      </c>
      <c r="Q1310" s="10">
        <v>10</v>
      </c>
      <c r="R1310" s="10">
        <v>10</v>
      </c>
      <c r="S1310" s="8">
        <v>298.74999999999989</v>
      </c>
      <c r="T1310">
        <v>10</v>
      </c>
      <c r="U1310" t="str">
        <f t="shared" si="20"/>
        <v>Thursday</v>
      </c>
    </row>
    <row r="1311" spans="1:21" x14ac:dyDescent="0.3">
      <c r="A1311" s="5" t="s">
        <v>3303</v>
      </c>
      <c r="B1311" s="3" t="s">
        <v>3722</v>
      </c>
      <c r="C1311" s="5" t="s">
        <v>587</v>
      </c>
      <c r="D1311" s="5" t="s">
        <v>21</v>
      </c>
      <c r="E1311" s="5" t="s">
        <v>112</v>
      </c>
      <c r="F1311" s="5" t="s">
        <v>37</v>
      </c>
      <c r="G1311" t="s">
        <v>3304</v>
      </c>
      <c r="H1311" s="5" t="s">
        <v>3673</v>
      </c>
      <c r="I1311" s="5" t="s">
        <v>589</v>
      </c>
      <c r="J1311" s="5" t="s">
        <v>590</v>
      </c>
      <c r="K1311" s="5" t="s">
        <v>103</v>
      </c>
      <c r="L1311">
        <v>6</v>
      </c>
      <c r="M1311">
        <v>77.33</v>
      </c>
      <c r="N1311" s="8">
        <v>11.6</v>
      </c>
      <c r="O1311" s="8">
        <v>452.38</v>
      </c>
      <c r="P1311" s="8">
        <v>22.62</v>
      </c>
      <c r="Q1311" s="10">
        <v>0</v>
      </c>
      <c r="R1311" s="10">
        <v>0</v>
      </c>
      <c r="S1311" s="8">
        <v>475</v>
      </c>
      <c r="T1311">
        <v>39</v>
      </c>
      <c r="U1311" t="str">
        <f t="shared" si="20"/>
        <v>Friday</v>
      </c>
    </row>
    <row r="1312" spans="1:21" x14ac:dyDescent="0.3">
      <c r="A1312" s="5" t="s">
        <v>3305</v>
      </c>
      <c r="B1312" s="3" t="s">
        <v>3714</v>
      </c>
      <c r="C1312" s="5" t="s">
        <v>592</v>
      </c>
      <c r="D1312" s="5" t="s">
        <v>21</v>
      </c>
      <c r="E1312" s="5" t="s">
        <v>69</v>
      </c>
      <c r="F1312" s="5" t="s">
        <v>42</v>
      </c>
      <c r="G1312" t="s">
        <v>3306</v>
      </c>
      <c r="H1312" s="5" t="s">
        <v>3673</v>
      </c>
      <c r="I1312" s="5" t="s">
        <v>594</v>
      </c>
      <c r="J1312" s="5" t="s">
        <v>595</v>
      </c>
      <c r="K1312" s="5" t="s">
        <v>34</v>
      </c>
      <c r="L1312">
        <v>1</v>
      </c>
      <c r="M1312">
        <v>232.04</v>
      </c>
      <c r="N1312" s="8">
        <v>0</v>
      </c>
      <c r="O1312" s="8">
        <v>232.04</v>
      </c>
      <c r="P1312" s="8">
        <v>11.6</v>
      </c>
      <c r="Q1312" s="10">
        <v>0</v>
      </c>
      <c r="R1312" s="10">
        <v>0</v>
      </c>
      <c r="S1312" s="8">
        <v>243.64</v>
      </c>
      <c r="T1312">
        <v>35</v>
      </c>
      <c r="U1312" t="str">
        <f t="shared" si="20"/>
        <v>Thursday</v>
      </c>
    </row>
    <row r="1313" spans="1:21" x14ac:dyDescent="0.3">
      <c r="A1313" s="5" t="s">
        <v>3307</v>
      </c>
      <c r="B1313" s="3" t="s">
        <v>3686</v>
      </c>
      <c r="C1313" s="5" t="s">
        <v>597</v>
      </c>
      <c r="D1313" s="5" t="s">
        <v>21</v>
      </c>
      <c r="E1313" s="5" t="s">
        <v>36</v>
      </c>
      <c r="F1313" s="5" t="s">
        <v>42</v>
      </c>
      <c r="G1313" t="s">
        <v>3308</v>
      </c>
      <c r="H1313" s="5" t="s">
        <v>25</v>
      </c>
      <c r="I1313" s="5" t="s">
        <v>599</v>
      </c>
      <c r="J1313" s="5" t="s">
        <v>600</v>
      </c>
      <c r="K1313" s="5" t="s">
        <v>56</v>
      </c>
      <c r="L1313">
        <v>6</v>
      </c>
      <c r="M1313">
        <v>95.6</v>
      </c>
      <c r="N1313" s="8">
        <v>9.56</v>
      </c>
      <c r="O1313" s="8">
        <v>564.04</v>
      </c>
      <c r="P1313" s="8">
        <v>28.2</v>
      </c>
      <c r="Q1313" s="10">
        <v>10</v>
      </c>
      <c r="R1313" s="10">
        <v>15</v>
      </c>
      <c r="S1313" s="8">
        <v>617.24</v>
      </c>
      <c r="T1313">
        <v>26</v>
      </c>
      <c r="U1313" t="str">
        <f t="shared" si="20"/>
        <v>Saturday</v>
      </c>
    </row>
    <row r="1314" spans="1:21" x14ac:dyDescent="0.3">
      <c r="A1314" s="5" t="s">
        <v>3309</v>
      </c>
      <c r="B1314" s="3" t="s">
        <v>3707</v>
      </c>
      <c r="C1314" s="5" t="s">
        <v>602</v>
      </c>
      <c r="D1314" s="5" t="s">
        <v>21</v>
      </c>
      <c r="E1314" s="5" t="s">
        <v>22</v>
      </c>
      <c r="F1314" s="5" t="s">
        <v>42</v>
      </c>
      <c r="G1314" t="s">
        <v>3310</v>
      </c>
      <c r="H1314" s="5" t="s">
        <v>3673</v>
      </c>
      <c r="I1314" s="5" t="s">
        <v>604</v>
      </c>
      <c r="J1314" s="5" t="s">
        <v>605</v>
      </c>
      <c r="K1314" s="5" t="s">
        <v>28</v>
      </c>
      <c r="L1314">
        <v>1</v>
      </c>
      <c r="M1314">
        <v>38.83</v>
      </c>
      <c r="N1314" s="8">
        <v>5.82</v>
      </c>
      <c r="O1314" s="8">
        <v>33.01</v>
      </c>
      <c r="P1314" s="8">
        <v>1.65</v>
      </c>
      <c r="Q1314" s="10">
        <v>20</v>
      </c>
      <c r="R1314" s="10">
        <v>15</v>
      </c>
      <c r="S1314" s="8">
        <v>69.66</v>
      </c>
      <c r="T1314">
        <v>13</v>
      </c>
      <c r="U1314" t="str">
        <f t="shared" si="20"/>
        <v>Wednesday</v>
      </c>
    </row>
    <row r="1315" spans="1:21" x14ac:dyDescent="0.3">
      <c r="A1315" s="5" t="s">
        <v>3311</v>
      </c>
      <c r="B1315" s="3" t="s">
        <v>3687</v>
      </c>
      <c r="C1315" s="5" t="s">
        <v>607</v>
      </c>
      <c r="D1315" s="5" t="s">
        <v>21</v>
      </c>
      <c r="E1315" s="5" t="s">
        <v>112</v>
      </c>
      <c r="F1315" s="5" t="s">
        <v>23</v>
      </c>
      <c r="G1315" t="s">
        <v>3312</v>
      </c>
      <c r="H1315" s="5" t="s">
        <v>3676</v>
      </c>
      <c r="I1315" s="5" t="s">
        <v>609</v>
      </c>
      <c r="J1315" s="5" t="s">
        <v>610</v>
      </c>
      <c r="K1315" s="5" t="s">
        <v>40</v>
      </c>
      <c r="L1315">
        <v>4</v>
      </c>
      <c r="M1315">
        <v>98.01</v>
      </c>
      <c r="N1315" s="8">
        <v>0</v>
      </c>
      <c r="O1315" s="8">
        <v>392.04</v>
      </c>
      <c r="P1315" s="8">
        <v>19.600000000000001</v>
      </c>
      <c r="Q1315" s="10">
        <v>30</v>
      </c>
      <c r="R1315" s="10">
        <v>5</v>
      </c>
      <c r="S1315" s="8">
        <v>446.64</v>
      </c>
      <c r="T1315">
        <v>17</v>
      </c>
      <c r="U1315" t="str">
        <f t="shared" si="20"/>
        <v>Friday</v>
      </c>
    </row>
    <row r="1316" spans="1:21" x14ac:dyDescent="0.3">
      <c r="A1316" s="5" t="s">
        <v>3313</v>
      </c>
      <c r="B1316" s="3" t="s">
        <v>3696</v>
      </c>
      <c r="C1316" s="5" t="s">
        <v>612</v>
      </c>
      <c r="D1316" s="5" t="s">
        <v>21</v>
      </c>
      <c r="E1316" s="5" t="s">
        <v>22</v>
      </c>
      <c r="F1316" s="5" t="s">
        <v>42</v>
      </c>
      <c r="G1316" t="s">
        <v>3314</v>
      </c>
      <c r="H1316" s="5" t="s">
        <v>3673</v>
      </c>
      <c r="I1316" s="5" t="s">
        <v>614</v>
      </c>
      <c r="J1316" s="5" t="s">
        <v>615</v>
      </c>
      <c r="K1316" s="5" t="s">
        <v>45</v>
      </c>
      <c r="L1316">
        <v>1</v>
      </c>
      <c r="M1316">
        <v>56.89</v>
      </c>
      <c r="N1316" s="8">
        <v>8.5299999999999994</v>
      </c>
      <c r="O1316" s="8">
        <v>48.36</v>
      </c>
      <c r="P1316" s="8">
        <v>2.42</v>
      </c>
      <c r="Q1316" s="10">
        <v>0</v>
      </c>
      <c r="R1316" s="10">
        <v>15</v>
      </c>
      <c r="S1316" s="8">
        <v>65.78</v>
      </c>
      <c r="T1316">
        <v>2</v>
      </c>
      <c r="U1316" t="str">
        <f t="shared" si="20"/>
        <v>Friday</v>
      </c>
    </row>
    <row r="1317" spans="1:21" x14ac:dyDescent="0.3">
      <c r="A1317" s="5" t="s">
        <v>3315</v>
      </c>
      <c r="B1317" s="3" t="s">
        <v>3710</v>
      </c>
      <c r="C1317" s="5" t="s">
        <v>617</v>
      </c>
      <c r="D1317" s="5" t="s">
        <v>21</v>
      </c>
      <c r="E1317" s="5" t="s">
        <v>112</v>
      </c>
      <c r="F1317" s="5" t="s">
        <v>42</v>
      </c>
      <c r="H1317" s="5" t="s">
        <v>3676</v>
      </c>
      <c r="I1317" s="5" t="s">
        <v>619</v>
      </c>
      <c r="J1317" s="5" t="s">
        <v>620</v>
      </c>
      <c r="K1317" s="5" t="s">
        <v>28</v>
      </c>
      <c r="L1317">
        <v>1</v>
      </c>
      <c r="M1317">
        <v>159.94999999999999</v>
      </c>
      <c r="N1317" s="8">
        <v>23.99</v>
      </c>
      <c r="O1317" s="8">
        <v>135.96</v>
      </c>
      <c r="P1317" s="8">
        <v>6.8</v>
      </c>
      <c r="Q1317" s="10">
        <v>0</v>
      </c>
      <c r="R1317" s="10">
        <v>15</v>
      </c>
      <c r="S1317" s="8">
        <v>157.76</v>
      </c>
      <c r="T1317">
        <v>29</v>
      </c>
      <c r="U1317" t="str">
        <f t="shared" si="20"/>
        <v>Monday</v>
      </c>
    </row>
    <row r="1318" spans="1:21" x14ac:dyDescent="0.3">
      <c r="A1318" s="5" t="s">
        <v>3316</v>
      </c>
      <c r="B1318" s="3" t="s">
        <v>3721</v>
      </c>
      <c r="C1318" s="5" t="s">
        <v>622</v>
      </c>
      <c r="D1318" s="5" t="s">
        <v>21</v>
      </c>
      <c r="E1318" s="5" t="s">
        <v>22</v>
      </c>
      <c r="F1318" s="5" t="s">
        <v>37</v>
      </c>
      <c r="G1318" t="s">
        <v>3317</v>
      </c>
      <c r="H1318" s="5" t="s">
        <v>3676</v>
      </c>
      <c r="I1318" s="5" t="s">
        <v>624</v>
      </c>
      <c r="J1318" s="5" t="s">
        <v>625</v>
      </c>
      <c r="K1318" s="5" t="s">
        <v>56</v>
      </c>
      <c r="L1318">
        <v>2</v>
      </c>
      <c r="M1318">
        <v>78.88</v>
      </c>
      <c r="N1318" s="8">
        <v>7.89</v>
      </c>
      <c r="O1318" s="8">
        <v>149.87</v>
      </c>
      <c r="P1318" s="8">
        <v>7.49</v>
      </c>
      <c r="Q1318" s="10">
        <v>10</v>
      </c>
      <c r="R1318" s="10">
        <v>0</v>
      </c>
      <c r="S1318" s="8">
        <v>167.36</v>
      </c>
      <c r="T1318">
        <v>37</v>
      </c>
      <c r="U1318" t="str">
        <f t="shared" si="20"/>
        <v>Tuesday</v>
      </c>
    </row>
    <row r="1319" spans="1:21" x14ac:dyDescent="0.3">
      <c r="A1319" s="5" t="s">
        <v>3318</v>
      </c>
      <c r="B1319" s="3" t="s">
        <v>3695</v>
      </c>
      <c r="C1319" s="5" t="s">
        <v>627</v>
      </c>
      <c r="D1319" s="5" t="s">
        <v>21</v>
      </c>
      <c r="E1319" s="5" t="s">
        <v>22</v>
      </c>
      <c r="F1319" s="5" t="s">
        <v>42</v>
      </c>
      <c r="G1319" t="s">
        <v>3319</v>
      </c>
      <c r="H1319" s="5" t="s">
        <v>25</v>
      </c>
      <c r="I1319" s="5" t="s">
        <v>629</v>
      </c>
      <c r="J1319" s="5" t="s">
        <v>630</v>
      </c>
      <c r="K1319" s="5" t="s">
        <v>145</v>
      </c>
      <c r="L1319">
        <v>1</v>
      </c>
      <c r="M1319">
        <v>80.31</v>
      </c>
      <c r="N1319" s="8">
        <v>12.05</v>
      </c>
      <c r="O1319" s="8">
        <v>68.260000000000005</v>
      </c>
      <c r="P1319" s="8">
        <v>3.41</v>
      </c>
      <c r="Q1319" s="10">
        <v>30</v>
      </c>
      <c r="R1319" s="10">
        <v>15</v>
      </c>
      <c r="S1319" s="8">
        <v>116.67</v>
      </c>
      <c r="T1319">
        <v>40</v>
      </c>
      <c r="U1319" t="str">
        <f t="shared" si="20"/>
        <v>Thursday</v>
      </c>
    </row>
    <row r="1320" spans="1:21" x14ac:dyDescent="0.3">
      <c r="A1320" s="5" t="s">
        <v>3320</v>
      </c>
      <c r="B1320" s="3" t="s">
        <v>3728</v>
      </c>
      <c r="C1320" s="5" t="s">
        <v>632</v>
      </c>
      <c r="D1320" s="5" t="s">
        <v>21</v>
      </c>
      <c r="E1320" s="5" t="s">
        <v>22</v>
      </c>
      <c r="F1320" s="5" t="s">
        <v>37</v>
      </c>
      <c r="G1320" t="s">
        <v>3321</v>
      </c>
      <c r="H1320" s="5" t="s">
        <v>3673</v>
      </c>
      <c r="I1320" s="5" t="s">
        <v>634</v>
      </c>
      <c r="J1320" s="5" t="s">
        <v>635</v>
      </c>
      <c r="K1320" s="5" t="s">
        <v>145</v>
      </c>
      <c r="L1320">
        <v>4</v>
      </c>
      <c r="M1320">
        <v>97.01</v>
      </c>
      <c r="N1320" s="8">
        <v>4.8499999999999996</v>
      </c>
      <c r="O1320" s="8">
        <v>383.19</v>
      </c>
      <c r="P1320" s="8">
        <v>19.16</v>
      </c>
      <c r="Q1320" s="10">
        <v>20</v>
      </c>
      <c r="R1320" s="10">
        <v>0</v>
      </c>
      <c r="S1320" s="8">
        <v>422.35</v>
      </c>
      <c r="T1320">
        <v>24.67</v>
      </c>
      <c r="U1320" t="str">
        <f t="shared" si="20"/>
        <v>Friday</v>
      </c>
    </row>
    <row r="1321" spans="1:21" x14ac:dyDescent="0.3">
      <c r="A1321" s="5" t="s">
        <v>3322</v>
      </c>
      <c r="B1321" s="3" t="s">
        <v>3701</v>
      </c>
      <c r="C1321" s="5" t="s">
        <v>637</v>
      </c>
      <c r="D1321" s="5" t="s">
        <v>21</v>
      </c>
      <c r="E1321" s="5" t="s">
        <v>112</v>
      </c>
      <c r="F1321" s="5" t="s">
        <v>42</v>
      </c>
      <c r="G1321" t="s">
        <v>3323</v>
      </c>
      <c r="H1321" s="5" t="s">
        <v>3675</v>
      </c>
      <c r="I1321" s="5" t="s">
        <v>639</v>
      </c>
      <c r="J1321" s="5" t="s">
        <v>640</v>
      </c>
      <c r="K1321" s="5" t="s">
        <v>145</v>
      </c>
      <c r="L1321">
        <v>4</v>
      </c>
      <c r="M1321">
        <v>139.87</v>
      </c>
      <c r="N1321" s="8">
        <v>13.99</v>
      </c>
      <c r="O1321" s="8">
        <v>545.49</v>
      </c>
      <c r="P1321" s="8">
        <v>27.27</v>
      </c>
      <c r="Q1321" s="10">
        <v>20</v>
      </c>
      <c r="R1321" s="10">
        <v>10</v>
      </c>
      <c r="S1321" s="8">
        <v>602.76</v>
      </c>
      <c r="T1321">
        <v>41</v>
      </c>
      <c r="U1321" t="str">
        <f t="shared" si="20"/>
        <v>Tuesday</v>
      </c>
    </row>
    <row r="1322" spans="1:21" x14ac:dyDescent="0.3">
      <c r="A1322" s="5" t="s">
        <v>3324</v>
      </c>
      <c r="B1322" s="3" t="s">
        <v>3733</v>
      </c>
      <c r="C1322" s="5" t="s">
        <v>642</v>
      </c>
      <c r="D1322" s="5" t="s">
        <v>21</v>
      </c>
      <c r="E1322" s="5" t="s">
        <v>36</v>
      </c>
      <c r="F1322" s="5" t="s">
        <v>42</v>
      </c>
      <c r="G1322" t="s">
        <v>3325</v>
      </c>
      <c r="H1322" s="5" t="s">
        <v>3673</v>
      </c>
      <c r="I1322" s="5" t="s">
        <v>644</v>
      </c>
      <c r="J1322" s="5" t="s">
        <v>645</v>
      </c>
      <c r="K1322" s="5" t="s">
        <v>196</v>
      </c>
      <c r="L1322">
        <v>2</v>
      </c>
      <c r="M1322">
        <v>270.05</v>
      </c>
      <c r="N1322" s="8">
        <v>0</v>
      </c>
      <c r="O1322" s="8">
        <v>540.1</v>
      </c>
      <c r="P1322" s="8">
        <v>27.01</v>
      </c>
      <c r="Q1322" s="10">
        <v>30</v>
      </c>
      <c r="R1322" s="10">
        <v>20</v>
      </c>
      <c r="S1322" s="8">
        <v>617.11</v>
      </c>
      <c r="T1322">
        <v>24</v>
      </c>
      <c r="U1322" t="str">
        <f t="shared" si="20"/>
        <v>Sunday</v>
      </c>
    </row>
    <row r="1323" spans="1:21" x14ac:dyDescent="0.3">
      <c r="A1323" s="5" t="s">
        <v>3326</v>
      </c>
      <c r="B1323" s="3" t="s">
        <v>3697</v>
      </c>
      <c r="C1323" s="5" t="s">
        <v>647</v>
      </c>
      <c r="D1323" s="5" t="s">
        <v>21</v>
      </c>
      <c r="E1323" s="5" t="s">
        <v>112</v>
      </c>
      <c r="F1323" s="5" t="s">
        <v>23</v>
      </c>
      <c r="G1323" t="s">
        <v>3327</v>
      </c>
      <c r="H1323" s="5" t="s">
        <v>3675</v>
      </c>
      <c r="I1323" s="5" t="s">
        <v>649</v>
      </c>
      <c r="J1323" s="5" t="s">
        <v>650</v>
      </c>
      <c r="K1323" s="5" t="s">
        <v>73</v>
      </c>
      <c r="L1323">
        <v>3</v>
      </c>
      <c r="M1323">
        <v>165.49</v>
      </c>
      <c r="N1323" s="8">
        <v>24.82</v>
      </c>
      <c r="O1323" s="8">
        <v>471.65</v>
      </c>
      <c r="P1323" s="8">
        <v>23.58</v>
      </c>
      <c r="Q1323" s="10">
        <v>0</v>
      </c>
      <c r="R1323" s="10">
        <v>5</v>
      </c>
      <c r="S1323" s="8">
        <v>500.23</v>
      </c>
      <c r="T1323">
        <v>24.67</v>
      </c>
      <c r="U1323" t="str">
        <f t="shared" si="20"/>
        <v>Saturday</v>
      </c>
    </row>
    <row r="1324" spans="1:21" x14ac:dyDescent="0.3">
      <c r="A1324" s="5" t="s">
        <v>3328</v>
      </c>
      <c r="B1324" s="3" t="s">
        <v>3694</v>
      </c>
      <c r="C1324" s="5" t="s">
        <v>652</v>
      </c>
      <c r="D1324" s="5" t="s">
        <v>21</v>
      </c>
      <c r="E1324" s="5" t="s">
        <v>76</v>
      </c>
      <c r="F1324" s="5" t="s">
        <v>23</v>
      </c>
      <c r="G1324" t="s">
        <v>3329</v>
      </c>
      <c r="H1324" s="5" t="s">
        <v>100</v>
      </c>
      <c r="I1324" s="5" t="s">
        <v>654</v>
      </c>
      <c r="J1324" s="5" t="s">
        <v>655</v>
      </c>
      <c r="K1324" s="5" t="s">
        <v>145</v>
      </c>
      <c r="L1324">
        <v>1</v>
      </c>
      <c r="M1324">
        <v>95.11</v>
      </c>
      <c r="N1324" s="8">
        <v>4.76</v>
      </c>
      <c r="O1324" s="8">
        <v>90.35</v>
      </c>
      <c r="P1324" s="8">
        <v>4.5199999999999996</v>
      </c>
      <c r="Q1324" s="10">
        <v>10</v>
      </c>
      <c r="R1324" s="10">
        <v>20</v>
      </c>
      <c r="S1324" s="8">
        <v>124.87</v>
      </c>
      <c r="T1324">
        <v>31</v>
      </c>
      <c r="U1324" t="str">
        <f t="shared" si="20"/>
        <v>Thursday</v>
      </c>
    </row>
    <row r="1325" spans="1:21" x14ac:dyDescent="0.3">
      <c r="A1325" s="5" t="s">
        <v>3330</v>
      </c>
      <c r="B1325" s="3" t="s">
        <v>3718</v>
      </c>
      <c r="C1325" s="5" t="s">
        <v>657</v>
      </c>
      <c r="D1325" s="5" t="s">
        <v>82</v>
      </c>
      <c r="E1325" s="5" t="s">
        <v>83</v>
      </c>
      <c r="F1325" s="5" t="s">
        <v>42</v>
      </c>
      <c r="G1325" t="s">
        <v>3331</v>
      </c>
      <c r="H1325" s="5" t="s">
        <v>3673</v>
      </c>
      <c r="I1325" s="5" t="s">
        <v>659</v>
      </c>
      <c r="J1325" s="5" t="s">
        <v>660</v>
      </c>
      <c r="K1325" s="5" t="s">
        <v>40</v>
      </c>
      <c r="L1325">
        <v>2</v>
      </c>
      <c r="M1325">
        <v>120.27</v>
      </c>
      <c r="N1325" s="8">
        <v>0</v>
      </c>
      <c r="O1325" s="8">
        <v>240.54</v>
      </c>
      <c r="P1325" s="8">
        <v>12.03</v>
      </c>
      <c r="Q1325" s="10">
        <v>10</v>
      </c>
      <c r="R1325" s="10">
        <v>15</v>
      </c>
      <c r="S1325" s="8">
        <v>277.57</v>
      </c>
      <c r="T1325">
        <v>23</v>
      </c>
      <c r="U1325" t="str">
        <f t="shared" si="20"/>
        <v>Wednesday</v>
      </c>
    </row>
    <row r="1326" spans="1:21" x14ac:dyDescent="0.3">
      <c r="A1326" s="5" t="s">
        <v>3332</v>
      </c>
      <c r="B1326" s="3" t="s">
        <v>3717</v>
      </c>
      <c r="C1326" s="5" t="s">
        <v>662</v>
      </c>
      <c r="D1326" s="5" t="s">
        <v>21</v>
      </c>
      <c r="E1326" s="5" t="s">
        <v>76</v>
      </c>
      <c r="F1326" s="5" t="s">
        <v>23</v>
      </c>
      <c r="H1326" s="5" t="s">
        <v>3674</v>
      </c>
      <c r="I1326" s="5" t="s">
        <v>664</v>
      </c>
      <c r="J1326" s="5" t="s">
        <v>665</v>
      </c>
      <c r="K1326" s="5" t="s">
        <v>196</v>
      </c>
      <c r="L1326">
        <v>4</v>
      </c>
      <c r="M1326">
        <v>158.37</v>
      </c>
      <c r="N1326" s="8">
        <v>0</v>
      </c>
      <c r="O1326" s="8">
        <v>633.48</v>
      </c>
      <c r="P1326" s="8">
        <v>31.67</v>
      </c>
      <c r="Q1326" s="10">
        <v>30</v>
      </c>
      <c r="R1326" s="10">
        <v>10</v>
      </c>
      <c r="S1326" s="8">
        <v>705.15</v>
      </c>
      <c r="T1326">
        <v>31</v>
      </c>
      <c r="U1326" t="str">
        <f t="shared" si="20"/>
        <v>Tuesday</v>
      </c>
    </row>
    <row r="1327" spans="1:21" x14ac:dyDescent="0.3">
      <c r="A1327" s="5" t="s">
        <v>3333</v>
      </c>
      <c r="B1327" s="3" t="s">
        <v>3688</v>
      </c>
      <c r="C1327" s="5" t="s">
        <v>667</v>
      </c>
      <c r="D1327" s="5" t="s">
        <v>21</v>
      </c>
      <c r="E1327" s="5" t="s">
        <v>22</v>
      </c>
      <c r="F1327" s="5" t="s">
        <v>42</v>
      </c>
      <c r="G1327" t="s">
        <v>3334</v>
      </c>
      <c r="H1327" s="5" t="s">
        <v>3675</v>
      </c>
      <c r="I1327" s="5" t="s">
        <v>669</v>
      </c>
      <c r="J1327" s="5" t="s">
        <v>670</v>
      </c>
      <c r="K1327" s="5" t="s">
        <v>196</v>
      </c>
      <c r="L1327">
        <v>5</v>
      </c>
      <c r="M1327">
        <v>117.84</v>
      </c>
      <c r="N1327" s="8">
        <v>11.78</v>
      </c>
      <c r="O1327" s="8">
        <v>577.42000000000007</v>
      </c>
      <c r="P1327" s="8">
        <v>28.87</v>
      </c>
      <c r="Q1327" s="10">
        <v>0</v>
      </c>
      <c r="R1327" s="10">
        <v>10</v>
      </c>
      <c r="S1327" s="8">
        <v>616.29000000000008</v>
      </c>
      <c r="T1327">
        <v>24.67</v>
      </c>
      <c r="U1327" t="str">
        <f t="shared" si="20"/>
        <v>Saturday</v>
      </c>
    </row>
    <row r="1328" spans="1:21" x14ac:dyDescent="0.3">
      <c r="A1328" s="5" t="s">
        <v>3335</v>
      </c>
      <c r="B1328" s="3" t="s">
        <v>3736</v>
      </c>
      <c r="C1328" s="5" t="s">
        <v>672</v>
      </c>
      <c r="D1328" s="5" t="s">
        <v>21</v>
      </c>
      <c r="E1328" s="5" t="s">
        <v>76</v>
      </c>
      <c r="F1328" s="5" t="s">
        <v>23</v>
      </c>
      <c r="G1328" t="s">
        <v>3336</v>
      </c>
      <c r="H1328" s="5" t="s">
        <v>3676</v>
      </c>
      <c r="I1328" s="5" t="s">
        <v>674</v>
      </c>
      <c r="J1328" s="5" t="s">
        <v>675</v>
      </c>
      <c r="K1328" s="5" t="s">
        <v>103</v>
      </c>
      <c r="L1328">
        <v>2</v>
      </c>
      <c r="M1328">
        <v>166.51</v>
      </c>
      <c r="N1328" s="8">
        <v>8.33</v>
      </c>
      <c r="O1328" s="8">
        <v>324.69</v>
      </c>
      <c r="P1328" s="8">
        <v>16.23</v>
      </c>
      <c r="Q1328" s="10">
        <v>20</v>
      </c>
      <c r="R1328" s="10">
        <v>10</v>
      </c>
      <c r="S1328" s="8">
        <v>370.92</v>
      </c>
      <c r="T1328">
        <v>34</v>
      </c>
      <c r="U1328" t="str">
        <f t="shared" si="20"/>
        <v>Tuesday</v>
      </c>
    </row>
    <row r="1329" spans="1:21" x14ac:dyDescent="0.3">
      <c r="A1329" s="5" t="s">
        <v>3337</v>
      </c>
      <c r="B1329" s="3" t="s">
        <v>3686</v>
      </c>
      <c r="C1329" s="5" t="s">
        <v>677</v>
      </c>
      <c r="D1329" s="5" t="s">
        <v>21</v>
      </c>
      <c r="E1329" s="5" t="s">
        <v>69</v>
      </c>
      <c r="F1329" s="5" t="s">
        <v>37</v>
      </c>
      <c r="G1329" t="s">
        <v>3338</v>
      </c>
      <c r="H1329" s="5" t="s">
        <v>3677</v>
      </c>
      <c r="I1329" s="5" t="s">
        <v>679</v>
      </c>
      <c r="J1329" s="5" t="s">
        <v>680</v>
      </c>
      <c r="K1329" s="5" t="s">
        <v>196</v>
      </c>
      <c r="L1329">
        <v>2</v>
      </c>
      <c r="M1329">
        <v>143.88999999999999</v>
      </c>
      <c r="N1329" s="8">
        <v>21.58</v>
      </c>
      <c r="O1329" s="8">
        <v>266.2</v>
      </c>
      <c r="P1329" s="8">
        <v>13.31</v>
      </c>
      <c r="Q1329" s="10">
        <v>30</v>
      </c>
      <c r="R1329" s="10">
        <v>10</v>
      </c>
      <c r="S1329" s="8">
        <v>319.51</v>
      </c>
      <c r="T1329">
        <v>24.67</v>
      </c>
      <c r="U1329" t="str">
        <f t="shared" si="20"/>
        <v>Saturday</v>
      </c>
    </row>
    <row r="1330" spans="1:21" x14ac:dyDescent="0.3">
      <c r="A1330" s="5" t="s">
        <v>3339</v>
      </c>
      <c r="B1330" s="3" t="s">
        <v>3714</v>
      </c>
      <c r="C1330" s="5" t="s">
        <v>682</v>
      </c>
      <c r="D1330" s="5" t="s">
        <v>21</v>
      </c>
      <c r="E1330" s="5" t="s">
        <v>22</v>
      </c>
      <c r="F1330" s="5" t="s">
        <v>37</v>
      </c>
      <c r="G1330" t="s">
        <v>3340</v>
      </c>
      <c r="H1330" s="5" t="s">
        <v>3673</v>
      </c>
      <c r="I1330" s="5" t="s">
        <v>684</v>
      </c>
      <c r="J1330" s="5" t="s">
        <v>685</v>
      </c>
      <c r="K1330" s="5" t="s">
        <v>45</v>
      </c>
      <c r="L1330">
        <v>2</v>
      </c>
      <c r="M1330">
        <v>121.89</v>
      </c>
      <c r="N1330" s="8">
        <v>6.09</v>
      </c>
      <c r="O1330" s="8">
        <v>237.69</v>
      </c>
      <c r="P1330" s="8">
        <v>11.88</v>
      </c>
      <c r="Q1330" s="10">
        <v>30</v>
      </c>
      <c r="R1330" s="10">
        <v>10</v>
      </c>
      <c r="S1330" s="8">
        <v>289.57</v>
      </c>
      <c r="T1330">
        <v>31</v>
      </c>
      <c r="U1330" t="str">
        <f t="shared" si="20"/>
        <v>Thursday</v>
      </c>
    </row>
    <row r="1331" spans="1:21" x14ac:dyDescent="0.3">
      <c r="A1331" s="5" t="s">
        <v>3341</v>
      </c>
      <c r="B1331" s="3" t="s">
        <v>3726</v>
      </c>
      <c r="C1331" s="5" t="s">
        <v>687</v>
      </c>
      <c r="D1331" s="5" t="s">
        <v>21</v>
      </c>
      <c r="E1331" s="5" t="s">
        <v>69</v>
      </c>
      <c r="F1331" s="5" t="s">
        <v>37</v>
      </c>
      <c r="G1331" t="s">
        <v>3342</v>
      </c>
      <c r="H1331" s="5" t="s">
        <v>3677</v>
      </c>
      <c r="I1331" s="5" t="s">
        <v>689</v>
      </c>
      <c r="J1331" s="5" t="s">
        <v>690</v>
      </c>
      <c r="K1331" s="5" t="s">
        <v>196</v>
      </c>
      <c r="L1331">
        <v>2</v>
      </c>
      <c r="M1331">
        <v>140.24</v>
      </c>
      <c r="N1331" s="8">
        <v>7.01</v>
      </c>
      <c r="O1331" s="8">
        <v>273.47000000000003</v>
      </c>
      <c r="P1331" s="8">
        <v>13.67</v>
      </c>
      <c r="Q1331" s="10">
        <v>20</v>
      </c>
      <c r="R1331" s="10">
        <v>20</v>
      </c>
      <c r="S1331" s="8">
        <v>327.14</v>
      </c>
      <c r="T1331">
        <v>14</v>
      </c>
      <c r="U1331" t="str">
        <f t="shared" si="20"/>
        <v>Monday</v>
      </c>
    </row>
    <row r="1332" spans="1:21" x14ac:dyDescent="0.3">
      <c r="A1332" s="5" t="s">
        <v>3343</v>
      </c>
      <c r="B1332" s="3" t="s">
        <v>3699</v>
      </c>
      <c r="C1332" s="5" t="s">
        <v>692</v>
      </c>
      <c r="D1332" s="5" t="s">
        <v>82</v>
      </c>
      <c r="E1332" s="5" t="s">
        <v>83</v>
      </c>
      <c r="F1332" s="5" t="s">
        <v>23</v>
      </c>
      <c r="G1332" t="s">
        <v>3344</v>
      </c>
      <c r="H1332" s="5" t="s">
        <v>3673</v>
      </c>
      <c r="I1332" s="5" t="s">
        <v>694</v>
      </c>
      <c r="J1332" s="5" t="s">
        <v>695</v>
      </c>
      <c r="K1332" s="5" t="s">
        <v>103</v>
      </c>
      <c r="L1332">
        <v>1</v>
      </c>
      <c r="M1332">
        <v>99.36</v>
      </c>
      <c r="N1332" s="8">
        <v>14.9</v>
      </c>
      <c r="O1332" s="8">
        <v>84.46</v>
      </c>
      <c r="P1332" s="8">
        <v>4.22</v>
      </c>
      <c r="Q1332" s="10">
        <v>10</v>
      </c>
      <c r="R1332" s="10">
        <v>15</v>
      </c>
      <c r="S1332" s="8">
        <v>113.68</v>
      </c>
      <c r="T1332">
        <v>21</v>
      </c>
      <c r="U1332" t="str">
        <f t="shared" si="20"/>
        <v>Sunday</v>
      </c>
    </row>
    <row r="1333" spans="1:21" x14ac:dyDescent="0.3">
      <c r="A1333" s="5" t="s">
        <v>3345</v>
      </c>
      <c r="B1333" s="3" t="s">
        <v>3721</v>
      </c>
      <c r="C1333" s="5" t="s">
        <v>697</v>
      </c>
      <c r="D1333" s="5" t="s">
        <v>21</v>
      </c>
      <c r="E1333" s="5" t="s">
        <v>76</v>
      </c>
      <c r="F1333" s="5" t="s">
        <v>42</v>
      </c>
      <c r="G1333" t="s">
        <v>3346</v>
      </c>
      <c r="H1333" s="5" t="s">
        <v>3677</v>
      </c>
      <c r="I1333" s="5" t="s">
        <v>699</v>
      </c>
      <c r="J1333" s="5" t="s">
        <v>700</v>
      </c>
      <c r="K1333" s="5" t="s">
        <v>40</v>
      </c>
      <c r="L1333">
        <v>4</v>
      </c>
      <c r="M1333">
        <v>84.77</v>
      </c>
      <c r="N1333" s="8">
        <v>12.72</v>
      </c>
      <c r="O1333" s="8">
        <v>326.36</v>
      </c>
      <c r="P1333" s="8">
        <v>16.32</v>
      </c>
      <c r="Q1333" s="10">
        <v>0</v>
      </c>
      <c r="R1333" s="10">
        <v>10</v>
      </c>
      <c r="S1333" s="8">
        <v>352.67999999999989</v>
      </c>
      <c r="T1333">
        <v>44</v>
      </c>
      <c r="U1333" t="str">
        <f t="shared" si="20"/>
        <v>Tuesday</v>
      </c>
    </row>
    <row r="1334" spans="1:21" x14ac:dyDescent="0.3">
      <c r="A1334" s="5" t="s">
        <v>3347</v>
      </c>
      <c r="B1334" s="3" t="s">
        <v>3721</v>
      </c>
      <c r="C1334" s="5" t="s">
        <v>702</v>
      </c>
      <c r="D1334" s="5" t="s">
        <v>21</v>
      </c>
      <c r="E1334" s="5" t="s">
        <v>22</v>
      </c>
      <c r="F1334" s="5" t="s">
        <v>42</v>
      </c>
      <c r="G1334" t="s">
        <v>3348</v>
      </c>
      <c r="H1334" s="5" t="s">
        <v>3675</v>
      </c>
      <c r="I1334" s="5" t="s">
        <v>704</v>
      </c>
      <c r="J1334" s="5" t="s">
        <v>705</v>
      </c>
      <c r="K1334" s="5" t="s">
        <v>45</v>
      </c>
      <c r="L1334">
        <v>5</v>
      </c>
      <c r="M1334">
        <v>109.52</v>
      </c>
      <c r="N1334" s="8">
        <v>5.48</v>
      </c>
      <c r="O1334" s="8">
        <v>542.12</v>
      </c>
      <c r="P1334" s="8">
        <v>27.11</v>
      </c>
      <c r="Q1334" s="10">
        <v>0</v>
      </c>
      <c r="R1334" s="10">
        <v>5</v>
      </c>
      <c r="S1334" s="8">
        <v>574.23</v>
      </c>
      <c r="T1334">
        <v>25</v>
      </c>
      <c r="U1334" t="str">
        <f t="shared" si="20"/>
        <v>Tuesday</v>
      </c>
    </row>
    <row r="1335" spans="1:21" x14ac:dyDescent="0.3">
      <c r="A1335" s="5" t="s">
        <v>3349</v>
      </c>
      <c r="B1335" s="3" t="s">
        <v>3732</v>
      </c>
      <c r="C1335" s="5" t="s">
        <v>707</v>
      </c>
      <c r="D1335" s="5" t="s">
        <v>21</v>
      </c>
      <c r="E1335" s="5" t="s">
        <v>36</v>
      </c>
      <c r="F1335" s="5" t="s">
        <v>37</v>
      </c>
      <c r="G1335" t="s">
        <v>3350</v>
      </c>
      <c r="H1335" s="5" t="s">
        <v>3677</v>
      </c>
      <c r="I1335" s="5" t="s">
        <v>709</v>
      </c>
      <c r="J1335" s="5" t="s">
        <v>710</v>
      </c>
      <c r="K1335" s="5" t="s">
        <v>196</v>
      </c>
      <c r="L1335">
        <v>1</v>
      </c>
      <c r="M1335">
        <v>44.35</v>
      </c>
      <c r="N1335" s="8">
        <v>0</v>
      </c>
      <c r="O1335" s="8">
        <v>44.35</v>
      </c>
      <c r="P1335" s="8">
        <v>2.2200000000000002</v>
      </c>
      <c r="Q1335" s="10">
        <v>20</v>
      </c>
      <c r="R1335" s="10">
        <v>20</v>
      </c>
      <c r="S1335" s="8">
        <v>86.57</v>
      </c>
      <c r="T1335">
        <v>24.67</v>
      </c>
      <c r="U1335" t="str">
        <f t="shared" si="20"/>
        <v>Wednesday</v>
      </c>
    </row>
    <row r="1336" spans="1:21" x14ac:dyDescent="0.3">
      <c r="A1336" s="5" t="s">
        <v>3351</v>
      </c>
      <c r="B1336" s="3" t="s">
        <v>3690</v>
      </c>
      <c r="C1336" s="5" t="s">
        <v>712</v>
      </c>
      <c r="D1336" s="5" t="s">
        <v>21</v>
      </c>
      <c r="E1336" s="5" t="s">
        <v>76</v>
      </c>
      <c r="F1336" s="5" t="s">
        <v>42</v>
      </c>
      <c r="G1336" t="s">
        <v>3352</v>
      </c>
      <c r="H1336" s="5" t="s">
        <v>3673</v>
      </c>
      <c r="I1336" s="5" t="s">
        <v>714</v>
      </c>
      <c r="J1336" s="5" t="s">
        <v>715</v>
      </c>
      <c r="K1336" s="5" t="s">
        <v>103</v>
      </c>
      <c r="L1336">
        <v>4</v>
      </c>
      <c r="M1336">
        <v>270.18</v>
      </c>
      <c r="N1336" s="8">
        <v>0</v>
      </c>
      <c r="O1336" s="8">
        <v>1080.72</v>
      </c>
      <c r="P1336" s="8">
        <v>54.04</v>
      </c>
      <c r="Q1336" s="10">
        <v>0</v>
      </c>
      <c r="R1336" s="10">
        <v>10</v>
      </c>
      <c r="S1336" s="8">
        <v>1144.76</v>
      </c>
      <c r="T1336">
        <v>24.67</v>
      </c>
      <c r="U1336" t="str">
        <f t="shared" si="20"/>
        <v>Sunday</v>
      </c>
    </row>
    <row r="1337" spans="1:21" x14ac:dyDescent="0.3">
      <c r="A1337" s="5" t="s">
        <v>3353</v>
      </c>
      <c r="B1337" s="3" t="s">
        <v>3692</v>
      </c>
      <c r="C1337" s="5" t="s">
        <v>717</v>
      </c>
      <c r="D1337" s="5" t="s">
        <v>21</v>
      </c>
      <c r="E1337" s="5" t="s">
        <v>36</v>
      </c>
      <c r="F1337" s="5" t="s">
        <v>3671</v>
      </c>
      <c r="G1337" t="s">
        <v>3354</v>
      </c>
      <c r="H1337" s="5" t="s">
        <v>100</v>
      </c>
      <c r="I1337" s="5" t="s">
        <v>719</v>
      </c>
      <c r="J1337" s="5" t="s">
        <v>720</v>
      </c>
      <c r="K1337" s="5" t="s">
        <v>28</v>
      </c>
      <c r="L1337">
        <v>6</v>
      </c>
      <c r="M1337">
        <v>113.12</v>
      </c>
      <c r="N1337" s="8">
        <v>0</v>
      </c>
      <c r="O1337" s="8">
        <v>678.72</v>
      </c>
      <c r="P1337" s="8">
        <v>33.94</v>
      </c>
      <c r="Q1337" s="10">
        <v>30</v>
      </c>
      <c r="R1337" s="10">
        <v>5</v>
      </c>
      <c r="S1337" s="8">
        <v>747.66000000000008</v>
      </c>
      <c r="T1337">
        <v>24.67</v>
      </c>
      <c r="U1337" t="str">
        <f t="shared" si="20"/>
        <v>Wednesday</v>
      </c>
    </row>
    <row r="1338" spans="1:21" x14ac:dyDescent="0.3">
      <c r="A1338" s="5" t="s">
        <v>3355</v>
      </c>
      <c r="B1338" s="3" t="s">
        <v>3697</v>
      </c>
      <c r="C1338" s="5" t="s">
        <v>722</v>
      </c>
      <c r="D1338" s="5" t="s">
        <v>21</v>
      </c>
      <c r="E1338" s="5" t="s">
        <v>69</v>
      </c>
      <c r="F1338" s="5" t="s">
        <v>37</v>
      </c>
      <c r="G1338" t="s">
        <v>3356</v>
      </c>
      <c r="H1338" s="5" t="s">
        <v>3673</v>
      </c>
      <c r="I1338" s="5" t="s">
        <v>724</v>
      </c>
      <c r="J1338" s="5" t="s">
        <v>725</v>
      </c>
      <c r="K1338" s="5" t="s">
        <v>45</v>
      </c>
      <c r="L1338">
        <v>2</v>
      </c>
      <c r="M1338">
        <v>108.81</v>
      </c>
      <c r="N1338" s="8">
        <v>5.44</v>
      </c>
      <c r="O1338" s="8">
        <v>212.18</v>
      </c>
      <c r="P1338" s="8">
        <v>10.61</v>
      </c>
      <c r="Q1338" s="10">
        <v>10</v>
      </c>
      <c r="R1338" s="10">
        <v>15</v>
      </c>
      <c r="S1338" s="8">
        <v>247.79</v>
      </c>
      <c r="T1338">
        <v>24.67</v>
      </c>
      <c r="U1338" t="str">
        <f t="shared" si="20"/>
        <v>Saturday</v>
      </c>
    </row>
    <row r="1339" spans="1:21" x14ac:dyDescent="0.3">
      <c r="A1339" s="5" t="s">
        <v>3357</v>
      </c>
      <c r="B1339" s="3" t="s">
        <v>3725</v>
      </c>
      <c r="C1339" s="5" t="s">
        <v>727</v>
      </c>
      <c r="D1339" s="5" t="s">
        <v>21</v>
      </c>
      <c r="E1339" s="5" t="s">
        <v>69</v>
      </c>
      <c r="F1339" s="5" t="s">
        <v>37</v>
      </c>
      <c r="G1339" t="s">
        <v>3358</v>
      </c>
      <c r="H1339" s="5" t="s">
        <v>25</v>
      </c>
      <c r="I1339" s="5" t="s">
        <v>729</v>
      </c>
      <c r="J1339" s="5" t="s">
        <v>730</v>
      </c>
      <c r="K1339" s="5" t="s">
        <v>28</v>
      </c>
      <c r="L1339">
        <v>3</v>
      </c>
      <c r="M1339">
        <v>179.42</v>
      </c>
      <c r="N1339" s="8">
        <v>8.9700000000000006</v>
      </c>
      <c r="O1339" s="8">
        <v>529.29</v>
      </c>
      <c r="P1339" s="8">
        <v>26.46</v>
      </c>
      <c r="Q1339" s="10">
        <v>10</v>
      </c>
      <c r="R1339" s="10">
        <v>10</v>
      </c>
      <c r="S1339" s="8">
        <v>575.75</v>
      </c>
      <c r="T1339">
        <v>10</v>
      </c>
      <c r="U1339" t="str">
        <f t="shared" si="20"/>
        <v>Wednesday</v>
      </c>
    </row>
    <row r="1340" spans="1:21" x14ac:dyDescent="0.3">
      <c r="A1340" s="5" t="s">
        <v>3359</v>
      </c>
      <c r="B1340" s="3" t="s">
        <v>3681</v>
      </c>
      <c r="C1340" s="5" t="s">
        <v>732</v>
      </c>
      <c r="D1340" s="5" t="s">
        <v>21</v>
      </c>
      <c r="E1340" s="5" t="s">
        <v>69</v>
      </c>
      <c r="F1340" s="5" t="s">
        <v>42</v>
      </c>
      <c r="G1340" t="s">
        <v>3360</v>
      </c>
      <c r="H1340" s="5" t="s">
        <v>25</v>
      </c>
      <c r="I1340" s="5" t="s">
        <v>734</v>
      </c>
      <c r="J1340" s="5" t="s">
        <v>735</v>
      </c>
      <c r="K1340" s="5" t="s">
        <v>22</v>
      </c>
      <c r="L1340">
        <v>4</v>
      </c>
      <c r="M1340">
        <v>246</v>
      </c>
      <c r="N1340" s="8">
        <v>36.9</v>
      </c>
      <c r="O1340" s="8">
        <v>947.1</v>
      </c>
      <c r="P1340" s="8">
        <v>47.36</v>
      </c>
      <c r="Q1340" s="10">
        <v>0</v>
      </c>
      <c r="R1340" s="10">
        <v>20</v>
      </c>
      <c r="S1340" s="8">
        <v>1014.46</v>
      </c>
      <c r="T1340">
        <v>23</v>
      </c>
      <c r="U1340" t="str">
        <f t="shared" si="20"/>
        <v>Wednesday</v>
      </c>
    </row>
    <row r="1341" spans="1:21" x14ac:dyDescent="0.3">
      <c r="A1341" s="5" t="s">
        <v>3361</v>
      </c>
      <c r="B1341" s="3" t="s">
        <v>3686</v>
      </c>
      <c r="C1341" s="5" t="s">
        <v>737</v>
      </c>
      <c r="D1341" s="5" t="s">
        <v>21</v>
      </c>
      <c r="E1341" s="5" t="s">
        <v>112</v>
      </c>
      <c r="F1341" s="5" t="s">
        <v>23</v>
      </c>
      <c r="G1341" t="s">
        <v>3362</v>
      </c>
      <c r="H1341" s="5" t="s">
        <v>100</v>
      </c>
      <c r="I1341" s="5" t="s">
        <v>739</v>
      </c>
      <c r="J1341" s="5" t="s">
        <v>740</v>
      </c>
      <c r="K1341" s="5" t="s">
        <v>22</v>
      </c>
      <c r="L1341">
        <v>2</v>
      </c>
      <c r="M1341">
        <v>109.33</v>
      </c>
      <c r="N1341" s="8">
        <v>5.47</v>
      </c>
      <c r="O1341" s="8">
        <v>213.19</v>
      </c>
      <c r="P1341" s="8">
        <v>10.66</v>
      </c>
      <c r="Q1341" s="10">
        <v>20</v>
      </c>
      <c r="R1341" s="10">
        <v>5</v>
      </c>
      <c r="S1341" s="8">
        <v>248.85</v>
      </c>
      <c r="T1341">
        <v>24.67</v>
      </c>
      <c r="U1341" t="str">
        <f t="shared" si="20"/>
        <v>Saturday</v>
      </c>
    </row>
    <row r="1342" spans="1:21" x14ac:dyDescent="0.3">
      <c r="A1342" s="5" t="s">
        <v>3363</v>
      </c>
      <c r="B1342" s="3" t="s">
        <v>3731</v>
      </c>
      <c r="C1342" s="5" t="s">
        <v>742</v>
      </c>
      <c r="D1342" s="5" t="s">
        <v>21</v>
      </c>
      <c r="E1342" s="5" t="s">
        <v>112</v>
      </c>
      <c r="F1342" s="5" t="s">
        <v>37</v>
      </c>
      <c r="G1342" t="s">
        <v>3364</v>
      </c>
      <c r="H1342" s="5" t="s">
        <v>3677</v>
      </c>
      <c r="I1342" s="5" t="s">
        <v>744</v>
      </c>
      <c r="J1342" s="5" t="s">
        <v>745</v>
      </c>
      <c r="K1342" s="5" t="s">
        <v>45</v>
      </c>
      <c r="L1342">
        <v>3</v>
      </c>
      <c r="M1342">
        <v>89.14</v>
      </c>
      <c r="N1342" s="8">
        <v>0</v>
      </c>
      <c r="O1342" s="8">
        <v>267.42</v>
      </c>
      <c r="P1342" s="8">
        <v>13.37</v>
      </c>
      <c r="Q1342" s="10">
        <v>30</v>
      </c>
      <c r="R1342" s="10">
        <v>5</v>
      </c>
      <c r="S1342" s="8">
        <v>315.79000000000002</v>
      </c>
      <c r="T1342">
        <v>31</v>
      </c>
      <c r="U1342" t="str">
        <f t="shared" si="20"/>
        <v>Monday</v>
      </c>
    </row>
    <row r="1343" spans="1:21" x14ac:dyDescent="0.3">
      <c r="A1343" s="5" t="s">
        <v>3365</v>
      </c>
      <c r="B1343" s="3" t="s">
        <v>3712</v>
      </c>
      <c r="C1343" s="5" t="s">
        <v>747</v>
      </c>
      <c r="D1343" s="5" t="s">
        <v>21</v>
      </c>
      <c r="E1343" s="5" t="s">
        <v>112</v>
      </c>
      <c r="F1343" s="5" t="s">
        <v>23</v>
      </c>
      <c r="G1343" t="s">
        <v>3366</v>
      </c>
      <c r="H1343" s="5" t="s">
        <v>3677</v>
      </c>
      <c r="I1343" s="5" t="s">
        <v>749</v>
      </c>
      <c r="J1343" s="5" t="s">
        <v>750</v>
      </c>
      <c r="K1343" s="5" t="s">
        <v>56</v>
      </c>
      <c r="L1343">
        <v>6</v>
      </c>
      <c r="M1343">
        <v>125.67</v>
      </c>
      <c r="N1343" s="8">
        <v>12.57</v>
      </c>
      <c r="O1343" s="8">
        <v>741.44999999999993</v>
      </c>
      <c r="P1343" s="8">
        <v>37.07</v>
      </c>
      <c r="Q1343" s="10">
        <v>30</v>
      </c>
      <c r="R1343" s="10">
        <v>5</v>
      </c>
      <c r="S1343" s="8">
        <v>813.52</v>
      </c>
      <c r="T1343">
        <v>14</v>
      </c>
      <c r="U1343" t="str">
        <f t="shared" si="20"/>
        <v>Thursday</v>
      </c>
    </row>
    <row r="1344" spans="1:21" x14ac:dyDescent="0.3">
      <c r="A1344" s="5" t="s">
        <v>3367</v>
      </c>
      <c r="B1344" s="3" t="s">
        <v>3717</v>
      </c>
      <c r="C1344" s="5" t="s">
        <v>752</v>
      </c>
      <c r="D1344" s="5" t="s">
        <v>21</v>
      </c>
      <c r="E1344" s="5" t="s">
        <v>36</v>
      </c>
      <c r="F1344" s="5" t="s">
        <v>23</v>
      </c>
      <c r="G1344" t="s">
        <v>3368</v>
      </c>
      <c r="H1344" s="5" t="s">
        <v>3674</v>
      </c>
      <c r="I1344" s="5" t="s">
        <v>754</v>
      </c>
      <c r="J1344" s="5" t="s">
        <v>755</v>
      </c>
      <c r="K1344" s="5" t="s">
        <v>45</v>
      </c>
      <c r="L1344">
        <v>3</v>
      </c>
      <c r="M1344">
        <v>109.76</v>
      </c>
      <c r="N1344" s="8">
        <v>0</v>
      </c>
      <c r="O1344" s="8">
        <v>329.28</v>
      </c>
      <c r="P1344" s="8">
        <v>16.46</v>
      </c>
      <c r="Q1344" s="10">
        <v>20</v>
      </c>
      <c r="R1344" s="10">
        <v>0</v>
      </c>
      <c r="S1344" s="8">
        <v>365.74</v>
      </c>
      <c r="T1344">
        <v>15</v>
      </c>
      <c r="U1344" t="str">
        <f t="shared" si="20"/>
        <v>Tuesday</v>
      </c>
    </row>
    <row r="1345" spans="1:21" x14ac:dyDescent="0.3">
      <c r="A1345" s="5" t="s">
        <v>3369</v>
      </c>
      <c r="B1345" s="3" t="s">
        <v>3697</v>
      </c>
      <c r="C1345" s="5" t="s">
        <v>757</v>
      </c>
      <c r="D1345" s="5" t="s">
        <v>21</v>
      </c>
      <c r="E1345" s="5" t="s">
        <v>69</v>
      </c>
      <c r="F1345" s="5" t="s">
        <v>37</v>
      </c>
      <c r="G1345" t="s">
        <v>3370</v>
      </c>
      <c r="H1345" s="5" t="s">
        <v>25</v>
      </c>
      <c r="I1345" s="5" t="s">
        <v>759</v>
      </c>
      <c r="J1345" s="5" t="s">
        <v>760</v>
      </c>
      <c r="K1345" s="5" t="s">
        <v>45</v>
      </c>
      <c r="L1345">
        <v>1</v>
      </c>
      <c r="M1345">
        <v>139.15</v>
      </c>
      <c r="N1345" s="8">
        <v>0</v>
      </c>
      <c r="O1345" s="8">
        <v>139.15</v>
      </c>
      <c r="P1345" s="8">
        <v>6.96</v>
      </c>
      <c r="Q1345" s="10">
        <v>0</v>
      </c>
      <c r="R1345" s="10">
        <v>15</v>
      </c>
      <c r="S1345" s="8">
        <v>161.11000000000001</v>
      </c>
      <c r="T1345">
        <v>26</v>
      </c>
      <c r="U1345" t="str">
        <f t="shared" si="20"/>
        <v>Saturday</v>
      </c>
    </row>
    <row r="1346" spans="1:21" x14ac:dyDescent="0.3">
      <c r="A1346" s="5" t="s">
        <v>3371</v>
      </c>
      <c r="B1346" s="3" t="s">
        <v>3695</v>
      </c>
      <c r="C1346" s="5" t="s">
        <v>762</v>
      </c>
      <c r="D1346" s="5" t="s">
        <v>21</v>
      </c>
      <c r="E1346" s="5" t="s">
        <v>76</v>
      </c>
      <c r="F1346" s="5" t="s">
        <v>37</v>
      </c>
      <c r="G1346" t="s">
        <v>3372</v>
      </c>
      <c r="H1346" s="5" t="s">
        <v>25</v>
      </c>
      <c r="I1346" s="5" t="s">
        <v>764</v>
      </c>
      <c r="J1346" s="5" t="s">
        <v>765</v>
      </c>
      <c r="K1346" s="5" t="s">
        <v>45</v>
      </c>
      <c r="L1346">
        <v>6</v>
      </c>
      <c r="M1346">
        <v>129.77000000000001</v>
      </c>
      <c r="N1346" s="8">
        <v>0</v>
      </c>
      <c r="O1346" s="8">
        <v>778.62000000000012</v>
      </c>
      <c r="P1346" s="8">
        <v>38.93</v>
      </c>
      <c r="Q1346" s="10">
        <v>10</v>
      </c>
      <c r="R1346" s="10">
        <v>0</v>
      </c>
      <c r="S1346" s="8">
        <v>827.55000000000007</v>
      </c>
      <c r="T1346">
        <v>31</v>
      </c>
      <c r="U1346" t="str">
        <f t="shared" si="20"/>
        <v>Thursday</v>
      </c>
    </row>
    <row r="1347" spans="1:21" x14ac:dyDescent="0.3">
      <c r="A1347" s="5" t="s">
        <v>3373</v>
      </c>
      <c r="B1347" s="3" t="s">
        <v>3721</v>
      </c>
      <c r="C1347" s="5" t="s">
        <v>767</v>
      </c>
      <c r="D1347" s="5" t="s">
        <v>82</v>
      </c>
      <c r="E1347" s="5" t="s">
        <v>83</v>
      </c>
      <c r="F1347" s="5" t="s">
        <v>42</v>
      </c>
      <c r="H1347" s="5" t="s">
        <v>25</v>
      </c>
      <c r="I1347" s="5" t="s">
        <v>769</v>
      </c>
      <c r="J1347" s="5" t="s">
        <v>770</v>
      </c>
      <c r="K1347" s="5" t="s">
        <v>28</v>
      </c>
      <c r="L1347">
        <v>3</v>
      </c>
      <c r="M1347">
        <v>160.28</v>
      </c>
      <c r="N1347" s="8">
        <v>24.04</v>
      </c>
      <c r="O1347" s="8">
        <v>456.8</v>
      </c>
      <c r="P1347" s="8">
        <v>22.84</v>
      </c>
      <c r="Q1347" s="10">
        <v>20</v>
      </c>
      <c r="R1347" s="10">
        <v>10</v>
      </c>
      <c r="S1347" s="8">
        <v>509.64</v>
      </c>
      <c r="T1347">
        <v>36</v>
      </c>
      <c r="U1347" t="str">
        <f t="shared" ref="U1347:U1410" si="21">TEXT(B1347,"dddd")</f>
        <v>Tuesday</v>
      </c>
    </row>
    <row r="1348" spans="1:21" x14ac:dyDescent="0.3">
      <c r="A1348" s="5" t="s">
        <v>3374</v>
      </c>
      <c r="B1348" s="3" t="s">
        <v>3682</v>
      </c>
      <c r="C1348" s="5" t="s">
        <v>772</v>
      </c>
      <c r="D1348" s="5" t="s">
        <v>21</v>
      </c>
      <c r="E1348" s="5" t="s">
        <v>76</v>
      </c>
      <c r="F1348" s="5" t="s">
        <v>37</v>
      </c>
      <c r="G1348" t="s">
        <v>3375</v>
      </c>
      <c r="H1348" s="5" t="s">
        <v>3674</v>
      </c>
      <c r="I1348" s="5" t="s">
        <v>774</v>
      </c>
      <c r="J1348" s="5" t="s">
        <v>775</v>
      </c>
      <c r="K1348" s="5" t="s">
        <v>145</v>
      </c>
      <c r="L1348">
        <v>1</v>
      </c>
      <c r="M1348">
        <v>171.89</v>
      </c>
      <c r="N1348" s="8">
        <v>8.59</v>
      </c>
      <c r="O1348" s="8">
        <v>163.30000000000001</v>
      </c>
      <c r="P1348" s="8">
        <v>8.16</v>
      </c>
      <c r="Q1348" s="10">
        <v>10</v>
      </c>
      <c r="R1348" s="10">
        <v>20</v>
      </c>
      <c r="S1348" s="8">
        <v>201.46</v>
      </c>
      <c r="T1348">
        <v>39</v>
      </c>
      <c r="U1348" t="str">
        <f t="shared" si="21"/>
        <v>Tuesday</v>
      </c>
    </row>
    <row r="1349" spans="1:21" x14ac:dyDescent="0.3">
      <c r="A1349" s="5" t="s">
        <v>3376</v>
      </c>
      <c r="B1349" s="3" t="s">
        <v>3712</v>
      </c>
      <c r="C1349" s="5" t="s">
        <v>777</v>
      </c>
      <c r="D1349" s="5" t="s">
        <v>21</v>
      </c>
      <c r="E1349" s="5" t="s">
        <v>112</v>
      </c>
      <c r="F1349" s="5" t="s">
        <v>37</v>
      </c>
      <c r="G1349" t="s">
        <v>3377</v>
      </c>
      <c r="H1349" s="5" t="s">
        <v>25</v>
      </c>
      <c r="I1349" s="5" t="s">
        <v>779</v>
      </c>
      <c r="J1349" s="5" t="s">
        <v>780</v>
      </c>
      <c r="K1349" s="5" t="s">
        <v>34</v>
      </c>
      <c r="L1349">
        <v>5</v>
      </c>
      <c r="M1349">
        <v>102.22</v>
      </c>
      <c r="N1349" s="8">
        <v>5.1100000000000003</v>
      </c>
      <c r="O1349" s="8">
        <v>505.99</v>
      </c>
      <c r="P1349" s="8">
        <v>25.3</v>
      </c>
      <c r="Q1349" s="10">
        <v>20</v>
      </c>
      <c r="R1349" s="10">
        <v>15</v>
      </c>
      <c r="S1349" s="8">
        <v>566.29</v>
      </c>
      <c r="T1349">
        <v>24.67</v>
      </c>
      <c r="U1349" t="str">
        <f t="shared" si="21"/>
        <v>Thursday</v>
      </c>
    </row>
    <row r="1350" spans="1:21" x14ac:dyDescent="0.3">
      <c r="A1350" s="5" t="s">
        <v>3378</v>
      </c>
      <c r="B1350" s="3" t="s">
        <v>3733</v>
      </c>
      <c r="C1350" s="5" t="s">
        <v>782</v>
      </c>
      <c r="D1350" s="5" t="s">
        <v>21</v>
      </c>
      <c r="E1350" s="5" t="s">
        <v>69</v>
      </c>
      <c r="F1350" s="5" t="s">
        <v>42</v>
      </c>
      <c r="G1350" t="s">
        <v>3379</v>
      </c>
      <c r="H1350" s="5" t="s">
        <v>100</v>
      </c>
      <c r="I1350" s="5" t="s">
        <v>784</v>
      </c>
      <c r="J1350" s="5" t="s">
        <v>785</v>
      </c>
      <c r="K1350" s="5" t="s">
        <v>56</v>
      </c>
      <c r="L1350">
        <v>1</v>
      </c>
      <c r="M1350">
        <v>99.61</v>
      </c>
      <c r="N1350" s="8">
        <v>14.94</v>
      </c>
      <c r="O1350" s="8">
        <v>84.67</v>
      </c>
      <c r="P1350" s="8">
        <v>4.2300000000000004</v>
      </c>
      <c r="Q1350" s="10">
        <v>20</v>
      </c>
      <c r="R1350" s="10">
        <v>0</v>
      </c>
      <c r="S1350" s="8">
        <v>108.9</v>
      </c>
      <c r="T1350">
        <v>27</v>
      </c>
      <c r="U1350" t="str">
        <f t="shared" si="21"/>
        <v>Sunday</v>
      </c>
    </row>
    <row r="1351" spans="1:21" x14ac:dyDescent="0.3">
      <c r="A1351" s="5" t="s">
        <v>3380</v>
      </c>
      <c r="B1351" s="3" t="s">
        <v>3684</v>
      </c>
      <c r="C1351" s="5" t="s">
        <v>787</v>
      </c>
      <c r="D1351" s="5" t="s">
        <v>21</v>
      </c>
      <c r="E1351" s="5" t="s">
        <v>69</v>
      </c>
      <c r="F1351" s="5" t="s">
        <v>37</v>
      </c>
      <c r="G1351" t="s">
        <v>3381</v>
      </c>
      <c r="H1351" s="5" t="s">
        <v>3673</v>
      </c>
      <c r="I1351" s="5" t="s">
        <v>789</v>
      </c>
      <c r="J1351" s="5" t="s">
        <v>790</v>
      </c>
      <c r="K1351" s="5" t="s">
        <v>28</v>
      </c>
      <c r="L1351">
        <v>2</v>
      </c>
      <c r="M1351">
        <v>152.57</v>
      </c>
      <c r="N1351" s="8">
        <v>22.89</v>
      </c>
      <c r="O1351" s="8">
        <v>282.25</v>
      </c>
      <c r="P1351" s="8">
        <v>14.11</v>
      </c>
      <c r="Q1351" s="10">
        <v>30</v>
      </c>
      <c r="R1351" s="10">
        <v>5</v>
      </c>
      <c r="S1351" s="8">
        <v>331.36</v>
      </c>
      <c r="T1351">
        <v>4</v>
      </c>
      <c r="U1351" t="str">
        <f t="shared" si="21"/>
        <v>Sunday</v>
      </c>
    </row>
    <row r="1352" spans="1:21" x14ac:dyDescent="0.3">
      <c r="A1352" s="5" t="s">
        <v>3382</v>
      </c>
      <c r="B1352" s="3" t="s">
        <v>3703</v>
      </c>
      <c r="C1352" s="5" t="s">
        <v>792</v>
      </c>
      <c r="D1352" s="5" t="s">
        <v>21</v>
      </c>
      <c r="E1352" s="5" t="s">
        <v>22</v>
      </c>
      <c r="F1352" s="5" t="s">
        <v>3671</v>
      </c>
      <c r="G1352" t="s">
        <v>3383</v>
      </c>
      <c r="H1352" s="5" t="s">
        <v>3675</v>
      </c>
      <c r="I1352" s="5" t="s">
        <v>794</v>
      </c>
      <c r="J1352" s="5" t="s">
        <v>795</v>
      </c>
      <c r="K1352" s="5" t="s">
        <v>145</v>
      </c>
      <c r="L1352">
        <v>3</v>
      </c>
      <c r="M1352">
        <v>215.94</v>
      </c>
      <c r="N1352" s="8">
        <v>32.39</v>
      </c>
      <c r="O1352" s="8">
        <v>615.42999999999995</v>
      </c>
      <c r="P1352" s="8">
        <v>30.77</v>
      </c>
      <c r="Q1352" s="10">
        <v>30</v>
      </c>
      <c r="R1352" s="10">
        <v>20</v>
      </c>
      <c r="S1352" s="8">
        <v>696.19999999999993</v>
      </c>
      <c r="T1352">
        <v>30</v>
      </c>
      <c r="U1352" t="str">
        <f t="shared" si="21"/>
        <v>Friday</v>
      </c>
    </row>
    <row r="1353" spans="1:21" x14ac:dyDescent="0.3">
      <c r="A1353" s="5" t="s">
        <v>3384</v>
      </c>
      <c r="B1353" s="3" t="s">
        <v>3717</v>
      </c>
      <c r="C1353" s="5" t="s">
        <v>797</v>
      </c>
      <c r="D1353" s="5" t="s">
        <v>21</v>
      </c>
      <c r="E1353" s="5" t="s">
        <v>112</v>
      </c>
      <c r="F1353" s="5" t="s">
        <v>37</v>
      </c>
      <c r="G1353" t="s">
        <v>3385</v>
      </c>
      <c r="H1353" s="5" t="s">
        <v>100</v>
      </c>
      <c r="I1353" s="5" t="s">
        <v>799</v>
      </c>
      <c r="J1353" s="5" t="s">
        <v>800</v>
      </c>
      <c r="K1353" s="5" t="s">
        <v>73</v>
      </c>
      <c r="L1353">
        <v>5</v>
      </c>
      <c r="M1353">
        <v>176.32</v>
      </c>
      <c r="N1353" s="8">
        <v>17.63</v>
      </c>
      <c r="O1353" s="8">
        <v>863.96999999999991</v>
      </c>
      <c r="P1353" s="8">
        <v>43.2</v>
      </c>
      <c r="Q1353" s="10">
        <v>10</v>
      </c>
      <c r="R1353" s="10">
        <v>10</v>
      </c>
      <c r="S1353" s="8">
        <v>927.17</v>
      </c>
      <c r="T1353">
        <v>40</v>
      </c>
      <c r="U1353" t="str">
        <f t="shared" si="21"/>
        <v>Tuesday</v>
      </c>
    </row>
    <row r="1354" spans="1:21" x14ac:dyDescent="0.3">
      <c r="A1354" s="5" t="s">
        <v>3386</v>
      </c>
      <c r="B1354" s="3" t="s">
        <v>3719</v>
      </c>
      <c r="C1354" s="5" t="s">
        <v>802</v>
      </c>
      <c r="D1354" s="5" t="s">
        <v>21</v>
      </c>
      <c r="E1354" s="5" t="s">
        <v>112</v>
      </c>
      <c r="F1354" s="5" t="s">
        <v>23</v>
      </c>
      <c r="G1354" t="s">
        <v>3387</v>
      </c>
      <c r="H1354" s="5" t="s">
        <v>3673</v>
      </c>
      <c r="I1354" s="5" t="s">
        <v>804</v>
      </c>
      <c r="J1354" s="5" t="s">
        <v>805</v>
      </c>
      <c r="K1354" s="5" t="s">
        <v>34</v>
      </c>
      <c r="L1354">
        <v>5</v>
      </c>
      <c r="M1354">
        <v>19.100000000000001</v>
      </c>
      <c r="N1354" s="8">
        <v>2.87</v>
      </c>
      <c r="O1354" s="8">
        <v>92.63</v>
      </c>
      <c r="P1354" s="8">
        <v>4.63</v>
      </c>
      <c r="Q1354" s="10">
        <v>0</v>
      </c>
      <c r="R1354" s="10">
        <v>5</v>
      </c>
      <c r="S1354" s="8">
        <v>102.26</v>
      </c>
      <c r="T1354">
        <v>22</v>
      </c>
      <c r="U1354" t="str">
        <f t="shared" si="21"/>
        <v>Sunday</v>
      </c>
    </row>
    <row r="1355" spans="1:21" x14ac:dyDescent="0.3">
      <c r="A1355" s="5" t="s">
        <v>3388</v>
      </c>
      <c r="B1355" s="3" t="s">
        <v>3716</v>
      </c>
      <c r="C1355" s="5" t="s">
        <v>807</v>
      </c>
      <c r="D1355" s="5" t="s">
        <v>21</v>
      </c>
      <c r="E1355" s="5" t="s">
        <v>36</v>
      </c>
      <c r="F1355" s="5" t="s">
        <v>42</v>
      </c>
      <c r="G1355" t="s">
        <v>3389</v>
      </c>
      <c r="H1355" s="5" t="s">
        <v>25</v>
      </c>
      <c r="I1355" s="5" t="s">
        <v>809</v>
      </c>
      <c r="J1355" s="5" t="s">
        <v>810</v>
      </c>
      <c r="K1355" s="5" t="s">
        <v>196</v>
      </c>
      <c r="L1355">
        <v>5</v>
      </c>
      <c r="M1355">
        <v>117.34</v>
      </c>
      <c r="N1355" s="8">
        <v>11.73</v>
      </c>
      <c r="O1355" s="8">
        <v>574.97</v>
      </c>
      <c r="P1355" s="8">
        <v>28.75</v>
      </c>
      <c r="Q1355" s="10">
        <v>20</v>
      </c>
      <c r="R1355" s="10">
        <v>15</v>
      </c>
      <c r="S1355" s="8">
        <v>638.72</v>
      </c>
      <c r="T1355">
        <v>24.67</v>
      </c>
      <c r="U1355" t="str">
        <f t="shared" si="21"/>
        <v>Saturday</v>
      </c>
    </row>
    <row r="1356" spans="1:21" x14ac:dyDescent="0.3">
      <c r="A1356" s="5" t="s">
        <v>3390</v>
      </c>
      <c r="B1356" s="3" t="s">
        <v>3700</v>
      </c>
      <c r="C1356" s="5" t="s">
        <v>812</v>
      </c>
      <c r="D1356" s="5" t="s">
        <v>21</v>
      </c>
      <c r="E1356" s="5" t="s">
        <v>36</v>
      </c>
      <c r="F1356" s="5" t="s">
        <v>37</v>
      </c>
      <c r="G1356" t="s">
        <v>3391</v>
      </c>
      <c r="H1356" s="5" t="s">
        <v>3673</v>
      </c>
      <c r="I1356" s="5" t="s">
        <v>814</v>
      </c>
      <c r="J1356" s="5" t="s">
        <v>815</v>
      </c>
      <c r="K1356" s="5" t="s">
        <v>22</v>
      </c>
      <c r="L1356">
        <v>2</v>
      </c>
      <c r="M1356">
        <v>134.53</v>
      </c>
      <c r="N1356" s="8">
        <v>6.73</v>
      </c>
      <c r="O1356" s="8">
        <v>262.33</v>
      </c>
      <c r="P1356" s="8">
        <v>13.12</v>
      </c>
      <c r="Q1356" s="10">
        <v>10</v>
      </c>
      <c r="R1356" s="10">
        <v>5</v>
      </c>
      <c r="S1356" s="8">
        <v>290.45</v>
      </c>
      <c r="T1356">
        <v>26</v>
      </c>
      <c r="U1356" t="str">
        <f t="shared" si="21"/>
        <v>Saturday</v>
      </c>
    </row>
    <row r="1357" spans="1:21" x14ac:dyDescent="0.3">
      <c r="A1357" s="5" t="s">
        <v>3392</v>
      </c>
      <c r="B1357" s="3" t="s">
        <v>3730</v>
      </c>
      <c r="C1357" s="5" t="s">
        <v>817</v>
      </c>
      <c r="D1357" s="5" t="s">
        <v>21</v>
      </c>
      <c r="E1357" s="5" t="s">
        <v>36</v>
      </c>
      <c r="F1357" s="5" t="s">
        <v>23</v>
      </c>
      <c r="G1357" t="s">
        <v>3393</v>
      </c>
      <c r="H1357" s="5" t="s">
        <v>3674</v>
      </c>
      <c r="I1357" s="5" t="s">
        <v>819</v>
      </c>
      <c r="J1357" s="5" t="s">
        <v>820</v>
      </c>
      <c r="K1357" s="5" t="s">
        <v>22</v>
      </c>
      <c r="L1357">
        <v>3</v>
      </c>
      <c r="M1357">
        <v>120.44</v>
      </c>
      <c r="N1357" s="8">
        <v>18.07</v>
      </c>
      <c r="O1357" s="8">
        <v>343.25</v>
      </c>
      <c r="P1357" s="8">
        <v>17.16</v>
      </c>
      <c r="Q1357" s="10">
        <v>0</v>
      </c>
      <c r="R1357" s="10">
        <v>20</v>
      </c>
      <c r="S1357" s="8">
        <v>380.41</v>
      </c>
      <c r="T1357">
        <v>10</v>
      </c>
      <c r="U1357" t="str">
        <f t="shared" si="21"/>
        <v>Friday</v>
      </c>
    </row>
    <row r="1358" spans="1:21" x14ac:dyDescent="0.3">
      <c r="A1358" s="5" t="s">
        <v>3394</v>
      </c>
      <c r="B1358" s="3" t="s">
        <v>3704</v>
      </c>
      <c r="C1358" s="5" t="s">
        <v>822</v>
      </c>
      <c r="D1358" s="5" t="s">
        <v>21</v>
      </c>
      <c r="E1358" s="5" t="s">
        <v>22</v>
      </c>
      <c r="F1358" s="5" t="s">
        <v>23</v>
      </c>
      <c r="H1358" s="5" t="s">
        <v>25</v>
      </c>
      <c r="I1358" s="5" t="s">
        <v>824</v>
      </c>
      <c r="J1358" s="5" t="s">
        <v>825</v>
      </c>
      <c r="K1358" s="5" t="s">
        <v>73</v>
      </c>
      <c r="L1358">
        <v>5</v>
      </c>
      <c r="M1358">
        <v>93.16</v>
      </c>
      <c r="N1358" s="8">
        <v>13.97</v>
      </c>
      <c r="O1358" s="8">
        <v>451.82999999999993</v>
      </c>
      <c r="P1358" s="8">
        <v>22.59</v>
      </c>
      <c r="Q1358" s="10">
        <v>20</v>
      </c>
      <c r="R1358" s="10">
        <v>15</v>
      </c>
      <c r="S1358" s="8">
        <v>509.4199999999999</v>
      </c>
      <c r="T1358">
        <v>3</v>
      </c>
      <c r="U1358" t="str">
        <f t="shared" si="21"/>
        <v>Tuesday</v>
      </c>
    </row>
    <row r="1359" spans="1:21" x14ac:dyDescent="0.3">
      <c r="A1359" s="5" t="s">
        <v>3395</v>
      </c>
      <c r="B1359" s="3" t="s">
        <v>3700</v>
      </c>
      <c r="C1359" s="5" t="s">
        <v>827</v>
      </c>
      <c r="D1359" s="5" t="s">
        <v>106</v>
      </c>
      <c r="E1359" s="5" t="s">
        <v>83</v>
      </c>
      <c r="F1359" s="5" t="s">
        <v>23</v>
      </c>
      <c r="G1359" t="s">
        <v>3396</v>
      </c>
      <c r="H1359" s="5" t="s">
        <v>3674</v>
      </c>
      <c r="I1359" s="5" t="s">
        <v>828</v>
      </c>
      <c r="J1359" s="5" t="s">
        <v>829</v>
      </c>
      <c r="K1359" s="5" t="s">
        <v>22</v>
      </c>
      <c r="L1359">
        <v>1</v>
      </c>
      <c r="M1359">
        <v>41.68</v>
      </c>
      <c r="N1359" s="8">
        <v>2.08</v>
      </c>
      <c r="O1359" s="8">
        <v>39.6</v>
      </c>
      <c r="P1359" s="8">
        <v>1.98</v>
      </c>
      <c r="Q1359" s="10">
        <v>20</v>
      </c>
      <c r="R1359" s="10">
        <v>10</v>
      </c>
      <c r="S1359" s="8">
        <v>71.58</v>
      </c>
      <c r="T1359">
        <v>23</v>
      </c>
      <c r="U1359" t="str">
        <f t="shared" si="21"/>
        <v>Saturday</v>
      </c>
    </row>
    <row r="1360" spans="1:21" x14ac:dyDescent="0.3">
      <c r="A1360" s="5" t="s">
        <v>3397</v>
      </c>
      <c r="B1360" s="3" t="s">
        <v>3715</v>
      </c>
      <c r="C1360" s="5" t="s">
        <v>831</v>
      </c>
      <c r="D1360" s="5" t="s">
        <v>21</v>
      </c>
      <c r="E1360" s="5" t="s">
        <v>69</v>
      </c>
      <c r="F1360" s="5" t="s">
        <v>42</v>
      </c>
      <c r="G1360" t="s">
        <v>3398</v>
      </c>
      <c r="H1360" s="5" t="s">
        <v>3673</v>
      </c>
      <c r="I1360" s="5" t="s">
        <v>832</v>
      </c>
      <c r="J1360" s="5" t="s">
        <v>833</v>
      </c>
      <c r="K1360" s="5" t="s">
        <v>145</v>
      </c>
      <c r="L1360">
        <v>5</v>
      </c>
      <c r="M1360">
        <v>244.2</v>
      </c>
      <c r="N1360" s="8">
        <v>12.21</v>
      </c>
      <c r="O1360" s="8">
        <v>1208.79</v>
      </c>
      <c r="P1360" s="8">
        <v>60.44</v>
      </c>
      <c r="Q1360" s="10">
        <v>30</v>
      </c>
      <c r="R1360" s="10">
        <v>15</v>
      </c>
      <c r="S1360" s="8">
        <v>1314.23</v>
      </c>
      <c r="T1360">
        <v>32</v>
      </c>
      <c r="U1360" t="str">
        <f t="shared" si="21"/>
        <v>Saturday</v>
      </c>
    </row>
    <row r="1361" spans="1:21" x14ac:dyDescent="0.3">
      <c r="A1361" s="5" t="s">
        <v>3399</v>
      </c>
      <c r="B1361" s="3" t="s">
        <v>3690</v>
      </c>
      <c r="C1361" s="5" t="s">
        <v>835</v>
      </c>
      <c r="D1361" s="5" t="s">
        <v>106</v>
      </c>
      <c r="E1361" s="5" t="s">
        <v>83</v>
      </c>
      <c r="F1361" s="5" t="s">
        <v>37</v>
      </c>
      <c r="G1361" t="s">
        <v>3400</v>
      </c>
      <c r="H1361" s="5" t="s">
        <v>3677</v>
      </c>
      <c r="I1361" s="5" t="s">
        <v>837</v>
      </c>
      <c r="J1361" s="5" t="s">
        <v>838</v>
      </c>
      <c r="K1361" s="5" t="s">
        <v>34</v>
      </c>
      <c r="L1361">
        <v>4</v>
      </c>
      <c r="M1361">
        <v>130.78</v>
      </c>
      <c r="N1361" s="8">
        <v>19.62</v>
      </c>
      <c r="O1361" s="8">
        <v>503.5</v>
      </c>
      <c r="P1361" s="8">
        <v>25.18</v>
      </c>
      <c r="Q1361" s="10">
        <v>10</v>
      </c>
      <c r="R1361" s="10">
        <v>10</v>
      </c>
      <c r="S1361" s="8">
        <v>548.67999999999995</v>
      </c>
      <c r="T1361">
        <v>38</v>
      </c>
      <c r="U1361" t="str">
        <f t="shared" si="21"/>
        <v>Sunday</v>
      </c>
    </row>
    <row r="1362" spans="1:21" x14ac:dyDescent="0.3">
      <c r="A1362" s="5" t="s">
        <v>3401</v>
      </c>
      <c r="B1362" s="3" t="s">
        <v>3681</v>
      </c>
      <c r="C1362" s="5" t="s">
        <v>840</v>
      </c>
      <c r="D1362" s="5" t="s">
        <v>21</v>
      </c>
      <c r="E1362" s="5" t="s">
        <v>112</v>
      </c>
      <c r="F1362" s="5" t="s">
        <v>37</v>
      </c>
      <c r="G1362" t="s">
        <v>3402</v>
      </c>
      <c r="H1362" s="5" t="s">
        <v>3673</v>
      </c>
      <c r="I1362" s="5" t="s">
        <v>842</v>
      </c>
      <c r="J1362" s="5" t="s">
        <v>843</v>
      </c>
      <c r="K1362" s="5" t="s">
        <v>34</v>
      </c>
      <c r="L1362">
        <v>2</v>
      </c>
      <c r="M1362">
        <v>150.52000000000001</v>
      </c>
      <c r="N1362" s="8">
        <v>22.58</v>
      </c>
      <c r="O1362" s="8">
        <v>278.45999999999998</v>
      </c>
      <c r="P1362" s="8">
        <v>13.92</v>
      </c>
      <c r="Q1362" s="10">
        <v>30</v>
      </c>
      <c r="R1362" s="10">
        <v>5</v>
      </c>
      <c r="S1362" s="8">
        <v>327.38000000000011</v>
      </c>
      <c r="T1362">
        <v>14</v>
      </c>
      <c r="U1362" t="str">
        <f t="shared" si="21"/>
        <v>Wednesday</v>
      </c>
    </row>
    <row r="1363" spans="1:21" x14ac:dyDescent="0.3">
      <c r="A1363" s="5" t="s">
        <v>3403</v>
      </c>
      <c r="B1363" s="3" t="s">
        <v>3678</v>
      </c>
      <c r="C1363" s="5" t="s">
        <v>845</v>
      </c>
      <c r="D1363" s="5" t="s">
        <v>21</v>
      </c>
      <c r="E1363" s="5" t="s">
        <v>36</v>
      </c>
      <c r="F1363" s="5" t="s">
        <v>37</v>
      </c>
      <c r="G1363" t="s">
        <v>3404</v>
      </c>
      <c r="H1363" s="5" t="s">
        <v>3673</v>
      </c>
      <c r="I1363" s="5" t="s">
        <v>847</v>
      </c>
      <c r="J1363" s="5" t="s">
        <v>848</v>
      </c>
      <c r="K1363" s="5" t="s">
        <v>40</v>
      </c>
      <c r="L1363">
        <v>3</v>
      </c>
      <c r="M1363">
        <v>114.93</v>
      </c>
      <c r="N1363" s="8">
        <v>11.49</v>
      </c>
      <c r="O1363" s="8">
        <v>333.3</v>
      </c>
      <c r="P1363" s="8">
        <v>16.670000000000002</v>
      </c>
      <c r="Q1363" s="10">
        <v>30</v>
      </c>
      <c r="R1363" s="10">
        <v>15</v>
      </c>
      <c r="S1363" s="8">
        <v>394.97</v>
      </c>
      <c r="T1363">
        <v>6</v>
      </c>
      <c r="U1363" t="str">
        <f t="shared" si="21"/>
        <v>Saturday</v>
      </c>
    </row>
    <row r="1364" spans="1:21" x14ac:dyDescent="0.3">
      <c r="A1364" s="5" t="s">
        <v>3405</v>
      </c>
      <c r="B1364" s="3" t="s">
        <v>3690</v>
      </c>
      <c r="C1364" s="5" t="s">
        <v>850</v>
      </c>
      <c r="D1364" s="5" t="s">
        <v>21</v>
      </c>
      <c r="E1364" s="5" t="s">
        <v>112</v>
      </c>
      <c r="F1364" s="5" t="s">
        <v>42</v>
      </c>
      <c r="G1364" t="s">
        <v>3406</v>
      </c>
      <c r="H1364" s="5" t="s">
        <v>3675</v>
      </c>
      <c r="I1364" s="5" t="s">
        <v>852</v>
      </c>
      <c r="J1364" s="5" t="s">
        <v>853</v>
      </c>
      <c r="K1364" s="5" t="s">
        <v>73</v>
      </c>
      <c r="L1364">
        <v>2</v>
      </c>
      <c r="M1364">
        <v>209.47</v>
      </c>
      <c r="N1364" s="8">
        <v>0</v>
      </c>
      <c r="O1364" s="8">
        <v>418.94</v>
      </c>
      <c r="P1364" s="8">
        <v>20.95</v>
      </c>
      <c r="Q1364" s="10">
        <v>20</v>
      </c>
      <c r="R1364" s="10">
        <v>20</v>
      </c>
      <c r="S1364" s="8">
        <v>479.89</v>
      </c>
      <c r="T1364">
        <v>12</v>
      </c>
      <c r="U1364" t="str">
        <f t="shared" si="21"/>
        <v>Sunday</v>
      </c>
    </row>
    <row r="1365" spans="1:21" x14ac:dyDescent="0.3">
      <c r="A1365" s="5" t="s">
        <v>3407</v>
      </c>
      <c r="B1365" s="3" t="s">
        <v>3717</v>
      </c>
      <c r="C1365" s="5" t="s">
        <v>855</v>
      </c>
      <c r="D1365" s="5" t="s">
        <v>21</v>
      </c>
      <c r="E1365" s="5" t="s">
        <v>36</v>
      </c>
      <c r="F1365" s="5" t="s">
        <v>42</v>
      </c>
      <c r="G1365" t="s">
        <v>3408</v>
      </c>
      <c r="H1365" s="5" t="s">
        <v>3677</v>
      </c>
      <c r="I1365" s="5" t="s">
        <v>857</v>
      </c>
      <c r="J1365" s="5" t="s">
        <v>858</v>
      </c>
      <c r="K1365" s="5" t="s">
        <v>103</v>
      </c>
      <c r="L1365">
        <v>2</v>
      </c>
      <c r="M1365">
        <v>103.71</v>
      </c>
      <c r="N1365" s="8">
        <v>0</v>
      </c>
      <c r="O1365" s="8">
        <v>207.42</v>
      </c>
      <c r="P1365" s="8">
        <v>10.37</v>
      </c>
      <c r="Q1365" s="10">
        <v>20</v>
      </c>
      <c r="R1365" s="10">
        <v>10</v>
      </c>
      <c r="S1365" s="8">
        <v>247.79</v>
      </c>
      <c r="T1365">
        <v>26</v>
      </c>
      <c r="U1365" t="str">
        <f t="shared" si="21"/>
        <v>Tuesday</v>
      </c>
    </row>
    <row r="1366" spans="1:21" x14ac:dyDescent="0.3">
      <c r="A1366" s="5" t="s">
        <v>3409</v>
      </c>
      <c r="B1366" s="3" t="s">
        <v>3735</v>
      </c>
      <c r="C1366" s="5" t="s">
        <v>860</v>
      </c>
      <c r="D1366" s="5" t="s">
        <v>106</v>
      </c>
      <c r="E1366" s="5" t="s">
        <v>83</v>
      </c>
      <c r="F1366" s="5" t="s">
        <v>23</v>
      </c>
      <c r="G1366" t="s">
        <v>3410</v>
      </c>
      <c r="H1366" s="5" t="s">
        <v>3673</v>
      </c>
      <c r="I1366" s="5" t="s">
        <v>862</v>
      </c>
      <c r="J1366" s="5" t="s">
        <v>863</v>
      </c>
      <c r="K1366" s="5" t="s">
        <v>73</v>
      </c>
      <c r="L1366">
        <v>3</v>
      </c>
      <c r="M1366">
        <v>122.73</v>
      </c>
      <c r="N1366" s="8">
        <v>6.14</v>
      </c>
      <c r="O1366" s="8">
        <v>362.05</v>
      </c>
      <c r="P1366" s="8">
        <v>18.100000000000001</v>
      </c>
      <c r="Q1366" s="10">
        <v>30</v>
      </c>
      <c r="R1366" s="10">
        <v>5</v>
      </c>
      <c r="S1366" s="8">
        <v>415.15</v>
      </c>
      <c r="T1366">
        <v>21</v>
      </c>
      <c r="U1366" t="str">
        <f t="shared" si="21"/>
        <v>Saturday</v>
      </c>
    </row>
    <row r="1367" spans="1:21" x14ac:dyDescent="0.3">
      <c r="A1367" s="5" t="s">
        <v>3411</v>
      </c>
      <c r="B1367" s="3" t="s">
        <v>3709</v>
      </c>
      <c r="C1367" s="5" t="s">
        <v>865</v>
      </c>
      <c r="D1367" s="5" t="s">
        <v>21</v>
      </c>
      <c r="E1367" s="5" t="s">
        <v>22</v>
      </c>
      <c r="F1367" s="5" t="s">
        <v>42</v>
      </c>
      <c r="G1367" t="s">
        <v>3412</v>
      </c>
      <c r="H1367" s="5" t="s">
        <v>3676</v>
      </c>
      <c r="I1367" s="5" t="s">
        <v>867</v>
      </c>
      <c r="J1367" s="5" t="s">
        <v>868</v>
      </c>
      <c r="K1367" s="5" t="s">
        <v>196</v>
      </c>
      <c r="L1367">
        <v>1</v>
      </c>
      <c r="M1367">
        <v>157.26</v>
      </c>
      <c r="N1367" s="8">
        <v>0</v>
      </c>
      <c r="O1367" s="8">
        <v>157.26</v>
      </c>
      <c r="P1367" s="8">
        <v>7.86</v>
      </c>
      <c r="Q1367" s="10">
        <v>10</v>
      </c>
      <c r="R1367" s="10">
        <v>15</v>
      </c>
      <c r="S1367" s="8">
        <v>190.12</v>
      </c>
      <c r="T1367">
        <v>24.67</v>
      </c>
      <c r="U1367" t="str">
        <f t="shared" si="21"/>
        <v>Thursday</v>
      </c>
    </row>
    <row r="1368" spans="1:21" x14ac:dyDescent="0.3">
      <c r="A1368" s="5" t="s">
        <v>3413</v>
      </c>
      <c r="B1368" s="3" t="s">
        <v>3696</v>
      </c>
      <c r="C1368" s="5" t="s">
        <v>870</v>
      </c>
      <c r="D1368" s="5" t="s">
        <v>21</v>
      </c>
      <c r="E1368" s="5" t="s">
        <v>69</v>
      </c>
      <c r="F1368" s="5" t="s">
        <v>23</v>
      </c>
      <c r="G1368" t="s">
        <v>3414</v>
      </c>
      <c r="H1368" s="5" t="s">
        <v>3674</v>
      </c>
      <c r="I1368" s="5" t="s">
        <v>872</v>
      </c>
      <c r="J1368" s="5" t="s">
        <v>873</v>
      </c>
      <c r="K1368" s="5" t="s">
        <v>73</v>
      </c>
      <c r="L1368">
        <v>2</v>
      </c>
      <c r="M1368">
        <v>6.52</v>
      </c>
      <c r="N1368" s="8">
        <v>0</v>
      </c>
      <c r="O1368" s="8">
        <v>13.04</v>
      </c>
      <c r="P1368" s="8">
        <v>0.65</v>
      </c>
      <c r="Q1368" s="10">
        <v>30</v>
      </c>
      <c r="R1368" s="10">
        <v>5</v>
      </c>
      <c r="S1368" s="8">
        <v>48.69</v>
      </c>
      <c r="T1368">
        <v>33</v>
      </c>
      <c r="U1368" t="str">
        <f t="shared" si="21"/>
        <v>Friday</v>
      </c>
    </row>
    <row r="1369" spans="1:21" x14ac:dyDescent="0.3">
      <c r="A1369" s="5" t="s">
        <v>3415</v>
      </c>
      <c r="B1369" s="3" t="s">
        <v>3698</v>
      </c>
      <c r="C1369" s="5" t="s">
        <v>875</v>
      </c>
      <c r="D1369" s="5" t="s">
        <v>21</v>
      </c>
      <c r="E1369" s="5" t="s">
        <v>22</v>
      </c>
      <c r="F1369" s="5" t="s">
        <v>37</v>
      </c>
      <c r="G1369" t="s">
        <v>3416</v>
      </c>
      <c r="H1369" s="5" t="s">
        <v>3673</v>
      </c>
      <c r="I1369" s="5" t="s">
        <v>877</v>
      </c>
      <c r="J1369" s="5" t="s">
        <v>878</v>
      </c>
      <c r="K1369" s="5" t="s">
        <v>145</v>
      </c>
      <c r="L1369">
        <v>4</v>
      </c>
      <c r="M1369">
        <v>99.8</v>
      </c>
      <c r="N1369" s="8">
        <v>0</v>
      </c>
      <c r="O1369" s="8">
        <v>399.2</v>
      </c>
      <c r="P1369" s="8">
        <v>19.96</v>
      </c>
      <c r="Q1369" s="10">
        <v>0</v>
      </c>
      <c r="R1369" s="10">
        <v>15</v>
      </c>
      <c r="S1369" s="8">
        <v>434.16</v>
      </c>
      <c r="T1369">
        <v>48</v>
      </c>
      <c r="U1369" t="str">
        <f t="shared" si="21"/>
        <v>Sunday</v>
      </c>
    </row>
    <row r="1370" spans="1:21" x14ac:dyDescent="0.3">
      <c r="A1370" s="5" t="s">
        <v>3417</v>
      </c>
      <c r="B1370" s="3" t="s">
        <v>3685</v>
      </c>
      <c r="C1370" s="5" t="s">
        <v>880</v>
      </c>
      <c r="D1370" s="5" t="s">
        <v>21</v>
      </c>
      <c r="E1370" s="5" t="s">
        <v>22</v>
      </c>
      <c r="F1370" s="5" t="s">
        <v>42</v>
      </c>
      <c r="G1370" t="s">
        <v>3418</v>
      </c>
      <c r="H1370" s="5" t="s">
        <v>3673</v>
      </c>
      <c r="I1370" s="5" t="s">
        <v>882</v>
      </c>
      <c r="J1370" s="5" t="s">
        <v>883</v>
      </c>
      <c r="K1370" s="5" t="s">
        <v>73</v>
      </c>
      <c r="L1370">
        <v>1</v>
      </c>
      <c r="M1370">
        <v>150.11000000000001</v>
      </c>
      <c r="N1370" s="8">
        <v>7.51</v>
      </c>
      <c r="O1370" s="8">
        <v>142.6</v>
      </c>
      <c r="P1370" s="8">
        <v>7.13</v>
      </c>
      <c r="Q1370" s="10">
        <v>30</v>
      </c>
      <c r="R1370" s="10">
        <v>15</v>
      </c>
      <c r="S1370" s="8">
        <v>194.73</v>
      </c>
      <c r="T1370">
        <v>18</v>
      </c>
      <c r="U1370" t="str">
        <f t="shared" si="21"/>
        <v>Thursday</v>
      </c>
    </row>
    <row r="1371" spans="1:21" x14ac:dyDescent="0.3">
      <c r="A1371" s="5" t="s">
        <v>3419</v>
      </c>
      <c r="B1371" s="3" t="s">
        <v>3707</v>
      </c>
      <c r="C1371" s="5" t="s">
        <v>885</v>
      </c>
      <c r="D1371" s="5" t="s">
        <v>21</v>
      </c>
      <c r="E1371" s="5" t="s">
        <v>36</v>
      </c>
      <c r="F1371" s="5" t="s">
        <v>42</v>
      </c>
      <c r="H1371" s="5" t="s">
        <v>100</v>
      </c>
      <c r="I1371" s="5" t="s">
        <v>887</v>
      </c>
      <c r="J1371" s="5" t="s">
        <v>888</v>
      </c>
      <c r="K1371" s="5" t="s">
        <v>145</v>
      </c>
      <c r="L1371">
        <v>6</v>
      </c>
      <c r="M1371">
        <v>169.56</v>
      </c>
      <c r="N1371" s="8">
        <v>16.96</v>
      </c>
      <c r="O1371" s="8">
        <v>1000.4</v>
      </c>
      <c r="P1371" s="8">
        <v>50.02</v>
      </c>
      <c r="Q1371" s="10">
        <v>0</v>
      </c>
      <c r="R1371" s="10">
        <v>20</v>
      </c>
      <c r="S1371" s="8">
        <v>1070.42</v>
      </c>
      <c r="T1371">
        <v>26</v>
      </c>
      <c r="U1371" t="str">
        <f t="shared" si="21"/>
        <v>Wednesday</v>
      </c>
    </row>
    <row r="1372" spans="1:21" x14ac:dyDescent="0.3">
      <c r="A1372" s="5" t="s">
        <v>3420</v>
      </c>
      <c r="B1372" s="3" t="s">
        <v>3698</v>
      </c>
      <c r="C1372" s="5" t="s">
        <v>890</v>
      </c>
      <c r="D1372" s="5" t="s">
        <v>21</v>
      </c>
      <c r="E1372" s="5" t="s">
        <v>69</v>
      </c>
      <c r="F1372" s="5" t="s">
        <v>42</v>
      </c>
      <c r="G1372" t="s">
        <v>3421</v>
      </c>
      <c r="H1372" s="5" t="s">
        <v>3677</v>
      </c>
      <c r="I1372" s="5" t="s">
        <v>892</v>
      </c>
      <c r="J1372" s="5" t="s">
        <v>893</v>
      </c>
      <c r="K1372" s="5" t="s">
        <v>45</v>
      </c>
      <c r="L1372">
        <v>2</v>
      </c>
      <c r="M1372">
        <v>111.99</v>
      </c>
      <c r="N1372" s="8">
        <v>16.8</v>
      </c>
      <c r="O1372" s="8">
        <v>207.18</v>
      </c>
      <c r="P1372" s="8">
        <v>10.36</v>
      </c>
      <c r="Q1372" s="10">
        <v>0</v>
      </c>
      <c r="R1372" s="10">
        <v>20</v>
      </c>
      <c r="S1372" s="8">
        <v>237.54</v>
      </c>
      <c r="T1372">
        <v>26</v>
      </c>
      <c r="U1372" t="str">
        <f t="shared" si="21"/>
        <v>Sunday</v>
      </c>
    </row>
    <row r="1373" spans="1:21" x14ac:dyDescent="0.3">
      <c r="A1373" s="5" t="s">
        <v>3422</v>
      </c>
      <c r="B1373" s="3" t="s">
        <v>3700</v>
      </c>
      <c r="C1373" s="5" t="s">
        <v>895</v>
      </c>
      <c r="D1373" s="5" t="s">
        <v>21</v>
      </c>
      <c r="E1373" s="5" t="s">
        <v>112</v>
      </c>
      <c r="F1373" s="5" t="s">
        <v>42</v>
      </c>
      <c r="G1373" t="s">
        <v>3423</v>
      </c>
      <c r="H1373" s="5" t="s">
        <v>3673</v>
      </c>
      <c r="I1373" s="5" t="s">
        <v>897</v>
      </c>
      <c r="J1373" s="5" t="s">
        <v>898</v>
      </c>
      <c r="K1373" s="5" t="s">
        <v>56</v>
      </c>
      <c r="L1373">
        <v>3</v>
      </c>
      <c r="M1373">
        <v>104.29</v>
      </c>
      <c r="N1373" s="8">
        <v>5.21</v>
      </c>
      <c r="O1373" s="8">
        <v>307.66000000000003</v>
      </c>
      <c r="P1373" s="8">
        <v>15.38</v>
      </c>
      <c r="Q1373" s="10">
        <v>0</v>
      </c>
      <c r="R1373" s="10">
        <v>10</v>
      </c>
      <c r="S1373" s="8">
        <v>333.04</v>
      </c>
      <c r="T1373">
        <v>10</v>
      </c>
      <c r="U1373" t="str">
        <f t="shared" si="21"/>
        <v>Saturday</v>
      </c>
    </row>
    <row r="1374" spans="1:21" x14ac:dyDescent="0.3">
      <c r="A1374" s="5" t="s">
        <v>3424</v>
      </c>
      <c r="B1374" s="3" t="s">
        <v>3722</v>
      </c>
      <c r="C1374" s="5" t="s">
        <v>900</v>
      </c>
      <c r="D1374" s="5" t="s">
        <v>21</v>
      </c>
      <c r="E1374" s="5" t="s">
        <v>76</v>
      </c>
      <c r="F1374" s="5" t="s">
        <v>23</v>
      </c>
      <c r="H1374" s="5" t="s">
        <v>3673</v>
      </c>
      <c r="I1374" s="5" t="s">
        <v>902</v>
      </c>
      <c r="J1374" s="5" t="s">
        <v>903</v>
      </c>
      <c r="K1374" s="5" t="s">
        <v>40</v>
      </c>
      <c r="L1374">
        <v>1</v>
      </c>
      <c r="M1374">
        <v>22.58</v>
      </c>
      <c r="N1374" s="8">
        <v>3.39</v>
      </c>
      <c r="O1374" s="8">
        <v>19.190000000000001</v>
      </c>
      <c r="P1374" s="8">
        <v>0.96</v>
      </c>
      <c r="Q1374" s="10">
        <v>30</v>
      </c>
      <c r="R1374" s="10">
        <v>0</v>
      </c>
      <c r="S1374" s="8">
        <v>50.15</v>
      </c>
      <c r="T1374">
        <v>21</v>
      </c>
      <c r="U1374" t="str">
        <f t="shared" si="21"/>
        <v>Friday</v>
      </c>
    </row>
    <row r="1375" spans="1:21" x14ac:dyDescent="0.3">
      <c r="A1375" s="5" t="s">
        <v>3425</v>
      </c>
      <c r="B1375" s="3" t="s">
        <v>3698</v>
      </c>
      <c r="C1375" s="5" t="s">
        <v>905</v>
      </c>
      <c r="D1375" s="5" t="s">
        <v>21</v>
      </c>
      <c r="E1375" s="5" t="s">
        <v>76</v>
      </c>
      <c r="F1375" s="5" t="s">
        <v>23</v>
      </c>
      <c r="G1375" t="s">
        <v>3426</v>
      </c>
      <c r="H1375" s="5" t="s">
        <v>3673</v>
      </c>
      <c r="I1375" s="5" t="s">
        <v>907</v>
      </c>
      <c r="J1375" s="5" t="s">
        <v>908</v>
      </c>
      <c r="K1375" s="5" t="s">
        <v>56</v>
      </c>
      <c r="L1375">
        <v>2</v>
      </c>
      <c r="M1375">
        <v>194.37</v>
      </c>
      <c r="N1375" s="8">
        <v>9.7200000000000006</v>
      </c>
      <c r="O1375" s="8">
        <v>379.02</v>
      </c>
      <c r="P1375" s="8">
        <v>18.95</v>
      </c>
      <c r="Q1375" s="10">
        <v>20</v>
      </c>
      <c r="R1375" s="10">
        <v>20</v>
      </c>
      <c r="S1375" s="8">
        <v>437.97</v>
      </c>
      <c r="T1375">
        <v>20</v>
      </c>
      <c r="U1375" t="str">
        <f t="shared" si="21"/>
        <v>Sunday</v>
      </c>
    </row>
    <row r="1376" spans="1:21" x14ac:dyDescent="0.3">
      <c r="A1376" s="5" t="s">
        <v>3427</v>
      </c>
      <c r="B1376" s="3" t="s">
        <v>3708</v>
      </c>
      <c r="C1376" s="5" t="s">
        <v>910</v>
      </c>
      <c r="D1376" s="5" t="s">
        <v>82</v>
      </c>
      <c r="E1376" s="5" t="s">
        <v>83</v>
      </c>
      <c r="F1376" s="5" t="s">
        <v>23</v>
      </c>
      <c r="G1376" t="s">
        <v>3428</v>
      </c>
      <c r="H1376" s="5" t="s">
        <v>3676</v>
      </c>
      <c r="I1376" s="5" t="s">
        <v>912</v>
      </c>
      <c r="J1376" s="5" t="s">
        <v>913</v>
      </c>
      <c r="K1376" s="5" t="s">
        <v>196</v>
      </c>
      <c r="L1376">
        <v>1</v>
      </c>
      <c r="M1376">
        <v>37.92</v>
      </c>
      <c r="N1376" s="8">
        <v>5.69</v>
      </c>
      <c r="O1376" s="8">
        <v>32.229999999999997</v>
      </c>
      <c r="P1376" s="8">
        <v>1.61</v>
      </c>
      <c r="Q1376" s="10">
        <v>0</v>
      </c>
      <c r="R1376" s="10">
        <v>15</v>
      </c>
      <c r="S1376" s="8">
        <v>48.84</v>
      </c>
      <c r="T1376">
        <v>13</v>
      </c>
      <c r="U1376" t="str">
        <f t="shared" si="21"/>
        <v>Sunday</v>
      </c>
    </row>
    <row r="1377" spans="1:21" x14ac:dyDescent="0.3">
      <c r="A1377" s="5" t="s">
        <v>3429</v>
      </c>
      <c r="B1377" s="3" t="s">
        <v>3710</v>
      </c>
      <c r="C1377" s="5" t="s">
        <v>915</v>
      </c>
      <c r="D1377" s="5" t="s">
        <v>21</v>
      </c>
      <c r="E1377" s="5" t="s">
        <v>22</v>
      </c>
      <c r="F1377" s="5" t="s">
        <v>3671</v>
      </c>
      <c r="G1377" t="s">
        <v>3430</v>
      </c>
      <c r="H1377" s="5" t="s">
        <v>3673</v>
      </c>
      <c r="I1377" s="5" t="s">
        <v>917</v>
      </c>
      <c r="J1377" s="5" t="s">
        <v>918</v>
      </c>
      <c r="K1377" s="5" t="s">
        <v>196</v>
      </c>
      <c r="L1377">
        <v>5</v>
      </c>
      <c r="M1377">
        <v>108.57</v>
      </c>
      <c r="N1377" s="8">
        <v>5.43</v>
      </c>
      <c r="O1377" s="8">
        <v>537.41999999999996</v>
      </c>
      <c r="P1377" s="8">
        <v>26.87</v>
      </c>
      <c r="Q1377" s="10">
        <v>10</v>
      </c>
      <c r="R1377" s="10">
        <v>5</v>
      </c>
      <c r="S1377" s="8">
        <v>579.29</v>
      </c>
      <c r="T1377">
        <v>20</v>
      </c>
      <c r="U1377" t="str">
        <f t="shared" si="21"/>
        <v>Monday</v>
      </c>
    </row>
    <row r="1378" spans="1:21" x14ac:dyDescent="0.3">
      <c r="A1378" s="5" t="s">
        <v>3431</v>
      </c>
      <c r="B1378" s="3" t="s">
        <v>3693</v>
      </c>
      <c r="C1378" s="5" t="s">
        <v>920</v>
      </c>
      <c r="D1378" s="5" t="s">
        <v>21</v>
      </c>
      <c r="E1378" s="5" t="s">
        <v>36</v>
      </c>
      <c r="F1378" s="5" t="s">
        <v>37</v>
      </c>
      <c r="G1378" t="s">
        <v>3432</v>
      </c>
      <c r="H1378" s="5" t="s">
        <v>3673</v>
      </c>
      <c r="I1378" s="5" t="s">
        <v>922</v>
      </c>
      <c r="J1378" s="5" t="s">
        <v>923</v>
      </c>
      <c r="K1378" s="5" t="s">
        <v>28</v>
      </c>
      <c r="L1378">
        <v>3</v>
      </c>
      <c r="M1378">
        <v>140.30000000000001</v>
      </c>
      <c r="N1378" s="8">
        <v>0</v>
      </c>
      <c r="O1378" s="8">
        <v>420.9</v>
      </c>
      <c r="P1378" s="8">
        <v>21.05</v>
      </c>
      <c r="Q1378" s="10">
        <v>20</v>
      </c>
      <c r="R1378" s="10">
        <v>20</v>
      </c>
      <c r="S1378" s="8">
        <v>481.95</v>
      </c>
      <c r="T1378">
        <v>15</v>
      </c>
      <c r="U1378" t="str">
        <f t="shared" si="21"/>
        <v>Thursday</v>
      </c>
    </row>
    <row r="1379" spans="1:21" x14ac:dyDescent="0.3">
      <c r="A1379" s="5" t="s">
        <v>3433</v>
      </c>
      <c r="B1379" s="3" t="s">
        <v>3717</v>
      </c>
      <c r="C1379" s="5" t="s">
        <v>925</v>
      </c>
      <c r="D1379" s="5" t="s">
        <v>21</v>
      </c>
      <c r="E1379" s="5" t="s">
        <v>22</v>
      </c>
      <c r="F1379" s="5" t="s">
        <v>37</v>
      </c>
      <c r="G1379" t="s">
        <v>3434</v>
      </c>
      <c r="H1379" s="5" t="s">
        <v>3676</v>
      </c>
      <c r="I1379" s="5" t="s">
        <v>927</v>
      </c>
      <c r="J1379" s="5" t="s">
        <v>928</v>
      </c>
      <c r="K1379" s="5" t="s">
        <v>45</v>
      </c>
      <c r="L1379">
        <v>9</v>
      </c>
      <c r="M1379">
        <v>136.81</v>
      </c>
      <c r="N1379" s="8">
        <v>0</v>
      </c>
      <c r="O1379" s="8">
        <v>1231.29</v>
      </c>
      <c r="P1379" s="8">
        <v>61.56</v>
      </c>
      <c r="Q1379" s="10">
        <v>30</v>
      </c>
      <c r="R1379" s="10">
        <v>15</v>
      </c>
      <c r="S1379" s="8">
        <v>1337.85</v>
      </c>
      <c r="T1379">
        <v>25</v>
      </c>
      <c r="U1379" t="str">
        <f t="shared" si="21"/>
        <v>Tuesday</v>
      </c>
    </row>
    <row r="1380" spans="1:21" x14ac:dyDescent="0.3">
      <c r="A1380" s="5" t="s">
        <v>3435</v>
      </c>
      <c r="B1380" s="3" t="s">
        <v>3688</v>
      </c>
      <c r="C1380" s="5" t="s">
        <v>930</v>
      </c>
      <c r="D1380" s="5" t="s">
        <v>21</v>
      </c>
      <c r="E1380" s="5" t="s">
        <v>76</v>
      </c>
      <c r="F1380" s="5" t="s">
        <v>42</v>
      </c>
      <c r="G1380" t="s">
        <v>3436</v>
      </c>
      <c r="H1380" s="5" t="s">
        <v>3673</v>
      </c>
      <c r="I1380" s="5" t="s">
        <v>932</v>
      </c>
      <c r="J1380" s="5" t="s">
        <v>933</v>
      </c>
      <c r="K1380" s="5" t="s">
        <v>40</v>
      </c>
      <c r="L1380">
        <v>4</v>
      </c>
      <c r="M1380">
        <v>96.97</v>
      </c>
      <c r="N1380" s="8">
        <v>4.8499999999999996</v>
      </c>
      <c r="O1380" s="8">
        <v>383.03</v>
      </c>
      <c r="P1380" s="8">
        <v>19.149999999999999</v>
      </c>
      <c r="Q1380" s="10">
        <v>0</v>
      </c>
      <c r="R1380" s="10">
        <v>15</v>
      </c>
      <c r="S1380" s="8">
        <v>417.17999999999989</v>
      </c>
      <c r="T1380">
        <v>27</v>
      </c>
      <c r="U1380" t="str">
        <f t="shared" si="21"/>
        <v>Saturday</v>
      </c>
    </row>
    <row r="1381" spans="1:21" x14ac:dyDescent="0.3">
      <c r="A1381" s="5" t="s">
        <v>3437</v>
      </c>
      <c r="B1381" s="3" t="s">
        <v>3690</v>
      </c>
      <c r="C1381" s="5" t="s">
        <v>935</v>
      </c>
      <c r="D1381" s="5" t="s">
        <v>21</v>
      </c>
      <c r="E1381" s="5" t="s">
        <v>112</v>
      </c>
      <c r="F1381" s="5" t="s">
        <v>23</v>
      </c>
      <c r="G1381" t="s">
        <v>3438</v>
      </c>
      <c r="H1381" s="5" t="s">
        <v>100</v>
      </c>
      <c r="I1381" s="5" t="s">
        <v>937</v>
      </c>
      <c r="J1381" s="5" t="s">
        <v>938</v>
      </c>
      <c r="K1381" s="5" t="s">
        <v>103</v>
      </c>
      <c r="L1381">
        <v>1</v>
      </c>
      <c r="M1381">
        <v>118.41</v>
      </c>
      <c r="N1381" s="8">
        <v>5.92</v>
      </c>
      <c r="O1381" s="8">
        <v>112.49</v>
      </c>
      <c r="P1381" s="8">
        <v>5.62</v>
      </c>
      <c r="Q1381" s="10">
        <v>0</v>
      </c>
      <c r="R1381" s="10">
        <v>5</v>
      </c>
      <c r="S1381" s="8">
        <v>123.11</v>
      </c>
      <c r="T1381">
        <v>27</v>
      </c>
      <c r="U1381" t="str">
        <f t="shared" si="21"/>
        <v>Sunday</v>
      </c>
    </row>
    <row r="1382" spans="1:21" x14ac:dyDescent="0.3">
      <c r="A1382" s="5" t="s">
        <v>3439</v>
      </c>
      <c r="B1382" s="3" t="s">
        <v>3690</v>
      </c>
      <c r="C1382" s="5" t="s">
        <v>940</v>
      </c>
      <c r="D1382" s="5" t="s">
        <v>21</v>
      </c>
      <c r="E1382" s="5" t="s">
        <v>69</v>
      </c>
      <c r="F1382" s="5" t="s">
        <v>23</v>
      </c>
      <c r="G1382" t="s">
        <v>3440</v>
      </c>
      <c r="H1382" s="5" t="s">
        <v>3674</v>
      </c>
      <c r="I1382" s="5" t="s">
        <v>942</v>
      </c>
      <c r="J1382" s="5" t="s">
        <v>943</v>
      </c>
      <c r="K1382" s="5" t="s">
        <v>145</v>
      </c>
      <c r="L1382">
        <v>4</v>
      </c>
      <c r="M1382">
        <v>203.46</v>
      </c>
      <c r="N1382" s="8">
        <v>20.350000000000001</v>
      </c>
      <c r="O1382" s="8">
        <v>793.49</v>
      </c>
      <c r="P1382" s="8">
        <v>39.67</v>
      </c>
      <c r="Q1382" s="10">
        <v>30</v>
      </c>
      <c r="R1382" s="10">
        <v>10</v>
      </c>
      <c r="S1382" s="8">
        <v>873.16</v>
      </c>
      <c r="T1382">
        <v>11</v>
      </c>
      <c r="U1382" t="str">
        <f t="shared" si="21"/>
        <v>Sunday</v>
      </c>
    </row>
    <row r="1383" spans="1:21" x14ac:dyDescent="0.3">
      <c r="A1383" s="5" t="s">
        <v>3441</v>
      </c>
      <c r="B1383" s="3" t="s">
        <v>3709</v>
      </c>
      <c r="C1383" s="5" t="s">
        <v>945</v>
      </c>
      <c r="D1383" s="5" t="s">
        <v>21</v>
      </c>
      <c r="E1383" s="5" t="s">
        <v>76</v>
      </c>
      <c r="F1383" s="5" t="s">
        <v>37</v>
      </c>
      <c r="G1383" t="s">
        <v>3442</v>
      </c>
      <c r="H1383" s="5" t="s">
        <v>3676</v>
      </c>
      <c r="I1383" s="5" t="s">
        <v>947</v>
      </c>
      <c r="J1383" s="5" t="s">
        <v>948</v>
      </c>
      <c r="K1383" s="5" t="s">
        <v>196</v>
      </c>
      <c r="L1383">
        <v>1</v>
      </c>
      <c r="M1383">
        <v>32.92</v>
      </c>
      <c r="N1383" s="8">
        <v>0</v>
      </c>
      <c r="O1383" s="8">
        <v>32.92</v>
      </c>
      <c r="P1383" s="8">
        <v>1.65</v>
      </c>
      <c r="Q1383" s="10">
        <v>20</v>
      </c>
      <c r="R1383" s="10">
        <v>10</v>
      </c>
      <c r="S1383" s="8">
        <v>64.569999999999993</v>
      </c>
      <c r="T1383">
        <v>19</v>
      </c>
      <c r="U1383" t="str">
        <f t="shared" si="21"/>
        <v>Thursday</v>
      </c>
    </row>
    <row r="1384" spans="1:21" x14ac:dyDescent="0.3">
      <c r="A1384" s="5" t="s">
        <v>3443</v>
      </c>
      <c r="B1384" s="3" t="s">
        <v>3678</v>
      </c>
      <c r="C1384" s="5" t="s">
        <v>950</v>
      </c>
      <c r="D1384" s="5" t="s">
        <v>21</v>
      </c>
      <c r="E1384" s="5" t="s">
        <v>36</v>
      </c>
      <c r="F1384" s="5" t="s">
        <v>37</v>
      </c>
      <c r="G1384" t="s">
        <v>3444</v>
      </c>
      <c r="H1384" s="5" t="s">
        <v>3674</v>
      </c>
      <c r="I1384" s="5" t="s">
        <v>952</v>
      </c>
      <c r="J1384" s="5" t="s">
        <v>953</v>
      </c>
      <c r="K1384" s="5" t="s">
        <v>34</v>
      </c>
      <c r="L1384">
        <v>4</v>
      </c>
      <c r="M1384">
        <v>5.7</v>
      </c>
      <c r="N1384" s="8">
        <v>0.56999999999999995</v>
      </c>
      <c r="O1384" s="8">
        <v>22.23</v>
      </c>
      <c r="P1384" s="8">
        <v>1.1100000000000001</v>
      </c>
      <c r="Q1384" s="10">
        <v>30</v>
      </c>
      <c r="R1384" s="10">
        <v>5</v>
      </c>
      <c r="S1384" s="8">
        <v>58.34</v>
      </c>
      <c r="T1384">
        <v>27</v>
      </c>
      <c r="U1384" t="str">
        <f t="shared" si="21"/>
        <v>Saturday</v>
      </c>
    </row>
    <row r="1385" spans="1:21" x14ac:dyDescent="0.3">
      <c r="A1385" s="5" t="s">
        <v>3445</v>
      </c>
      <c r="B1385" s="3" t="s">
        <v>3709</v>
      </c>
      <c r="C1385" s="5" t="s">
        <v>955</v>
      </c>
      <c r="D1385" s="5" t="s">
        <v>21</v>
      </c>
      <c r="E1385" s="5" t="s">
        <v>69</v>
      </c>
      <c r="F1385" s="5" t="s">
        <v>37</v>
      </c>
      <c r="G1385" t="s">
        <v>3446</v>
      </c>
      <c r="H1385" s="5" t="s">
        <v>3673</v>
      </c>
      <c r="I1385" s="5" t="s">
        <v>957</v>
      </c>
      <c r="J1385" s="5" t="s">
        <v>958</v>
      </c>
      <c r="K1385" s="5" t="s">
        <v>56</v>
      </c>
      <c r="L1385">
        <v>3</v>
      </c>
      <c r="M1385">
        <v>100.87</v>
      </c>
      <c r="N1385" s="8">
        <v>0</v>
      </c>
      <c r="O1385" s="8">
        <v>302.61</v>
      </c>
      <c r="P1385" s="8">
        <v>15.13</v>
      </c>
      <c r="Q1385" s="10">
        <v>20</v>
      </c>
      <c r="R1385" s="10">
        <v>0</v>
      </c>
      <c r="S1385" s="8">
        <v>337.74</v>
      </c>
      <c r="T1385">
        <v>33</v>
      </c>
      <c r="U1385" t="str">
        <f t="shared" si="21"/>
        <v>Thursday</v>
      </c>
    </row>
    <row r="1386" spans="1:21" x14ac:dyDescent="0.3">
      <c r="A1386" s="5" t="s">
        <v>3447</v>
      </c>
      <c r="B1386" s="3" t="s">
        <v>3723</v>
      </c>
      <c r="C1386" s="5" t="s">
        <v>960</v>
      </c>
      <c r="D1386" s="5" t="s">
        <v>21</v>
      </c>
      <c r="E1386" s="5" t="s">
        <v>36</v>
      </c>
      <c r="F1386" s="5" t="s">
        <v>23</v>
      </c>
      <c r="H1386" s="5" t="s">
        <v>3675</v>
      </c>
      <c r="I1386" s="5" t="s">
        <v>962</v>
      </c>
      <c r="J1386" s="5" t="s">
        <v>963</v>
      </c>
      <c r="K1386" s="5" t="s">
        <v>145</v>
      </c>
      <c r="L1386">
        <v>2</v>
      </c>
      <c r="M1386">
        <v>26.52</v>
      </c>
      <c r="N1386" s="8">
        <v>1.33</v>
      </c>
      <c r="O1386" s="8">
        <v>51.71</v>
      </c>
      <c r="P1386" s="8">
        <v>2.59</v>
      </c>
      <c r="Q1386" s="10">
        <v>20</v>
      </c>
      <c r="R1386" s="10">
        <v>15</v>
      </c>
      <c r="S1386" s="8">
        <v>89.3</v>
      </c>
      <c r="T1386">
        <v>53</v>
      </c>
      <c r="U1386" t="str">
        <f t="shared" si="21"/>
        <v>Monday</v>
      </c>
    </row>
    <row r="1387" spans="1:21" x14ac:dyDescent="0.3">
      <c r="A1387" s="5" t="s">
        <v>3448</v>
      </c>
      <c r="B1387" s="3" t="s">
        <v>3723</v>
      </c>
      <c r="C1387" s="5" t="s">
        <v>965</v>
      </c>
      <c r="D1387" s="5" t="s">
        <v>21</v>
      </c>
      <c r="E1387" s="5" t="s">
        <v>22</v>
      </c>
      <c r="F1387" s="5" t="s">
        <v>42</v>
      </c>
      <c r="G1387" t="s">
        <v>3449</v>
      </c>
      <c r="H1387" s="5" t="s">
        <v>3677</v>
      </c>
      <c r="I1387" s="5" t="s">
        <v>967</v>
      </c>
      <c r="J1387" s="5" t="s">
        <v>968</v>
      </c>
      <c r="K1387" s="5" t="s">
        <v>73</v>
      </c>
      <c r="L1387">
        <v>4</v>
      </c>
      <c r="M1387">
        <v>87.85</v>
      </c>
      <c r="N1387" s="8">
        <v>13.18</v>
      </c>
      <c r="O1387" s="8">
        <v>338.22</v>
      </c>
      <c r="P1387" s="8">
        <v>16.91</v>
      </c>
      <c r="Q1387" s="10">
        <v>30</v>
      </c>
      <c r="R1387" s="10">
        <v>0</v>
      </c>
      <c r="S1387" s="8">
        <v>385.13</v>
      </c>
      <c r="T1387">
        <v>31</v>
      </c>
      <c r="U1387" t="str">
        <f t="shared" si="21"/>
        <v>Monday</v>
      </c>
    </row>
    <row r="1388" spans="1:21" x14ac:dyDescent="0.3">
      <c r="A1388" s="5" t="s">
        <v>3450</v>
      </c>
      <c r="B1388" s="3" t="s">
        <v>3691</v>
      </c>
      <c r="C1388" s="5" t="s">
        <v>970</v>
      </c>
      <c r="D1388" s="5" t="s">
        <v>21</v>
      </c>
      <c r="E1388" s="5" t="s">
        <v>76</v>
      </c>
      <c r="F1388" s="5" t="s">
        <v>42</v>
      </c>
      <c r="G1388" t="s">
        <v>3451</v>
      </c>
      <c r="H1388" s="5" t="s">
        <v>3673</v>
      </c>
      <c r="I1388" s="5" t="s">
        <v>972</v>
      </c>
      <c r="J1388" s="5" t="s">
        <v>973</v>
      </c>
      <c r="K1388" s="5" t="s">
        <v>145</v>
      </c>
      <c r="L1388">
        <v>1</v>
      </c>
      <c r="M1388">
        <v>129.99</v>
      </c>
      <c r="N1388" s="8">
        <v>19.5</v>
      </c>
      <c r="O1388" s="8">
        <v>110.49</v>
      </c>
      <c r="P1388" s="8">
        <v>5.52</v>
      </c>
      <c r="Q1388" s="10">
        <v>30</v>
      </c>
      <c r="R1388" s="10">
        <v>20</v>
      </c>
      <c r="S1388" s="8">
        <v>166.01</v>
      </c>
      <c r="T1388">
        <v>16</v>
      </c>
      <c r="U1388" t="str">
        <f t="shared" si="21"/>
        <v>Friday</v>
      </c>
    </row>
    <row r="1389" spans="1:21" x14ac:dyDescent="0.3">
      <c r="A1389" s="5" t="s">
        <v>3452</v>
      </c>
      <c r="B1389" s="3" t="s">
        <v>3713</v>
      </c>
      <c r="C1389" s="5" t="s">
        <v>975</v>
      </c>
      <c r="D1389" s="5" t="s">
        <v>21</v>
      </c>
      <c r="E1389" s="5" t="s">
        <v>22</v>
      </c>
      <c r="F1389" s="5" t="s">
        <v>42</v>
      </c>
      <c r="G1389" t="s">
        <v>3453</v>
      </c>
      <c r="H1389" s="5" t="s">
        <v>3674</v>
      </c>
      <c r="I1389" s="5" t="s">
        <v>977</v>
      </c>
      <c r="J1389" s="5" t="s">
        <v>978</v>
      </c>
      <c r="K1389" s="5" t="s">
        <v>196</v>
      </c>
      <c r="L1389">
        <v>3</v>
      </c>
      <c r="M1389">
        <v>50.51</v>
      </c>
      <c r="N1389" s="8">
        <v>7.58</v>
      </c>
      <c r="O1389" s="8">
        <v>143.94999999999999</v>
      </c>
      <c r="P1389" s="8">
        <v>7.2</v>
      </c>
      <c r="Q1389" s="10">
        <v>10</v>
      </c>
      <c r="R1389" s="10">
        <v>20</v>
      </c>
      <c r="S1389" s="8">
        <v>181.15</v>
      </c>
      <c r="T1389">
        <v>15</v>
      </c>
      <c r="U1389" t="str">
        <f t="shared" si="21"/>
        <v>Tuesday</v>
      </c>
    </row>
    <row r="1390" spans="1:21" x14ac:dyDescent="0.3">
      <c r="A1390" s="5" t="s">
        <v>3454</v>
      </c>
      <c r="B1390" s="3" t="s">
        <v>3709</v>
      </c>
      <c r="C1390" s="5" t="s">
        <v>980</v>
      </c>
      <c r="D1390" s="5" t="s">
        <v>21</v>
      </c>
      <c r="E1390" s="5" t="s">
        <v>69</v>
      </c>
      <c r="F1390" s="5" t="s">
        <v>42</v>
      </c>
      <c r="G1390" t="s">
        <v>3455</v>
      </c>
      <c r="H1390" s="5" t="s">
        <v>3677</v>
      </c>
      <c r="I1390" s="5" t="s">
        <v>982</v>
      </c>
      <c r="J1390" s="5" t="s">
        <v>983</v>
      </c>
      <c r="K1390" s="5" t="s">
        <v>45</v>
      </c>
      <c r="L1390">
        <v>1</v>
      </c>
      <c r="M1390">
        <v>100.23</v>
      </c>
      <c r="N1390" s="8">
        <v>10.02</v>
      </c>
      <c r="O1390" s="8">
        <v>90.210000000000008</v>
      </c>
      <c r="P1390" s="8">
        <v>4.51</v>
      </c>
      <c r="Q1390" s="10">
        <v>20</v>
      </c>
      <c r="R1390" s="10">
        <v>0</v>
      </c>
      <c r="S1390" s="8">
        <v>114.72</v>
      </c>
      <c r="T1390">
        <v>8</v>
      </c>
      <c r="U1390" t="str">
        <f t="shared" si="21"/>
        <v>Thursday</v>
      </c>
    </row>
    <row r="1391" spans="1:21" x14ac:dyDescent="0.3">
      <c r="A1391" s="5" t="s">
        <v>3456</v>
      </c>
      <c r="B1391" s="3" t="s">
        <v>3681</v>
      </c>
      <c r="C1391" s="5" t="s">
        <v>985</v>
      </c>
      <c r="D1391" s="5" t="s">
        <v>21</v>
      </c>
      <c r="E1391" s="5" t="s">
        <v>76</v>
      </c>
      <c r="F1391" s="5" t="s">
        <v>23</v>
      </c>
      <c r="G1391" t="s">
        <v>3457</v>
      </c>
      <c r="H1391" s="5" t="s">
        <v>3675</v>
      </c>
      <c r="I1391" s="5" t="s">
        <v>987</v>
      </c>
      <c r="J1391" s="5" t="s">
        <v>988</v>
      </c>
      <c r="K1391" s="5" t="s">
        <v>28</v>
      </c>
      <c r="L1391">
        <v>3</v>
      </c>
      <c r="M1391">
        <v>208.68</v>
      </c>
      <c r="N1391" s="8">
        <v>10.43</v>
      </c>
      <c r="O1391" s="8">
        <v>615.61</v>
      </c>
      <c r="P1391" s="8">
        <v>30.78</v>
      </c>
      <c r="Q1391" s="10">
        <v>0</v>
      </c>
      <c r="R1391" s="10">
        <v>5</v>
      </c>
      <c r="S1391" s="8">
        <v>651.39</v>
      </c>
      <c r="T1391">
        <v>24</v>
      </c>
      <c r="U1391" t="str">
        <f t="shared" si="21"/>
        <v>Wednesday</v>
      </c>
    </row>
    <row r="1392" spans="1:21" x14ac:dyDescent="0.3">
      <c r="A1392" s="5" t="s">
        <v>3458</v>
      </c>
      <c r="B1392" s="3" t="s">
        <v>3704</v>
      </c>
      <c r="C1392" s="5" t="s">
        <v>990</v>
      </c>
      <c r="D1392" s="5" t="s">
        <v>21</v>
      </c>
      <c r="E1392" s="5" t="s">
        <v>36</v>
      </c>
      <c r="F1392" s="5" t="s">
        <v>42</v>
      </c>
      <c r="G1392" t="s">
        <v>3459</v>
      </c>
      <c r="H1392" s="5" t="s">
        <v>3676</v>
      </c>
      <c r="I1392" s="5" t="s">
        <v>992</v>
      </c>
      <c r="J1392" s="5" t="s">
        <v>993</v>
      </c>
      <c r="K1392" s="5" t="s">
        <v>145</v>
      </c>
      <c r="L1392">
        <v>1</v>
      </c>
      <c r="M1392">
        <v>62.35</v>
      </c>
      <c r="N1392" s="8">
        <v>0</v>
      </c>
      <c r="O1392" s="8">
        <v>62.35</v>
      </c>
      <c r="P1392" s="8">
        <v>3.12</v>
      </c>
      <c r="Q1392" s="10">
        <v>30</v>
      </c>
      <c r="R1392" s="10">
        <v>15</v>
      </c>
      <c r="S1392" s="8">
        <v>110.47</v>
      </c>
      <c r="T1392">
        <v>24.67</v>
      </c>
      <c r="U1392" t="str">
        <f t="shared" si="21"/>
        <v>Tuesday</v>
      </c>
    </row>
    <row r="1393" spans="1:21" x14ac:dyDescent="0.3">
      <c r="A1393" s="5" t="s">
        <v>3460</v>
      </c>
      <c r="B1393" s="3" t="s">
        <v>3679</v>
      </c>
      <c r="C1393" s="5" t="s">
        <v>995</v>
      </c>
      <c r="D1393" s="5" t="s">
        <v>21</v>
      </c>
      <c r="E1393" s="5" t="s">
        <v>76</v>
      </c>
      <c r="F1393" s="5" t="s">
        <v>37</v>
      </c>
      <c r="G1393" t="s">
        <v>3461</v>
      </c>
      <c r="H1393" s="5" t="s">
        <v>3673</v>
      </c>
      <c r="I1393" s="5" t="s">
        <v>997</v>
      </c>
      <c r="J1393" s="5" t="s">
        <v>998</v>
      </c>
      <c r="K1393" s="5" t="s">
        <v>73</v>
      </c>
      <c r="L1393">
        <v>4</v>
      </c>
      <c r="M1393">
        <v>60.26</v>
      </c>
      <c r="N1393" s="8">
        <v>6.03</v>
      </c>
      <c r="O1393" s="8">
        <v>235.01</v>
      </c>
      <c r="P1393" s="8">
        <v>11.75</v>
      </c>
      <c r="Q1393" s="10">
        <v>20</v>
      </c>
      <c r="R1393" s="10">
        <v>10</v>
      </c>
      <c r="S1393" s="8">
        <v>276.76</v>
      </c>
      <c r="T1393">
        <v>32</v>
      </c>
      <c r="U1393" t="str">
        <f t="shared" si="21"/>
        <v>Friday</v>
      </c>
    </row>
    <row r="1394" spans="1:21" x14ac:dyDescent="0.3">
      <c r="A1394" s="5" t="s">
        <v>3462</v>
      </c>
      <c r="B1394" s="3" t="s">
        <v>3707</v>
      </c>
      <c r="C1394" s="5" t="s">
        <v>1000</v>
      </c>
      <c r="D1394" s="5" t="s">
        <v>21</v>
      </c>
      <c r="E1394" s="5" t="s">
        <v>76</v>
      </c>
      <c r="F1394" s="5" t="s">
        <v>23</v>
      </c>
      <c r="G1394" t="s">
        <v>3463</v>
      </c>
      <c r="H1394" s="5" t="s">
        <v>3675</v>
      </c>
      <c r="I1394" s="5" t="s">
        <v>1002</v>
      </c>
      <c r="J1394" s="5" t="s">
        <v>1003</v>
      </c>
      <c r="K1394" s="5" t="s">
        <v>196</v>
      </c>
      <c r="L1394">
        <v>1</v>
      </c>
      <c r="M1394">
        <v>93.3</v>
      </c>
      <c r="N1394" s="8">
        <v>4.67</v>
      </c>
      <c r="O1394" s="8">
        <v>88.63</v>
      </c>
      <c r="P1394" s="8">
        <v>4.43</v>
      </c>
      <c r="Q1394" s="10">
        <v>20</v>
      </c>
      <c r="R1394" s="10">
        <v>20</v>
      </c>
      <c r="S1394" s="8">
        <v>133.06</v>
      </c>
      <c r="T1394">
        <v>23</v>
      </c>
      <c r="U1394" t="str">
        <f t="shared" si="21"/>
        <v>Wednesday</v>
      </c>
    </row>
    <row r="1395" spans="1:21" x14ac:dyDescent="0.3">
      <c r="A1395" s="5" t="s">
        <v>3464</v>
      </c>
      <c r="B1395" s="3" t="s">
        <v>3708</v>
      </c>
      <c r="C1395" s="5" t="s">
        <v>1005</v>
      </c>
      <c r="D1395" s="5" t="s">
        <v>21</v>
      </c>
      <c r="E1395" s="5" t="s">
        <v>36</v>
      </c>
      <c r="F1395" s="5" t="s">
        <v>37</v>
      </c>
      <c r="G1395" t="s">
        <v>3465</v>
      </c>
      <c r="H1395" s="5" t="s">
        <v>3676</v>
      </c>
      <c r="I1395" s="5" t="s">
        <v>1007</v>
      </c>
      <c r="J1395" s="5" t="s">
        <v>1008</v>
      </c>
      <c r="K1395" s="5" t="s">
        <v>73</v>
      </c>
      <c r="L1395">
        <v>1</v>
      </c>
      <c r="M1395">
        <v>61.65</v>
      </c>
      <c r="N1395" s="8">
        <v>0</v>
      </c>
      <c r="O1395" s="8">
        <v>61.65</v>
      </c>
      <c r="P1395" s="8">
        <v>3.08</v>
      </c>
      <c r="Q1395" s="10">
        <v>0</v>
      </c>
      <c r="R1395" s="10">
        <v>20</v>
      </c>
      <c r="S1395" s="8">
        <v>84.73</v>
      </c>
      <c r="T1395">
        <v>25</v>
      </c>
      <c r="U1395" t="str">
        <f t="shared" si="21"/>
        <v>Sunday</v>
      </c>
    </row>
    <row r="1396" spans="1:21" x14ac:dyDescent="0.3">
      <c r="A1396" s="5" t="s">
        <v>3466</v>
      </c>
      <c r="B1396" s="3" t="s">
        <v>3725</v>
      </c>
      <c r="C1396" s="5" t="s">
        <v>1010</v>
      </c>
      <c r="D1396" s="5" t="s">
        <v>21</v>
      </c>
      <c r="E1396" s="5" t="s">
        <v>76</v>
      </c>
      <c r="F1396" s="5" t="s">
        <v>23</v>
      </c>
      <c r="G1396" t="s">
        <v>3467</v>
      </c>
      <c r="H1396" s="5" t="s">
        <v>3674</v>
      </c>
      <c r="I1396" s="5" t="s">
        <v>1012</v>
      </c>
      <c r="J1396" s="5" t="s">
        <v>1013</v>
      </c>
      <c r="K1396" s="5" t="s">
        <v>73</v>
      </c>
      <c r="L1396">
        <v>1</v>
      </c>
      <c r="M1396">
        <v>130.77000000000001</v>
      </c>
      <c r="N1396" s="8">
        <v>0</v>
      </c>
      <c r="O1396" s="8">
        <v>130.77000000000001</v>
      </c>
      <c r="P1396" s="8">
        <v>6.54</v>
      </c>
      <c r="Q1396" s="10">
        <v>0</v>
      </c>
      <c r="R1396" s="10">
        <v>20</v>
      </c>
      <c r="S1396" s="8">
        <v>157.31</v>
      </c>
      <c r="T1396">
        <v>15</v>
      </c>
      <c r="U1396" t="str">
        <f t="shared" si="21"/>
        <v>Wednesday</v>
      </c>
    </row>
    <row r="1397" spans="1:21" x14ac:dyDescent="0.3">
      <c r="A1397" s="5" t="s">
        <v>3468</v>
      </c>
      <c r="B1397" s="3" t="s">
        <v>3698</v>
      </c>
      <c r="C1397" s="5" t="s">
        <v>1015</v>
      </c>
      <c r="D1397" s="5" t="s">
        <v>21</v>
      </c>
      <c r="E1397" s="5" t="s">
        <v>69</v>
      </c>
      <c r="F1397" s="5" t="s">
        <v>42</v>
      </c>
      <c r="G1397" t="s">
        <v>3469</v>
      </c>
      <c r="H1397" s="5" t="s">
        <v>3676</v>
      </c>
      <c r="I1397" s="5" t="s">
        <v>1017</v>
      </c>
      <c r="J1397" s="5" t="s">
        <v>1018</v>
      </c>
      <c r="K1397" s="5" t="s">
        <v>45</v>
      </c>
      <c r="L1397">
        <v>3</v>
      </c>
      <c r="M1397">
        <v>94.38</v>
      </c>
      <c r="N1397" s="8">
        <v>4.72</v>
      </c>
      <c r="O1397" s="8">
        <v>278.42</v>
      </c>
      <c r="P1397" s="8">
        <v>13.92</v>
      </c>
      <c r="Q1397" s="10">
        <v>10</v>
      </c>
      <c r="R1397" s="10">
        <v>5</v>
      </c>
      <c r="S1397" s="8">
        <v>307.33999999999997</v>
      </c>
      <c r="T1397">
        <v>14</v>
      </c>
      <c r="U1397" t="str">
        <f t="shared" si="21"/>
        <v>Sunday</v>
      </c>
    </row>
    <row r="1398" spans="1:21" x14ac:dyDescent="0.3">
      <c r="A1398" s="5" t="s">
        <v>3470</v>
      </c>
      <c r="B1398" s="3" t="s">
        <v>3679</v>
      </c>
      <c r="C1398" s="5" t="s">
        <v>1020</v>
      </c>
      <c r="D1398" s="5" t="s">
        <v>106</v>
      </c>
      <c r="E1398" s="5" t="s">
        <v>83</v>
      </c>
      <c r="F1398" s="5" t="s">
        <v>37</v>
      </c>
      <c r="G1398" t="s">
        <v>3471</v>
      </c>
      <c r="H1398" s="5" t="s">
        <v>100</v>
      </c>
      <c r="I1398" s="5" t="s">
        <v>1022</v>
      </c>
      <c r="J1398" s="5" t="s">
        <v>1023</v>
      </c>
      <c r="K1398" s="5" t="s">
        <v>28</v>
      </c>
      <c r="L1398">
        <v>5</v>
      </c>
      <c r="M1398">
        <v>188.59</v>
      </c>
      <c r="N1398" s="8">
        <v>9.43</v>
      </c>
      <c r="O1398" s="8">
        <v>933.5200000000001</v>
      </c>
      <c r="P1398" s="8">
        <v>46.68</v>
      </c>
      <c r="Q1398" s="10">
        <v>20</v>
      </c>
      <c r="R1398" s="10">
        <v>15</v>
      </c>
      <c r="S1398" s="8">
        <v>1015.2</v>
      </c>
      <c r="T1398">
        <v>43</v>
      </c>
      <c r="U1398" t="str">
        <f t="shared" si="21"/>
        <v>Friday</v>
      </c>
    </row>
    <row r="1399" spans="1:21" x14ac:dyDescent="0.3">
      <c r="A1399" s="5" t="s">
        <v>3472</v>
      </c>
      <c r="B1399" s="3" t="s">
        <v>3695</v>
      </c>
      <c r="C1399" s="5" t="s">
        <v>1025</v>
      </c>
      <c r="D1399" s="5" t="s">
        <v>21</v>
      </c>
      <c r="E1399" s="5" t="s">
        <v>76</v>
      </c>
      <c r="F1399" s="5" t="s">
        <v>37</v>
      </c>
      <c r="G1399" t="s">
        <v>3473</v>
      </c>
      <c r="H1399" s="5" t="s">
        <v>3674</v>
      </c>
      <c r="I1399" s="5" t="s">
        <v>1027</v>
      </c>
      <c r="J1399" s="5" t="s">
        <v>1028</v>
      </c>
      <c r="K1399" s="5" t="s">
        <v>45</v>
      </c>
      <c r="L1399">
        <v>4</v>
      </c>
      <c r="M1399">
        <v>84.19</v>
      </c>
      <c r="N1399" s="8">
        <v>12.63</v>
      </c>
      <c r="O1399" s="8">
        <v>324.13</v>
      </c>
      <c r="P1399" s="8">
        <v>16.21</v>
      </c>
      <c r="Q1399" s="10">
        <v>20</v>
      </c>
      <c r="R1399" s="10">
        <v>5</v>
      </c>
      <c r="S1399" s="8">
        <v>365.34</v>
      </c>
      <c r="T1399">
        <v>8</v>
      </c>
      <c r="U1399" t="str">
        <f t="shared" si="21"/>
        <v>Thursday</v>
      </c>
    </row>
    <row r="1400" spans="1:21" x14ac:dyDescent="0.3">
      <c r="A1400" s="5" t="s">
        <v>3474</v>
      </c>
      <c r="B1400" s="3" t="s">
        <v>3678</v>
      </c>
      <c r="C1400" s="5" t="s">
        <v>1030</v>
      </c>
      <c r="D1400" s="5" t="s">
        <v>21</v>
      </c>
      <c r="E1400" s="5" t="s">
        <v>112</v>
      </c>
      <c r="F1400" s="5" t="s">
        <v>37</v>
      </c>
      <c r="G1400" t="s">
        <v>3475</v>
      </c>
      <c r="H1400" s="5" t="s">
        <v>25</v>
      </c>
      <c r="I1400" s="5" t="s">
        <v>26</v>
      </c>
      <c r="J1400" s="5" t="s">
        <v>27</v>
      </c>
      <c r="K1400" s="5" t="s">
        <v>28</v>
      </c>
      <c r="L1400">
        <v>1</v>
      </c>
      <c r="M1400">
        <v>137.46</v>
      </c>
      <c r="N1400" s="8">
        <v>13.75</v>
      </c>
      <c r="O1400" s="8">
        <v>123.71</v>
      </c>
      <c r="P1400" s="8">
        <v>6.19</v>
      </c>
      <c r="Q1400" s="10">
        <v>10</v>
      </c>
      <c r="R1400" s="10">
        <v>5</v>
      </c>
      <c r="S1400" s="8">
        <v>144.9</v>
      </c>
      <c r="T1400">
        <v>22</v>
      </c>
      <c r="U1400" t="str">
        <f t="shared" si="21"/>
        <v>Saturday</v>
      </c>
    </row>
    <row r="1401" spans="1:21" x14ac:dyDescent="0.3">
      <c r="A1401" s="5" t="s">
        <v>3476</v>
      </c>
      <c r="B1401" s="3" t="s">
        <v>3702</v>
      </c>
      <c r="C1401" s="5" t="s">
        <v>1033</v>
      </c>
      <c r="D1401" s="5" t="s">
        <v>21</v>
      </c>
      <c r="E1401" s="5" t="s">
        <v>69</v>
      </c>
      <c r="F1401" s="5" t="s">
        <v>42</v>
      </c>
      <c r="H1401" s="5" t="s">
        <v>3673</v>
      </c>
      <c r="I1401" s="5" t="s">
        <v>32</v>
      </c>
      <c r="J1401" s="5" t="s">
        <v>33</v>
      </c>
      <c r="K1401" s="5" t="s">
        <v>73</v>
      </c>
      <c r="L1401">
        <v>3</v>
      </c>
      <c r="M1401">
        <v>53.81</v>
      </c>
      <c r="N1401" s="8">
        <v>2.69</v>
      </c>
      <c r="O1401" s="8">
        <v>158.74</v>
      </c>
      <c r="P1401" s="8">
        <v>7.94</v>
      </c>
      <c r="Q1401" s="10">
        <v>0</v>
      </c>
      <c r="R1401" s="10">
        <v>5</v>
      </c>
      <c r="S1401" s="8">
        <v>171.68</v>
      </c>
      <c r="T1401">
        <v>33</v>
      </c>
      <c r="U1401" t="str">
        <f t="shared" si="21"/>
        <v>Monday</v>
      </c>
    </row>
    <row r="1402" spans="1:21" x14ac:dyDescent="0.3">
      <c r="A1402" s="5" t="s">
        <v>3477</v>
      </c>
      <c r="B1402" s="3" t="s">
        <v>3689</v>
      </c>
      <c r="C1402" s="5" t="s">
        <v>1036</v>
      </c>
      <c r="D1402" s="5" t="s">
        <v>21</v>
      </c>
      <c r="E1402" s="5" t="s">
        <v>112</v>
      </c>
      <c r="F1402" s="5" t="s">
        <v>23</v>
      </c>
      <c r="G1402" t="s">
        <v>3478</v>
      </c>
      <c r="H1402" s="5" t="s">
        <v>3674</v>
      </c>
      <c r="I1402" s="5" t="s">
        <v>38</v>
      </c>
      <c r="J1402" s="5" t="s">
        <v>39</v>
      </c>
      <c r="K1402" s="5" t="s">
        <v>56</v>
      </c>
      <c r="L1402">
        <v>1</v>
      </c>
      <c r="M1402">
        <v>142.18</v>
      </c>
      <c r="N1402" s="8">
        <v>21.33</v>
      </c>
      <c r="O1402" s="8">
        <v>120.85</v>
      </c>
      <c r="P1402" s="8">
        <v>6.04</v>
      </c>
      <c r="Q1402" s="10">
        <v>10</v>
      </c>
      <c r="R1402" s="10">
        <v>0</v>
      </c>
      <c r="S1402" s="8">
        <v>136.88999999999999</v>
      </c>
      <c r="T1402">
        <v>7</v>
      </c>
      <c r="U1402" t="str">
        <f t="shared" si="21"/>
        <v>Wednesday</v>
      </c>
    </row>
    <row r="1403" spans="1:21" x14ac:dyDescent="0.3">
      <c r="A1403" s="5" t="s">
        <v>3479</v>
      </c>
      <c r="B1403" s="3" t="s">
        <v>3725</v>
      </c>
      <c r="C1403" s="5" t="s">
        <v>1039</v>
      </c>
      <c r="D1403" s="5" t="s">
        <v>21</v>
      </c>
      <c r="E1403" s="5" t="s">
        <v>36</v>
      </c>
      <c r="F1403" s="5" t="s">
        <v>23</v>
      </c>
      <c r="G1403" t="s">
        <v>3480</v>
      </c>
      <c r="H1403" s="5" t="s">
        <v>3673</v>
      </c>
      <c r="I1403" s="5" t="s">
        <v>43</v>
      </c>
      <c r="J1403" s="5" t="s">
        <v>44</v>
      </c>
      <c r="K1403" s="5" t="s">
        <v>28</v>
      </c>
      <c r="L1403">
        <v>1</v>
      </c>
      <c r="M1403">
        <v>49.34</v>
      </c>
      <c r="N1403" s="8">
        <v>0</v>
      </c>
      <c r="O1403" s="8">
        <v>49.34</v>
      </c>
      <c r="P1403" s="8">
        <v>2.4700000000000002</v>
      </c>
      <c r="Q1403" s="10">
        <v>10</v>
      </c>
      <c r="R1403" s="10">
        <v>5</v>
      </c>
      <c r="S1403" s="8">
        <v>66.81</v>
      </c>
      <c r="T1403">
        <v>60</v>
      </c>
      <c r="U1403" t="str">
        <f t="shared" si="21"/>
        <v>Wednesday</v>
      </c>
    </row>
    <row r="1404" spans="1:21" x14ac:dyDescent="0.3">
      <c r="A1404" s="5" t="s">
        <v>3481</v>
      </c>
      <c r="B1404" s="3" t="s">
        <v>3696</v>
      </c>
      <c r="C1404" s="5" t="s">
        <v>1042</v>
      </c>
      <c r="D1404" s="5" t="s">
        <v>21</v>
      </c>
      <c r="E1404" s="5" t="s">
        <v>22</v>
      </c>
      <c r="F1404" s="5" t="s">
        <v>37</v>
      </c>
      <c r="G1404" t="s">
        <v>3482</v>
      </c>
      <c r="H1404" s="5" t="s">
        <v>3673</v>
      </c>
      <c r="I1404" s="5" t="s">
        <v>49</v>
      </c>
      <c r="J1404" s="5" t="s">
        <v>50</v>
      </c>
      <c r="K1404" s="5" t="s">
        <v>145</v>
      </c>
      <c r="L1404">
        <v>1</v>
      </c>
      <c r="M1404">
        <v>66.349999999999994</v>
      </c>
      <c r="N1404" s="8">
        <v>3.32</v>
      </c>
      <c r="O1404" s="8">
        <v>63.029999999999987</v>
      </c>
      <c r="P1404" s="8">
        <v>3.15</v>
      </c>
      <c r="Q1404" s="10">
        <v>0</v>
      </c>
      <c r="R1404" s="10">
        <v>0</v>
      </c>
      <c r="S1404" s="8">
        <v>66.179999999999993</v>
      </c>
      <c r="T1404">
        <v>24</v>
      </c>
      <c r="U1404" t="str">
        <f t="shared" si="21"/>
        <v>Friday</v>
      </c>
    </row>
    <row r="1405" spans="1:21" x14ac:dyDescent="0.3">
      <c r="A1405" s="5" t="s">
        <v>3483</v>
      </c>
      <c r="B1405" s="3" t="s">
        <v>3711</v>
      </c>
      <c r="C1405" s="5" t="s">
        <v>1045</v>
      </c>
      <c r="D1405" s="5" t="s">
        <v>106</v>
      </c>
      <c r="E1405" s="5" t="s">
        <v>83</v>
      </c>
      <c r="F1405" s="5" t="s">
        <v>37</v>
      </c>
      <c r="G1405" t="s">
        <v>3484</v>
      </c>
      <c r="H1405" s="5" t="s">
        <v>3674</v>
      </c>
      <c r="I1405" s="5" t="s">
        <v>54</v>
      </c>
      <c r="J1405" s="5" t="s">
        <v>55</v>
      </c>
      <c r="K1405" s="5" t="s">
        <v>40</v>
      </c>
      <c r="L1405">
        <v>5</v>
      </c>
      <c r="M1405">
        <v>95.08</v>
      </c>
      <c r="N1405" s="8">
        <v>0</v>
      </c>
      <c r="O1405" s="8">
        <v>475.4</v>
      </c>
      <c r="P1405" s="8">
        <v>23.77</v>
      </c>
      <c r="Q1405" s="10">
        <v>10</v>
      </c>
      <c r="R1405" s="10">
        <v>20</v>
      </c>
      <c r="S1405" s="8">
        <v>529.16999999999996</v>
      </c>
      <c r="T1405">
        <v>32</v>
      </c>
      <c r="U1405" t="str">
        <f t="shared" si="21"/>
        <v>Wednesday</v>
      </c>
    </row>
    <row r="1406" spans="1:21" x14ac:dyDescent="0.3">
      <c r="A1406" s="5" t="s">
        <v>3485</v>
      </c>
      <c r="B1406" s="3" t="s">
        <v>3698</v>
      </c>
      <c r="C1406" s="5" t="s">
        <v>1048</v>
      </c>
      <c r="D1406" s="5" t="s">
        <v>106</v>
      </c>
      <c r="E1406" s="5" t="s">
        <v>83</v>
      </c>
      <c r="F1406" s="5" t="s">
        <v>37</v>
      </c>
      <c r="G1406" t="s">
        <v>3486</v>
      </c>
      <c r="H1406" s="5" t="s">
        <v>3673</v>
      </c>
      <c r="I1406" s="5" t="s">
        <v>60</v>
      </c>
      <c r="J1406" s="5" t="s">
        <v>61</v>
      </c>
      <c r="K1406" s="5" t="s">
        <v>28</v>
      </c>
      <c r="L1406">
        <v>1</v>
      </c>
      <c r="M1406">
        <v>245.74</v>
      </c>
      <c r="N1406" s="8">
        <v>12.29</v>
      </c>
      <c r="O1406" s="8">
        <v>233.45</v>
      </c>
      <c r="P1406" s="8">
        <v>11.67</v>
      </c>
      <c r="Q1406" s="10">
        <v>10</v>
      </c>
      <c r="R1406" s="10">
        <v>20</v>
      </c>
      <c r="S1406" s="8">
        <v>275.12</v>
      </c>
      <c r="T1406">
        <v>11</v>
      </c>
      <c r="U1406" t="str">
        <f t="shared" si="21"/>
        <v>Sunday</v>
      </c>
    </row>
    <row r="1407" spans="1:21" x14ac:dyDescent="0.3">
      <c r="A1407" s="5" t="s">
        <v>3487</v>
      </c>
      <c r="B1407" s="3" t="s">
        <v>3712</v>
      </c>
      <c r="C1407" s="5" t="s">
        <v>1051</v>
      </c>
      <c r="D1407" s="5" t="s">
        <v>82</v>
      </c>
      <c r="E1407" s="5" t="s">
        <v>83</v>
      </c>
      <c r="F1407" s="5" t="s">
        <v>37</v>
      </c>
      <c r="G1407" t="s">
        <v>3488</v>
      </c>
      <c r="H1407" s="5" t="s">
        <v>3673</v>
      </c>
      <c r="I1407" s="5" t="s">
        <v>65</v>
      </c>
      <c r="J1407" s="5" t="s">
        <v>66</v>
      </c>
      <c r="K1407" s="5" t="s">
        <v>28</v>
      </c>
      <c r="L1407">
        <v>1</v>
      </c>
      <c r="M1407">
        <v>197.92</v>
      </c>
      <c r="N1407" s="8">
        <v>19.79</v>
      </c>
      <c r="O1407" s="8">
        <v>178.13</v>
      </c>
      <c r="P1407" s="8">
        <v>8.91</v>
      </c>
      <c r="Q1407" s="10">
        <v>10</v>
      </c>
      <c r="R1407" s="10">
        <v>0</v>
      </c>
      <c r="S1407" s="8">
        <v>197.04</v>
      </c>
      <c r="T1407">
        <v>24.67</v>
      </c>
      <c r="U1407" t="str">
        <f t="shared" si="21"/>
        <v>Thursday</v>
      </c>
    </row>
    <row r="1408" spans="1:21" x14ac:dyDescent="0.3">
      <c r="A1408" s="5" t="s">
        <v>3489</v>
      </c>
      <c r="B1408" s="3" t="s">
        <v>3702</v>
      </c>
      <c r="C1408" s="5" t="s">
        <v>1054</v>
      </c>
      <c r="D1408" s="5" t="s">
        <v>21</v>
      </c>
      <c r="E1408" s="5" t="s">
        <v>112</v>
      </c>
      <c r="F1408" s="5" t="s">
        <v>42</v>
      </c>
      <c r="G1408" t="s">
        <v>3490</v>
      </c>
      <c r="H1408" s="5" t="s">
        <v>3674</v>
      </c>
      <c r="I1408" s="5" t="s">
        <v>71</v>
      </c>
      <c r="J1408" s="5" t="s">
        <v>72</v>
      </c>
      <c r="K1408" s="5" t="s">
        <v>145</v>
      </c>
      <c r="L1408">
        <v>8</v>
      </c>
      <c r="M1408">
        <v>61.47</v>
      </c>
      <c r="N1408" s="8">
        <v>9.2200000000000006</v>
      </c>
      <c r="O1408" s="8">
        <v>482.54</v>
      </c>
      <c r="P1408" s="8">
        <v>24.13</v>
      </c>
      <c r="Q1408" s="10">
        <v>0</v>
      </c>
      <c r="R1408" s="10">
        <v>5</v>
      </c>
      <c r="S1408" s="8">
        <v>511.67</v>
      </c>
      <c r="T1408">
        <v>31</v>
      </c>
      <c r="U1408" t="str">
        <f t="shared" si="21"/>
        <v>Monday</v>
      </c>
    </row>
    <row r="1409" spans="1:21" x14ac:dyDescent="0.3">
      <c r="A1409" s="5" t="s">
        <v>3491</v>
      </c>
      <c r="B1409" s="3" t="s">
        <v>3710</v>
      </c>
      <c r="C1409" s="5" t="s">
        <v>1057</v>
      </c>
      <c r="D1409" s="5" t="s">
        <v>21</v>
      </c>
      <c r="E1409" s="5" t="s">
        <v>36</v>
      </c>
      <c r="F1409" s="5" t="s">
        <v>42</v>
      </c>
      <c r="G1409" t="s">
        <v>3492</v>
      </c>
      <c r="H1409" s="5" t="s">
        <v>3675</v>
      </c>
      <c r="I1409" s="5" t="s">
        <v>78</v>
      </c>
      <c r="J1409" s="5" t="s">
        <v>79</v>
      </c>
      <c r="K1409" s="5" t="s">
        <v>103</v>
      </c>
      <c r="L1409">
        <v>5</v>
      </c>
      <c r="M1409">
        <v>103.42</v>
      </c>
      <c r="N1409" s="8">
        <v>10.34</v>
      </c>
      <c r="O1409" s="8">
        <v>506.76</v>
      </c>
      <c r="P1409" s="8">
        <v>25.34</v>
      </c>
      <c r="Q1409" s="10">
        <v>20</v>
      </c>
      <c r="R1409" s="10">
        <v>0</v>
      </c>
      <c r="S1409" s="8">
        <v>552.1</v>
      </c>
      <c r="T1409">
        <v>23</v>
      </c>
      <c r="U1409" t="str">
        <f t="shared" si="21"/>
        <v>Monday</v>
      </c>
    </row>
    <row r="1410" spans="1:21" x14ac:dyDescent="0.3">
      <c r="A1410" s="5" t="s">
        <v>3493</v>
      </c>
      <c r="B1410" s="3" t="s">
        <v>3698</v>
      </c>
      <c r="C1410" s="5" t="s">
        <v>1060</v>
      </c>
      <c r="D1410" s="5" t="s">
        <v>21</v>
      </c>
      <c r="E1410" s="5" t="s">
        <v>69</v>
      </c>
      <c r="F1410" s="5" t="s">
        <v>42</v>
      </c>
      <c r="G1410" t="s">
        <v>3494</v>
      </c>
      <c r="H1410" s="5" t="s">
        <v>3675</v>
      </c>
      <c r="I1410" s="5" t="s">
        <v>85</v>
      </c>
      <c r="J1410" s="5" t="s">
        <v>86</v>
      </c>
      <c r="K1410" s="5" t="s">
        <v>103</v>
      </c>
      <c r="L1410">
        <v>3</v>
      </c>
      <c r="M1410">
        <v>80.790000000000006</v>
      </c>
      <c r="N1410" s="8">
        <v>12.12</v>
      </c>
      <c r="O1410" s="8">
        <v>230.25</v>
      </c>
      <c r="P1410" s="8">
        <v>11.51</v>
      </c>
      <c r="Q1410" s="10">
        <v>20</v>
      </c>
      <c r="R1410" s="10">
        <v>15</v>
      </c>
      <c r="S1410" s="8">
        <v>276.76</v>
      </c>
      <c r="T1410">
        <v>21</v>
      </c>
      <c r="U1410" t="str">
        <f t="shared" si="21"/>
        <v>Sunday</v>
      </c>
    </row>
    <row r="1411" spans="1:21" x14ac:dyDescent="0.3">
      <c r="A1411" s="5" t="s">
        <v>3495</v>
      </c>
      <c r="B1411" s="3" t="s">
        <v>3716</v>
      </c>
      <c r="C1411" s="5" t="s">
        <v>1063</v>
      </c>
      <c r="D1411" s="5" t="s">
        <v>21</v>
      </c>
      <c r="E1411" s="5" t="s">
        <v>76</v>
      </c>
      <c r="F1411" s="5" t="s">
        <v>42</v>
      </c>
      <c r="G1411" t="s">
        <v>3496</v>
      </c>
      <c r="H1411" s="5" t="s">
        <v>3673</v>
      </c>
      <c r="I1411" s="5" t="s">
        <v>90</v>
      </c>
      <c r="J1411" s="5" t="s">
        <v>91</v>
      </c>
      <c r="K1411" s="5" t="s">
        <v>45</v>
      </c>
      <c r="L1411">
        <v>1</v>
      </c>
      <c r="M1411">
        <v>193.67</v>
      </c>
      <c r="N1411" s="8">
        <v>0</v>
      </c>
      <c r="O1411" s="8">
        <v>193.67</v>
      </c>
      <c r="P1411" s="8">
        <v>9.68</v>
      </c>
      <c r="Q1411" s="10">
        <v>10</v>
      </c>
      <c r="R1411" s="10">
        <v>5</v>
      </c>
      <c r="S1411" s="8">
        <v>218.35</v>
      </c>
      <c r="T1411">
        <v>29</v>
      </c>
      <c r="U1411" t="str">
        <f t="shared" ref="U1411:U1474" si="22">TEXT(B1411,"dddd")</f>
        <v>Saturday</v>
      </c>
    </row>
    <row r="1412" spans="1:21" x14ac:dyDescent="0.3">
      <c r="A1412" s="5" t="s">
        <v>3497</v>
      </c>
      <c r="B1412" s="3" t="s">
        <v>3692</v>
      </c>
      <c r="C1412" s="5" t="s">
        <v>1066</v>
      </c>
      <c r="D1412" s="5" t="s">
        <v>21</v>
      </c>
      <c r="E1412" s="5" t="s">
        <v>69</v>
      </c>
      <c r="F1412" s="5" t="s">
        <v>23</v>
      </c>
      <c r="G1412" t="s">
        <v>3498</v>
      </c>
      <c r="H1412" s="5" t="s">
        <v>3676</v>
      </c>
      <c r="I1412" s="5" t="s">
        <v>95</v>
      </c>
      <c r="J1412" s="5" t="s">
        <v>96</v>
      </c>
      <c r="K1412" s="5" t="s">
        <v>73</v>
      </c>
      <c r="L1412">
        <v>4</v>
      </c>
      <c r="M1412">
        <v>94.26</v>
      </c>
      <c r="N1412" s="8">
        <v>14.14</v>
      </c>
      <c r="O1412" s="8">
        <v>362.9</v>
      </c>
      <c r="P1412" s="8">
        <v>18.149999999999999</v>
      </c>
      <c r="Q1412" s="10">
        <v>10</v>
      </c>
      <c r="R1412" s="10">
        <v>0</v>
      </c>
      <c r="S1412" s="8">
        <v>391.05</v>
      </c>
      <c r="T1412">
        <v>29</v>
      </c>
      <c r="U1412" t="str">
        <f t="shared" si="22"/>
        <v>Wednesday</v>
      </c>
    </row>
    <row r="1413" spans="1:21" x14ac:dyDescent="0.3">
      <c r="A1413" s="5" t="s">
        <v>3499</v>
      </c>
      <c r="B1413" s="3" t="s">
        <v>3693</v>
      </c>
      <c r="C1413" s="5" t="s">
        <v>1069</v>
      </c>
      <c r="D1413" s="5" t="s">
        <v>21</v>
      </c>
      <c r="E1413" s="5" t="s">
        <v>76</v>
      </c>
      <c r="F1413" s="5" t="s">
        <v>37</v>
      </c>
      <c r="G1413" t="s">
        <v>3500</v>
      </c>
      <c r="H1413" s="5" t="s">
        <v>3677</v>
      </c>
      <c r="I1413" s="5" t="s">
        <v>101</v>
      </c>
      <c r="J1413" s="5" t="s">
        <v>102</v>
      </c>
      <c r="K1413" s="5" t="s">
        <v>28</v>
      </c>
      <c r="L1413">
        <v>6</v>
      </c>
      <c r="M1413">
        <v>92.53</v>
      </c>
      <c r="N1413" s="8">
        <v>13.88</v>
      </c>
      <c r="O1413" s="8">
        <v>541.30000000000007</v>
      </c>
      <c r="P1413" s="8">
        <v>27.07</v>
      </c>
      <c r="Q1413" s="10">
        <v>10</v>
      </c>
      <c r="R1413" s="10">
        <v>10</v>
      </c>
      <c r="S1413" s="8">
        <v>588.37000000000012</v>
      </c>
      <c r="T1413">
        <v>10</v>
      </c>
      <c r="U1413" t="str">
        <f t="shared" si="22"/>
        <v>Thursday</v>
      </c>
    </row>
    <row r="1414" spans="1:21" x14ac:dyDescent="0.3">
      <c r="A1414" s="5" t="s">
        <v>3501</v>
      </c>
      <c r="B1414" s="3" t="s">
        <v>3727</v>
      </c>
      <c r="C1414" s="5" t="s">
        <v>1072</v>
      </c>
      <c r="D1414" s="5" t="s">
        <v>21</v>
      </c>
      <c r="E1414" s="5" t="s">
        <v>69</v>
      </c>
      <c r="F1414" s="5" t="s">
        <v>37</v>
      </c>
      <c r="G1414" t="s">
        <v>3502</v>
      </c>
      <c r="H1414" s="5" t="s">
        <v>3676</v>
      </c>
      <c r="I1414" s="5" t="s">
        <v>108</v>
      </c>
      <c r="J1414" s="5" t="s">
        <v>109</v>
      </c>
      <c r="K1414" s="5" t="s">
        <v>34</v>
      </c>
      <c r="L1414">
        <v>6</v>
      </c>
      <c r="M1414">
        <v>140.77000000000001</v>
      </c>
      <c r="N1414" s="8">
        <v>14.08</v>
      </c>
      <c r="O1414" s="8">
        <v>830.54000000000008</v>
      </c>
      <c r="P1414" s="8">
        <v>41.53</v>
      </c>
      <c r="Q1414" s="10">
        <v>20</v>
      </c>
      <c r="R1414" s="10">
        <v>15</v>
      </c>
      <c r="S1414" s="8">
        <v>907.07</v>
      </c>
      <c r="T1414">
        <v>24.67</v>
      </c>
      <c r="U1414" t="str">
        <f t="shared" si="22"/>
        <v>Friday</v>
      </c>
    </row>
    <row r="1415" spans="1:21" x14ac:dyDescent="0.3">
      <c r="A1415" s="5" t="s">
        <v>3503</v>
      </c>
      <c r="B1415" s="3" t="s">
        <v>3733</v>
      </c>
      <c r="C1415" s="5" t="s">
        <v>1075</v>
      </c>
      <c r="D1415" s="5" t="s">
        <v>21</v>
      </c>
      <c r="E1415" s="5" t="s">
        <v>76</v>
      </c>
      <c r="F1415" s="5" t="s">
        <v>42</v>
      </c>
      <c r="G1415" t="s">
        <v>3504</v>
      </c>
      <c r="H1415" s="5" t="s">
        <v>3677</v>
      </c>
      <c r="I1415" s="5" t="s">
        <v>114</v>
      </c>
      <c r="J1415" s="5" t="s">
        <v>115</v>
      </c>
      <c r="K1415" s="5" t="s">
        <v>45</v>
      </c>
      <c r="L1415">
        <v>5</v>
      </c>
      <c r="M1415">
        <v>127.78</v>
      </c>
      <c r="N1415" s="8">
        <v>19.170000000000002</v>
      </c>
      <c r="O1415" s="8">
        <v>619.73</v>
      </c>
      <c r="P1415" s="8">
        <v>30.99</v>
      </c>
      <c r="Q1415" s="10">
        <v>20</v>
      </c>
      <c r="R1415" s="10">
        <v>20</v>
      </c>
      <c r="S1415" s="8">
        <v>690.72</v>
      </c>
      <c r="T1415">
        <v>34</v>
      </c>
      <c r="U1415" t="str">
        <f t="shared" si="22"/>
        <v>Sunday</v>
      </c>
    </row>
    <row r="1416" spans="1:21" x14ac:dyDescent="0.3">
      <c r="A1416" s="5" t="s">
        <v>3505</v>
      </c>
      <c r="B1416" s="3" t="s">
        <v>3703</v>
      </c>
      <c r="C1416" s="5" t="s">
        <v>1078</v>
      </c>
      <c r="D1416" s="5" t="s">
        <v>21</v>
      </c>
      <c r="E1416" s="5" t="s">
        <v>69</v>
      </c>
      <c r="F1416" s="5" t="s">
        <v>42</v>
      </c>
      <c r="G1416" t="s">
        <v>3506</v>
      </c>
      <c r="H1416" s="5" t="s">
        <v>3673</v>
      </c>
      <c r="I1416" s="5" t="s">
        <v>119</v>
      </c>
      <c r="J1416" s="5" t="s">
        <v>120</v>
      </c>
      <c r="K1416" s="5" t="s">
        <v>40</v>
      </c>
      <c r="L1416">
        <v>5</v>
      </c>
      <c r="M1416">
        <v>214.33</v>
      </c>
      <c r="N1416" s="8">
        <v>0</v>
      </c>
      <c r="O1416" s="8">
        <v>1071.6500000000001</v>
      </c>
      <c r="P1416" s="8">
        <v>53.58</v>
      </c>
      <c r="Q1416" s="10">
        <v>30</v>
      </c>
      <c r="R1416" s="10">
        <v>15</v>
      </c>
      <c r="S1416" s="8">
        <v>1170.23</v>
      </c>
      <c r="T1416">
        <v>15</v>
      </c>
      <c r="U1416" t="str">
        <f t="shared" si="22"/>
        <v>Friday</v>
      </c>
    </row>
    <row r="1417" spans="1:21" x14ac:dyDescent="0.3">
      <c r="A1417" s="5" t="s">
        <v>3507</v>
      </c>
      <c r="B1417" s="3" t="s">
        <v>3727</v>
      </c>
      <c r="C1417" s="5" t="s">
        <v>1081</v>
      </c>
      <c r="D1417" s="5" t="s">
        <v>21</v>
      </c>
      <c r="E1417" s="5" t="s">
        <v>36</v>
      </c>
      <c r="F1417" s="5" t="s">
        <v>37</v>
      </c>
      <c r="G1417" t="s">
        <v>3508</v>
      </c>
      <c r="H1417" s="5" t="s">
        <v>3673</v>
      </c>
      <c r="I1417" s="5" t="s">
        <v>124</v>
      </c>
      <c r="J1417" s="5" t="s">
        <v>125</v>
      </c>
      <c r="K1417" s="5" t="s">
        <v>45</v>
      </c>
      <c r="L1417">
        <v>1</v>
      </c>
      <c r="M1417">
        <v>122.25</v>
      </c>
      <c r="N1417" s="8">
        <v>18.34</v>
      </c>
      <c r="O1417" s="8">
        <v>103.91</v>
      </c>
      <c r="P1417" s="8">
        <v>5.2</v>
      </c>
      <c r="Q1417" s="10">
        <v>20</v>
      </c>
      <c r="R1417" s="10">
        <v>15</v>
      </c>
      <c r="S1417" s="8">
        <v>144.11000000000001</v>
      </c>
      <c r="T1417">
        <v>35</v>
      </c>
      <c r="U1417" t="str">
        <f t="shared" si="22"/>
        <v>Friday</v>
      </c>
    </row>
    <row r="1418" spans="1:21" x14ac:dyDescent="0.3">
      <c r="A1418" s="5" t="s">
        <v>3509</v>
      </c>
      <c r="B1418" s="3" t="s">
        <v>3698</v>
      </c>
      <c r="C1418" s="5" t="s">
        <v>1084</v>
      </c>
      <c r="D1418" s="5" t="s">
        <v>21</v>
      </c>
      <c r="E1418" s="5" t="s">
        <v>69</v>
      </c>
      <c r="F1418" s="5" t="s">
        <v>42</v>
      </c>
      <c r="G1418" t="s">
        <v>3510</v>
      </c>
      <c r="H1418" s="5" t="s">
        <v>3675</v>
      </c>
      <c r="I1418" s="5" t="s">
        <v>129</v>
      </c>
      <c r="J1418" s="5" t="s">
        <v>130</v>
      </c>
      <c r="K1418" s="5" t="s">
        <v>103</v>
      </c>
      <c r="L1418">
        <v>7</v>
      </c>
      <c r="M1418">
        <v>117.88</v>
      </c>
      <c r="N1418" s="8">
        <v>5.89</v>
      </c>
      <c r="O1418" s="8">
        <v>819.27</v>
      </c>
      <c r="P1418" s="8">
        <v>40.96</v>
      </c>
      <c r="Q1418" s="10">
        <v>30</v>
      </c>
      <c r="R1418" s="10">
        <v>10</v>
      </c>
      <c r="S1418" s="8">
        <v>900.23</v>
      </c>
      <c r="T1418">
        <v>22</v>
      </c>
      <c r="U1418" t="str">
        <f t="shared" si="22"/>
        <v>Sunday</v>
      </c>
    </row>
    <row r="1419" spans="1:21" x14ac:dyDescent="0.3">
      <c r="A1419" s="5" t="s">
        <v>3511</v>
      </c>
      <c r="B1419" s="3" t="s">
        <v>3724</v>
      </c>
      <c r="C1419" s="5" t="s">
        <v>1087</v>
      </c>
      <c r="D1419" s="5" t="s">
        <v>21</v>
      </c>
      <c r="E1419" s="5" t="s">
        <v>69</v>
      </c>
      <c r="F1419" s="5" t="s">
        <v>37</v>
      </c>
      <c r="G1419" t="s">
        <v>3512</v>
      </c>
      <c r="H1419" s="5" t="s">
        <v>3677</v>
      </c>
      <c r="I1419" s="5" t="s">
        <v>133</v>
      </c>
      <c r="J1419" s="5" t="s">
        <v>134</v>
      </c>
      <c r="K1419" s="5" t="s">
        <v>40</v>
      </c>
      <c r="L1419">
        <v>3</v>
      </c>
      <c r="M1419">
        <v>66.38</v>
      </c>
      <c r="N1419" s="8">
        <v>6.64</v>
      </c>
      <c r="O1419" s="8">
        <v>192.5</v>
      </c>
      <c r="P1419" s="8">
        <v>9.6199999999999992</v>
      </c>
      <c r="Q1419" s="10">
        <v>10</v>
      </c>
      <c r="R1419" s="10">
        <v>20</v>
      </c>
      <c r="S1419" s="8">
        <v>232.12</v>
      </c>
      <c r="T1419">
        <v>21</v>
      </c>
      <c r="U1419" t="str">
        <f t="shared" si="22"/>
        <v>Sunday</v>
      </c>
    </row>
    <row r="1420" spans="1:21" x14ac:dyDescent="0.3">
      <c r="A1420" s="5" t="s">
        <v>3513</v>
      </c>
      <c r="B1420" s="3" t="s">
        <v>3696</v>
      </c>
      <c r="C1420" s="5" t="s">
        <v>1089</v>
      </c>
      <c r="D1420" s="5" t="s">
        <v>82</v>
      </c>
      <c r="E1420" s="5" t="s">
        <v>83</v>
      </c>
      <c r="F1420" s="5" t="s">
        <v>37</v>
      </c>
      <c r="G1420" t="s">
        <v>3514</v>
      </c>
      <c r="H1420" s="5" t="s">
        <v>3673</v>
      </c>
      <c r="I1420" s="5" t="s">
        <v>138</v>
      </c>
      <c r="J1420" s="5" t="s">
        <v>139</v>
      </c>
      <c r="K1420" s="5" t="s">
        <v>73</v>
      </c>
      <c r="L1420">
        <v>1</v>
      </c>
      <c r="M1420">
        <v>114.13</v>
      </c>
      <c r="N1420" s="8">
        <v>5.71</v>
      </c>
      <c r="O1420" s="8">
        <v>108.42</v>
      </c>
      <c r="P1420" s="8">
        <v>5.42</v>
      </c>
      <c r="Q1420" s="10">
        <v>10</v>
      </c>
      <c r="R1420" s="10">
        <v>10</v>
      </c>
      <c r="S1420" s="8">
        <v>133.84</v>
      </c>
      <c r="T1420">
        <v>26</v>
      </c>
      <c r="U1420" t="str">
        <f t="shared" si="22"/>
        <v>Friday</v>
      </c>
    </row>
    <row r="1421" spans="1:21" x14ac:dyDescent="0.3">
      <c r="A1421" s="5" t="s">
        <v>3515</v>
      </c>
      <c r="B1421" s="3" t="s">
        <v>3734</v>
      </c>
      <c r="C1421" s="5" t="s">
        <v>1092</v>
      </c>
      <c r="D1421" s="5" t="s">
        <v>21</v>
      </c>
      <c r="E1421" s="5" t="s">
        <v>36</v>
      </c>
      <c r="F1421" s="5" t="s">
        <v>37</v>
      </c>
      <c r="G1421" t="s">
        <v>3516</v>
      </c>
      <c r="H1421" s="5" t="s">
        <v>3674</v>
      </c>
      <c r="I1421" s="5" t="s">
        <v>143</v>
      </c>
      <c r="J1421" s="5" t="s">
        <v>144</v>
      </c>
      <c r="K1421" s="5" t="s">
        <v>73</v>
      </c>
      <c r="L1421">
        <v>3</v>
      </c>
      <c r="M1421">
        <v>195.46</v>
      </c>
      <c r="N1421" s="8">
        <v>9.77</v>
      </c>
      <c r="O1421" s="8">
        <v>576.61</v>
      </c>
      <c r="P1421" s="8">
        <v>28.83</v>
      </c>
      <c r="Q1421" s="10">
        <v>0</v>
      </c>
      <c r="R1421" s="10">
        <v>15</v>
      </c>
      <c r="S1421" s="8">
        <v>620.44000000000005</v>
      </c>
      <c r="T1421">
        <v>29</v>
      </c>
      <c r="U1421" t="str">
        <f t="shared" si="22"/>
        <v>Monday</v>
      </c>
    </row>
    <row r="1422" spans="1:21" x14ac:dyDescent="0.3">
      <c r="A1422" s="5" t="s">
        <v>3517</v>
      </c>
      <c r="B1422" s="3" t="s">
        <v>3728</v>
      </c>
      <c r="C1422" s="5" t="s">
        <v>1095</v>
      </c>
      <c r="D1422" s="5" t="s">
        <v>21</v>
      </c>
      <c r="E1422" s="5" t="s">
        <v>69</v>
      </c>
      <c r="F1422" s="5" t="s">
        <v>42</v>
      </c>
      <c r="G1422" t="s">
        <v>3518</v>
      </c>
      <c r="H1422" s="5" t="s">
        <v>3673</v>
      </c>
      <c r="I1422" s="5" t="s">
        <v>149</v>
      </c>
      <c r="J1422" s="5" t="s">
        <v>150</v>
      </c>
      <c r="K1422" s="5" t="s">
        <v>73</v>
      </c>
      <c r="L1422">
        <v>1</v>
      </c>
      <c r="M1422">
        <v>151.46</v>
      </c>
      <c r="N1422" s="8">
        <v>15.15</v>
      </c>
      <c r="O1422" s="8">
        <v>136.31</v>
      </c>
      <c r="P1422" s="8">
        <v>6.82</v>
      </c>
      <c r="Q1422" s="10">
        <v>20</v>
      </c>
      <c r="R1422" s="10">
        <v>5</v>
      </c>
      <c r="S1422" s="8">
        <v>168.13</v>
      </c>
      <c r="T1422">
        <v>21</v>
      </c>
      <c r="U1422" t="str">
        <f t="shared" si="22"/>
        <v>Friday</v>
      </c>
    </row>
    <row r="1423" spans="1:21" x14ac:dyDescent="0.3">
      <c r="A1423" s="5" t="s">
        <v>3519</v>
      </c>
      <c r="B1423" s="3" t="s">
        <v>3708</v>
      </c>
      <c r="C1423" s="5" t="s">
        <v>1098</v>
      </c>
      <c r="D1423" s="5" t="s">
        <v>21</v>
      </c>
      <c r="E1423" s="5" t="s">
        <v>36</v>
      </c>
      <c r="F1423" s="5" t="s">
        <v>23</v>
      </c>
      <c r="G1423" t="s">
        <v>3520</v>
      </c>
      <c r="H1423" s="5" t="s">
        <v>3673</v>
      </c>
      <c r="I1423" s="5" t="s">
        <v>154</v>
      </c>
      <c r="J1423" s="5" t="s">
        <v>155</v>
      </c>
      <c r="K1423" s="5" t="s">
        <v>73</v>
      </c>
      <c r="L1423">
        <v>3</v>
      </c>
      <c r="M1423">
        <v>130.29</v>
      </c>
      <c r="N1423" s="8">
        <v>0</v>
      </c>
      <c r="O1423" s="8">
        <v>390.87</v>
      </c>
      <c r="P1423" s="8">
        <v>19.54</v>
      </c>
      <c r="Q1423" s="10">
        <v>20</v>
      </c>
      <c r="R1423" s="10">
        <v>10</v>
      </c>
      <c r="S1423" s="8">
        <v>440.41</v>
      </c>
      <c r="T1423">
        <v>24.67</v>
      </c>
      <c r="U1423" t="str">
        <f t="shared" si="22"/>
        <v>Sunday</v>
      </c>
    </row>
    <row r="1424" spans="1:21" x14ac:dyDescent="0.3">
      <c r="A1424" s="5" t="s">
        <v>3521</v>
      </c>
      <c r="B1424" s="3" t="s">
        <v>3689</v>
      </c>
      <c r="C1424" s="5" t="s">
        <v>1101</v>
      </c>
      <c r="D1424" s="5" t="s">
        <v>21</v>
      </c>
      <c r="E1424" s="5" t="s">
        <v>36</v>
      </c>
      <c r="F1424" s="5" t="s">
        <v>23</v>
      </c>
      <c r="G1424" t="s">
        <v>3522</v>
      </c>
      <c r="H1424" s="5" t="s">
        <v>3673</v>
      </c>
      <c r="I1424" s="5" t="s">
        <v>159</v>
      </c>
      <c r="J1424" s="5" t="s">
        <v>160</v>
      </c>
      <c r="K1424" s="5" t="s">
        <v>196</v>
      </c>
      <c r="L1424">
        <v>1</v>
      </c>
      <c r="M1424">
        <v>81.45</v>
      </c>
      <c r="N1424" s="8">
        <v>12.22</v>
      </c>
      <c r="O1424" s="8">
        <v>69.23</v>
      </c>
      <c r="P1424" s="8">
        <v>3.46</v>
      </c>
      <c r="Q1424" s="10">
        <v>20</v>
      </c>
      <c r="R1424" s="10">
        <v>20</v>
      </c>
      <c r="S1424" s="8">
        <v>112.69</v>
      </c>
      <c r="T1424">
        <v>24.67</v>
      </c>
      <c r="U1424" t="str">
        <f t="shared" si="22"/>
        <v>Wednesday</v>
      </c>
    </row>
    <row r="1425" spans="1:21" x14ac:dyDescent="0.3">
      <c r="A1425" s="5" t="s">
        <v>3523</v>
      </c>
      <c r="B1425" s="3" t="s">
        <v>3730</v>
      </c>
      <c r="C1425" s="5" t="s">
        <v>1104</v>
      </c>
      <c r="D1425" s="5" t="s">
        <v>21</v>
      </c>
      <c r="E1425" s="5" t="s">
        <v>69</v>
      </c>
      <c r="F1425" s="5" t="s">
        <v>37</v>
      </c>
      <c r="G1425" t="s">
        <v>3524</v>
      </c>
      <c r="H1425" s="5" t="s">
        <v>3673</v>
      </c>
      <c r="I1425" s="5" t="s">
        <v>164</v>
      </c>
      <c r="J1425" s="5" t="s">
        <v>165</v>
      </c>
      <c r="K1425" s="5" t="s">
        <v>103</v>
      </c>
      <c r="L1425">
        <v>4</v>
      </c>
      <c r="M1425">
        <v>150.63999999999999</v>
      </c>
      <c r="N1425" s="8">
        <v>7.53</v>
      </c>
      <c r="O1425" s="8">
        <v>595.03</v>
      </c>
      <c r="P1425" s="8">
        <v>29.75</v>
      </c>
      <c r="Q1425" s="10">
        <v>10</v>
      </c>
      <c r="R1425" s="10">
        <v>0</v>
      </c>
      <c r="S1425" s="8">
        <v>634.78</v>
      </c>
      <c r="T1425">
        <v>21</v>
      </c>
      <c r="U1425" t="str">
        <f t="shared" si="22"/>
        <v>Friday</v>
      </c>
    </row>
    <row r="1426" spans="1:21" x14ac:dyDescent="0.3">
      <c r="A1426" s="5" t="s">
        <v>3525</v>
      </c>
      <c r="B1426" s="3" t="s">
        <v>3687</v>
      </c>
      <c r="C1426" s="5" t="s">
        <v>1107</v>
      </c>
      <c r="D1426" s="5" t="s">
        <v>21</v>
      </c>
      <c r="E1426" s="5" t="s">
        <v>69</v>
      </c>
      <c r="F1426" s="5" t="s">
        <v>42</v>
      </c>
      <c r="G1426" t="s">
        <v>3526</v>
      </c>
      <c r="H1426" s="5" t="s">
        <v>3673</v>
      </c>
      <c r="I1426" s="5" t="s">
        <v>169</v>
      </c>
      <c r="J1426" s="5" t="s">
        <v>170</v>
      </c>
      <c r="K1426" s="5" t="s">
        <v>28</v>
      </c>
      <c r="L1426">
        <v>1</v>
      </c>
      <c r="M1426">
        <v>81.790000000000006</v>
      </c>
      <c r="N1426" s="8">
        <v>8.18</v>
      </c>
      <c r="O1426" s="8">
        <v>73.610000000000014</v>
      </c>
      <c r="P1426" s="8">
        <v>3.68</v>
      </c>
      <c r="Q1426" s="10">
        <v>20</v>
      </c>
      <c r="R1426" s="10">
        <v>10</v>
      </c>
      <c r="S1426" s="8">
        <v>107.29</v>
      </c>
      <c r="T1426">
        <v>36</v>
      </c>
      <c r="U1426" t="str">
        <f t="shared" si="22"/>
        <v>Friday</v>
      </c>
    </row>
    <row r="1427" spans="1:21" x14ac:dyDescent="0.3">
      <c r="A1427" s="5" t="s">
        <v>3527</v>
      </c>
      <c r="B1427" s="3" t="s">
        <v>3679</v>
      </c>
      <c r="C1427" s="5" t="s">
        <v>1110</v>
      </c>
      <c r="D1427" s="5" t="s">
        <v>21</v>
      </c>
      <c r="E1427" s="5" t="s">
        <v>36</v>
      </c>
      <c r="F1427" s="5" t="s">
        <v>23</v>
      </c>
      <c r="G1427" t="s">
        <v>3528</v>
      </c>
      <c r="H1427" s="5" t="s">
        <v>100</v>
      </c>
      <c r="I1427" s="5" t="s">
        <v>174</v>
      </c>
      <c r="J1427" s="5" t="s">
        <v>175</v>
      </c>
      <c r="K1427" s="5" t="s">
        <v>196</v>
      </c>
      <c r="L1427">
        <v>3</v>
      </c>
      <c r="M1427">
        <v>217.09</v>
      </c>
      <c r="N1427" s="8">
        <v>21.71</v>
      </c>
      <c r="O1427" s="8">
        <v>629.55999999999995</v>
      </c>
      <c r="P1427" s="8">
        <v>31.48</v>
      </c>
      <c r="Q1427" s="10">
        <v>20</v>
      </c>
      <c r="R1427" s="10">
        <v>5</v>
      </c>
      <c r="S1427" s="8">
        <v>686.04</v>
      </c>
      <c r="T1427">
        <v>24.67</v>
      </c>
      <c r="U1427" t="str">
        <f t="shared" si="22"/>
        <v>Friday</v>
      </c>
    </row>
    <row r="1428" spans="1:21" x14ac:dyDescent="0.3">
      <c r="A1428" s="5" t="s">
        <v>3529</v>
      </c>
      <c r="B1428" s="3" t="s">
        <v>3736</v>
      </c>
      <c r="C1428" s="5" t="s">
        <v>1113</v>
      </c>
      <c r="D1428" s="5" t="s">
        <v>21</v>
      </c>
      <c r="E1428" s="5" t="s">
        <v>36</v>
      </c>
      <c r="F1428" s="5" t="s">
        <v>37</v>
      </c>
      <c r="G1428" t="s">
        <v>3530</v>
      </c>
      <c r="H1428" s="5" t="s">
        <v>25</v>
      </c>
      <c r="I1428" s="5" t="s">
        <v>179</v>
      </c>
      <c r="J1428" s="5" t="s">
        <v>180</v>
      </c>
      <c r="K1428" s="5" t="s">
        <v>103</v>
      </c>
      <c r="L1428">
        <v>3</v>
      </c>
      <c r="M1428">
        <v>126.18</v>
      </c>
      <c r="N1428" s="8">
        <v>0</v>
      </c>
      <c r="O1428" s="8">
        <v>378.54</v>
      </c>
      <c r="P1428" s="8">
        <v>18.93</v>
      </c>
      <c r="Q1428" s="10">
        <v>20</v>
      </c>
      <c r="R1428" s="10">
        <v>0</v>
      </c>
      <c r="S1428" s="8">
        <v>417.47</v>
      </c>
      <c r="T1428">
        <v>24.67</v>
      </c>
      <c r="U1428" t="str">
        <f t="shared" si="22"/>
        <v>Tuesday</v>
      </c>
    </row>
    <row r="1429" spans="1:21" x14ac:dyDescent="0.3">
      <c r="A1429" s="5" t="s">
        <v>3531</v>
      </c>
      <c r="B1429" s="3" t="s">
        <v>3707</v>
      </c>
      <c r="C1429" s="5" t="s">
        <v>1116</v>
      </c>
      <c r="D1429" s="5" t="s">
        <v>21</v>
      </c>
      <c r="E1429" s="5" t="s">
        <v>69</v>
      </c>
      <c r="F1429" s="5" t="s">
        <v>23</v>
      </c>
      <c r="G1429" t="s">
        <v>3532</v>
      </c>
      <c r="H1429" s="5" t="s">
        <v>3673</v>
      </c>
      <c r="I1429" s="5" t="s">
        <v>184</v>
      </c>
      <c r="J1429" s="5" t="s">
        <v>185</v>
      </c>
      <c r="K1429" s="5" t="s">
        <v>145</v>
      </c>
      <c r="L1429">
        <v>1</v>
      </c>
      <c r="M1429">
        <v>69.63</v>
      </c>
      <c r="N1429" s="8">
        <v>3.48</v>
      </c>
      <c r="O1429" s="8">
        <v>66.149999999999991</v>
      </c>
      <c r="P1429" s="8">
        <v>3.31</v>
      </c>
      <c r="Q1429" s="10">
        <v>20</v>
      </c>
      <c r="R1429" s="10">
        <v>15</v>
      </c>
      <c r="S1429" s="8">
        <v>104.46</v>
      </c>
      <c r="T1429">
        <v>38</v>
      </c>
      <c r="U1429" t="str">
        <f t="shared" si="22"/>
        <v>Wednesday</v>
      </c>
    </row>
    <row r="1430" spans="1:21" x14ac:dyDescent="0.3">
      <c r="A1430" s="5" t="s">
        <v>3533</v>
      </c>
      <c r="B1430" s="3" t="s">
        <v>3725</v>
      </c>
      <c r="C1430" s="5" t="s">
        <v>1119</v>
      </c>
      <c r="D1430" s="5" t="s">
        <v>21</v>
      </c>
      <c r="E1430" s="5" t="s">
        <v>22</v>
      </c>
      <c r="F1430" s="5" t="s">
        <v>37</v>
      </c>
      <c r="G1430" t="s">
        <v>3534</v>
      </c>
      <c r="H1430" s="5" t="s">
        <v>3673</v>
      </c>
      <c r="I1430" s="5" t="s">
        <v>189</v>
      </c>
      <c r="J1430" s="5" t="s">
        <v>190</v>
      </c>
      <c r="K1430" s="5" t="s">
        <v>73</v>
      </c>
      <c r="L1430">
        <v>5</v>
      </c>
      <c r="M1430">
        <v>253.89</v>
      </c>
      <c r="N1430" s="8">
        <v>25.39</v>
      </c>
      <c r="O1430" s="8">
        <v>1244.06</v>
      </c>
      <c r="P1430" s="8">
        <v>62.2</v>
      </c>
      <c r="Q1430" s="10">
        <v>30</v>
      </c>
      <c r="R1430" s="10">
        <v>10</v>
      </c>
      <c r="S1430" s="8">
        <v>1346.26</v>
      </c>
      <c r="T1430">
        <v>24.67</v>
      </c>
      <c r="U1430" t="str">
        <f t="shared" si="22"/>
        <v>Wednesday</v>
      </c>
    </row>
    <row r="1431" spans="1:21" x14ac:dyDescent="0.3">
      <c r="A1431" s="5" t="s">
        <v>3535</v>
      </c>
      <c r="B1431" s="3" t="s">
        <v>3681</v>
      </c>
      <c r="C1431" s="5" t="s">
        <v>1122</v>
      </c>
      <c r="D1431" s="5" t="s">
        <v>21</v>
      </c>
      <c r="E1431" s="5" t="s">
        <v>36</v>
      </c>
      <c r="F1431" s="5" t="s">
        <v>37</v>
      </c>
      <c r="G1431" t="s">
        <v>3536</v>
      </c>
      <c r="H1431" s="5" t="s">
        <v>3673</v>
      </c>
      <c r="I1431" s="5" t="s">
        <v>194</v>
      </c>
      <c r="J1431" s="5" t="s">
        <v>195</v>
      </c>
      <c r="K1431" s="5" t="s">
        <v>145</v>
      </c>
      <c r="L1431">
        <v>2</v>
      </c>
      <c r="M1431">
        <v>107.84</v>
      </c>
      <c r="N1431" s="8">
        <v>5.39</v>
      </c>
      <c r="O1431" s="8">
        <v>210.29</v>
      </c>
      <c r="P1431" s="8">
        <v>10.51</v>
      </c>
      <c r="Q1431" s="10">
        <v>20</v>
      </c>
      <c r="R1431" s="10">
        <v>20</v>
      </c>
      <c r="S1431" s="8">
        <v>260.8</v>
      </c>
      <c r="T1431">
        <v>22</v>
      </c>
      <c r="U1431" t="str">
        <f t="shared" si="22"/>
        <v>Wednesday</v>
      </c>
    </row>
    <row r="1432" spans="1:21" x14ac:dyDescent="0.3">
      <c r="A1432" s="5" t="s">
        <v>3537</v>
      </c>
      <c r="B1432" s="3" t="s">
        <v>3733</v>
      </c>
      <c r="C1432" s="5" t="s">
        <v>1125</v>
      </c>
      <c r="D1432" s="5" t="s">
        <v>21</v>
      </c>
      <c r="E1432" s="5" t="s">
        <v>69</v>
      </c>
      <c r="F1432" s="5" t="s">
        <v>37</v>
      </c>
      <c r="G1432" t="s">
        <v>3538</v>
      </c>
      <c r="H1432" s="5" t="s">
        <v>3676</v>
      </c>
      <c r="I1432" s="5" t="s">
        <v>200</v>
      </c>
      <c r="J1432" s="5" t="s">
        <v>201</v>
      </c>
      <c r="K1432" s="5" t="s">
        <v>73</v>
      </c>
      <c r="L1432">
        <v>3</v>
      </c>
      <c r="M1432">
        <v>149.57</v>
      </c>
      <c r="N1432" s="8">
        <v>22.44</v>
      </c>
      <c r="O1432" s="8">
        <v>426.27</v>
      </c>
      <c r="P1432" s="8">
        <v>21.31</v>
      </c>
      <c r="Q1432" s="10">
        <v>0</v>
      </c>
      <c r="R1432" s="10">
        <v>0</v>
      </c>
      <c r="S1432" s="8">
        <v>447.58</v>
      </c>
      <c r="T1432">
        <v>33</v>
      </c>
      <c r="U1432" t="str">
        <f t="shared" si="22"/>
        <v>Sunday</v>
      </c>
    </row>
    <row r="1433" spans="1:21" x14ac:dyDescent="0.3">
      <c r="A1433" s="5" t="s">
        <v>3539</v>
      </c>
      <c r="B1433" s="3" t="s">
        <v>3725</v>
      </c>
      <c r="C1433" s="5" t="s">
        <v>1128</v>
      </c>
      <c r="D1433" s="5" t="s">
        <v>21</v>
      </c>
      <c r="E1433" s="5" t="s">
        <v>69</v>
      </c>
      <c r="F1433" s="5" t="s">
        <v>42</v>
      </c>
      <c r="G1433" t="s">
        <v>3540</v>
      </c>
      <c r="H1433" s="5" t="s">
        <v>3675</v>
      </c>
      <c r="I1433" s="5" t="s">
        <v>205</v>
      </c>
      <c r="J1433" s="5" t="s">
        <v>206</v>
      </c>
      <c r="K1433" s="5" t="s">
        <v>103</v>
      </c>
      <c r="L1433">
        <v>1</v>
      </c>
      <c r="M1433">
        <v>16.97</v>
      </c>
      <c r="N1433" s="8">
        <v>2.5499999999999998</v>
      </c>
      <c r="O1433" s="8">
        <v>14.42</v>
      </c>
      <c r="P1433" s="8">
        <v>0.72</v>
      </c>
      <c r="Q1433" s="10">
        <v>0</v>
      </c>
      <c r="R1433" s="10">
        <v>15</v>
      </c>
      <c r="S1433" s="8">
        <v>30.14</v>
      </c>
      <c r="T1433">
        <v>31</v>
      </c>
      <c r="U1433" t="str">
        <f t="shared" si="22"/>
        <v>Wednesday</v>
      </c>
    </row>
    <row r="1434" spans="1:21" x14ac:dyDescent="0.3">
      <c r="A1434" s="5" t="s">
        <v>3541</v>
      </c>
      <c r="B1434" s="3" t="s">
        <v>3708</v>
      </c>
      <c r="C1434" s="5" t="s">
        <v>1130</v>
      </c>
      <c r="D1434" s="5" t="s">
        <v>21</v>
      </c>
      <c r="E1434" s="5" t="s">
        <v>69</v>
      </c>
      <c r="F1434" s="5" t="s">
        <v>3671</v>
      </c>
      <c r="G1434" t="s">
        <v>3542</v>
      </c>
      <c r="H1434" s="5" t="s">
        <v>25</v>
      </c>
      <c r="I1434" s="5" t="s">
        <v>210</v>
      </c>
      <c r="J1434" s="5" t="s">
        <v>211</v>
      </c>
      <c r="K1434" s="5" t="s">
        <v>196</v>
      </c>
      <c r="L1434">
        <v>2</v>
      </c>
      <c r="M1434">
        <v>128.19999999999999</v>
      </c>
      <c r="N1434" s="8">
        <v>0</v>
      </c>
      <c r="O1434" s="8">
        <v>256.39999999999998</v>
      </c>
      <c r="P1434" s="8">
        <v>12.82</v>
      </c>
      <c r="Q1434" s="10">
        <v>0</v>
      </c>
      <c r="R1434" s="10">
        <v>5</v>
      </c>
      <c r="S1434" s="8">
        <v>274.22000000000003</v>
      </c>
      <c r="T1434">
        <v>25</v>
      </c>
      <c r="U1434" t="str">
        <f t="shared" si="22"/>
        <v>Sunday</v>
      </c>
    </row>
    <row r="1435" spans="1:21" x14ac:dyDescent="0.3">
      <c r="A1435" s="5" t="s">
        <v>3543</v>
      </c>
      <c r="B1435" s="3" t="s">
        <v>3716</v>
      </c>
      <c r="C1435" s="5" t="s">
        <v>1133</v>
      </c>
      <c r="D1435" s="5" t="s">
        <v>21</v>
      </c>
      <c r="E1435" s="5" t="s">
        <v>112</v>
      </c>
      <c r="F1435" s="5" t="s">
        <v>37</v>
      </c>
      <c r="G1435" t="s">
        <v>3544</v>
      </c>
      <c r="H1435" s="5" t="s">
        <v>3674</v>
      </c>
      <c r="I1435" s="5" t="s">
        <v>215</v>
      </c>
      <c r="J1435" s="5" t="s">
        <v>216</v>
      </c>
      <c r="K1435" s="5" t="s">
        <v>145</v>
      </c>
      <c r="L1435">
        <v>4</v>
      </c>
      <c r="M1435">
        <v>88.34</v>
      </c>
      <c r="N1435" s="8">
        <v>13.25</v>
      </c>
      <c r="O1435" s="8">
        <v>340.11</v>
      </c>
      <c r="P1435" s="8">
        <v>17.010000000000002</v>
      </c>
      <c r="Q1435" s="10">
        <v>30</v>
      </c>
      <c r="R1435" s="10">
        <v>5</v>
      </c>
      <c r="S1435" s="8">
        <v>392.12</v>
      </c>
      <c r="T1435">
        <v>26</v>
      </c>
      <c r="U1435" t="str">
        <f t="shared" si="22"/>
        <v>Saturday</v>
      </c>
    </row>
    <row r="1436" spans="1:21" x14ac:dyDescent="0.3">
      <c r="A1436" s="5" t="s">
        <v>3545</v>
      </c>
      <c r="B1436" s="3" t="s">
        <v>3699</v>
      </c>
      <c r="C1436" s="5" t="s">
        <v>1136</v>
      </c>
      <c r="D1436" s="5" t="s">
        <v>21</v>
      </c>
      <c r="E1436" s="5" t="s">
        <v>22</v>
      </c>
      <c r="F1436" s="5" t="s">
        <v>42</v>
      </c>
      <c r="G1436" t="s">
        <v>3546</v>
      </c>
      <c r="H1436" s="5" t="s">
        <v>100</v>
      </c>
      <c r="I1436" s="5" t="s">
        <v>220</v>
      </c>
      <c r="J1436" s="5" t="s">
        <v>221</v>
      </c>
      <c r="K1436" s="5" t="s">
        <v>145</v>
      </c>
      <c r="L1436">
        <v>1</v>
      </c>
      <c r="M1436">
        <v>93.26</v>
      </c>
      <c r="N1436" s="8">
        <v>9.33</v>
      </c>
      <c r="O1436" s="8">
        <v>83.93</v>
      </c>
      <c r="P1436" s="8">
        <v>4.2</v>
      </c>
      <c r="Q1436" s="10">
        <v>0</v>
      </c>
      <c r="R1436" s="10">
        <v>10</v>
      </c>
      <c r="S1436" s="8">
        <v>98.13000000000001</v>
      </c>
      <c r="T1436">
        <v>45</v>
      </c>
      <c r="U1436" t="str">
        <f t="shared" si="22"/>
        <v>Sunday</v>
      </c>
    </row>
    <row r="1437" spans="1:21" x14ac:dyDescent="0.3">
      <c r="A1437" s="5" t="s">
        <v>3547</v>
      </c>
      <c r="B1437" s="3" t="s">
        <v>3730</v>
      </c>
      <c r="C1437" s="5" t="s">
        <v>1139</v>
      </c>
      <c r="D1437" s="5" t="s">
        <v>21</v>
      </c>
      <c r="E1437" s="5" t="s">
        <v>22</v>
      </c>
      <c r="F1437" s="5" t="s">
        <v>42</v>
      </c>
      <c r="G1437" t="s">
        <v>3548</v>
      </c>
      <c r="H1437" s="5" t="s">
        <v>25</v>
      </c>
      <c r="I1437" s="5" t="s">
        <v>225</v>
      </c>
      <c r="J1437" s="5" t="s">
        <v>226</v>
      </c>
      <c r="K1437" s="5" t="s">
        <v>103</v>
      </c>
      <c r="L1437">
        <v>1</v>
      </c>
      <c r="M1437">
        <v>106.99</v>
      </c>
      <c r="N1437" s="8">
        <v>0</v>
      </c>
      <c r="O1437" s="8">
        <v>106.99</v>
      </c>
      <c r="P1437" s="8">
        <v>5.35</v>
      </c>
      <c r="Q1437" s="10">
        <v>10</v>
      </c>
      <c r="R1437" s="10">
        <v>5</v>
      </c>
      <c r="S1437" s="8">
        <v>127.34</v>
      </c>
      <c r="T1437">
        <v>29</v>
      </c>
      <c r="U1437" t="str">
        <f t="shared" si="22"/>
        <v>Friday</v>
      </c>
    </row>
    <row r="1438" spans="1:21" x14ac:dyDescent="0.3">
      <c r="A1438" s="5" t="s">
        <v>3549</v>
      </c>
      <c r="B1438" s="3" t="s">
        <v>3693</v>
      </c>
      <c r="C1438" s="5" t="s">
        <v>1142</v>
      </c>
      <c r="D1438" s="5" t="s">
        <v>21</v>
      </c>
      <c r="E1438" s="5" t="s">
        <v>112</v>
      </c>
      <c r="F1438" s="5" t="s">
        <v>37</v>
      </c>
      <c r="G1438" t="s">
        <v>3550</v>
      </c>
      <c r="H1438" s="5" t="s">
        <v>3676</v>
      </c>
      <c r="I1438" s="5" t="s">
        <v>230</v>
      </c>
      <c r="J1438" s="5" t="s">
        <v>231</v>
      </c>
      <c r="K1438" s="5" t="s">
        <v>45</v>
      </c>
      <c r="L1438">
        <v>1</v>
      </c>
      <c r="M1438">
        <v>171.07</v>
      </c>
      <c r="N1438" s="8">
        <v>25.66</v>
      </c>
      <c r="O1438" s="8">
        <v>145.41</v>
      </c>
      <c r="P1438" s="8">
        <v>7.27</v>
      </c>
      <c r="Q1438" s="10">
        <v>10</v>
      </c>
      <c r="R1438" s="10">
        <v>5</v>
      </c>
      <c r="S1438" s="8">
        <v>167.68</v>
      </c>
      <c r="T1438">
        <v>37</v>
      </c>
      <c r="U1438" t="str">
        <f t="shared" si="22"/>
        <v>Thursday</v>
      </c>
    </row>
    <row r="1439" spans="1:21" x14ac:dyDescent="0.3">
      <c r="A1439" s="5" t="s">
        <v>3551</v>
      </c>
      <c r="B1439" s="3" t="s">
        <v>3702</v>
      </c>
      <c r="C1439" s="5" t="s">
        <v>1145</v>
      </c>
      <c r="D1439" s="5" t="s">
        <v>21</v>
      </c>
      <c r="E1439" s="5" t="s">
        <v>22</v>
      </c>
      <c r="F1439" s="5" t="s">
        <v>23</v>
      </c>
      <c r="G1439" t="s">
        <v>3552</v>
      </c>
      <c r="H1439" s="5" t="s">
        <v>3674</v>
      </c>
      <c r="I1439" s="5" t="s">
        <v>235</v>
      </c>
      <c r="J1439" s="5" t="s">
        <v>236</v>
      </c>
      <c r="K1439" s="5" t="s">
        <v>73</v>
      </c>
      <c r="L1439">
        <v>1</v>
      </c>
      <c r="M1439">
        <v>27.03</v>
      </c>
      <c r="N1439" s="8">
        <v>1.35</v>
      </c>
      <c r="O1439" s="8">
        <v>25.68</v>
      </c>
      <c r="P1439" s="8">
        <v>1.28</v>
      </c>
      <c r="Q1439" s="10">
        <v>0</v>
      </c>
      <c r="R1439" s="10">
        <v>10</v>
      </c>
      <c r="S1439" s="8">
        <v>36.96</v>
      </c>
      <c r="T1439">
        <v>24.67</v>
      </c>
      <c r="U1439" t="str">
        <f t="shared" si="22"/>
        <v>Monday</v>
      </c>
    </row>
    <row r="1440" spans="1:21" x14ac:dyDescent="0.3">
      <c r="A1440" s="5" t="s">
        <v>3553</v>
      </c>
      <c r="B1440" s="3" t="s">
        <v>3728</v>
      </c>
      <c r="C1440" s="5" t="s">
        <v>1148</v>
      </c>
      <c r="D1440" s="5" t="s">
        <v>21</v>
      </c>
      <c r="E1440" s="5" t="s">
        <v>69</v>
      </c>
      <c r="F1440" s="5" t="s">
        <v>23</v>
      </c>
      <c r="G1440" t="s">
        <v>3554</v>
      </c>
      <c r="H1440" s="5" t="s">
        <v>3673</v>
      </c>
      <c r="I1440" s="5" t="s">
        <v>240</v>
      </c>
      <c r="J1440" s="5" t="s">
        <v>241</v>
      </c>
      <c r="K1440" s="5" t="s">
        <v>40</v>
      </c>
      <c r="L1440">
        <v>1</v>
      </c>
      <c r="M1440">
        <v>166.56</v>
      </c>
      <c r="N1440" s="8">
        <v>16.66</v>
      </c>
      <c r="O1440" s="8">
        <v>149.9</v>
      </c>
      <c r="P1440" s="8">
        <v>7.5</v>
      </c>
      <c r="Q1440" s="10">
        <v>20</v>
      </c>
      <c r="R1440" s="10">
        <v>10</v>
      </c>
      <c r="S1440" s="8">
        <v>187.4</v>
      </c>
      <c r="T1440">
        <v>23</v>
      </c>
      <c r="U1440" t="str">
        <f t="shared" si="22"/>
        <v>Friday</v>
      </c>
    </row>
    <row r="1441" spans="1:21" x14ac:dyDescent="0.3">
      <c r="A1441" s="5" t="s">
        <v>3555</v>
      </c>
      <c r="B1441" s="3" t="s">
        <v>3709</v>
      </c>
      <c r="C1441" s="5" t="s">
        <v>1151</v>
      </c>
      <c r="D1441" s="5" t="s">
        <v>82</v>
      </c>
      <c r="E1441" s="5" t="s">
        <v>83</v>
      </c>
      <c r="F1441" s="5" t="s">
        <v>23</v>
      </c>
      <c r="G1441" t="s">
        <v>3556</v>
      </c>
      <c r="H1441" s="5" t="s">
        <v>3677</v>
      </c>
      <c r="I1441" s="5" t="s">
        <v>245</v>
      </c>
      <c r="J1441" s="5" t="s">
        <v>246</v>
      </c>
      <c r="K1441" s="5" t="s">
        <v>73</v>
      </c>
      <c r="L1441">
        <v>2</v>
      </c>
      <c r="M1441">
        <v>208.43</v>
      </c>
      <c r="N1441" s="8">
        <v>20.84</v>
      </c>
      <c r="O1441" s="8">
        <v>396.02</v>
      </c>
      <c r="P1441" s="8">
        <v>19.8</v>
      </c>
      <c r="Q1441" s="10">
        <v>20</v>
      </c>
      <c r="R1441" s="10">
        <v>5</v>
      </c>
      <c r="S1441" s="8">
        <v>440.82000000000011</v>
      </c>
      <c r="T1441">
        <v>33</v>
      </c>
      <c r="U1441" t="str">
        <f t="shared" si="22"/>
        <v>Thursday</v>
      </c>
    </row>
    <row r="1442" spans="1:21" x14ac:dyDescent="0.3">
      <c r="A1442" s="5" t="s">
        <v>3557</v>
      </c>
      <c r="B1442" s="3" t="s">
        <v>3709</v>
      </c>
      <c r="C1442" s="5" t="s">
        <v>1154</v>
      </c>
      <c r="D1442" s="5" t="s">
        <v>21</v>
      </c>
      <c r="E1442" s="5" t="s">
        <v>76</v>
      </c>
      <c r="F1442" s="5" t="s">
        <v>23</v>
      </c>
      <c r="G1442" t="s">
        <v>3558</v>
      </c>
      <c r="H1442" s="5" t="s">
        <v>3673</v>
      </c>
      <c r="I1442" s="5" t="s">
        <v>250</v>
      </c>
      <c r="J1442" s="5" t="s">
        <v>251</v>
      </c>
      <c r="K1442" s="5" t="s">
        <v>28</v>
      </c>
      <c r="L1442">
        <v>1</v>
      </c>
      <c r="M1442">
        <v>93.13</v>
      </c>
      <c r="N1442" s="8">
        <v>13.97</v>
      </c>
      <c r="O1442" s="8">
        <v>79.16</v>
      </c>
      <c r="P1442" s="8">
        <v>3.96</v>
      </c>
      <c r="Q1442" s="10">
        <v>30</v>
      </c>
      <c r="R1442" s="10">
        <v>5</v>
      </c>
      <c r="S1442" s="8">
        <v>118.12</v>
      </c>
      <c r="T1442">
        <v>29</v>
      </c>
      <c r="U1442" t="str">
        <f t="shared" si="22"/>
        <v>Thursday</v>
      </c>
    </row>
    <row r="1443" spans="1:21" x14ac:dyDescent="0.3">
      <c r="A1443" s="5" t="s">
        <v>3559</v>
      </c>
      <c r="B1443" s="3" t="s">
        <v>3689</v>
      </c>
      <c r="C1443" s="5" t="s">
        <v>1157</v>
      </c>
      <c r="D1443" s="5" t="s">
        <v>21</v>
      </c>
      <c r="E1443" s="5" t="s">
        <v>76</v>
      </c>
      <c r="F1443" s="5" t="s">
        <v>37</v>
      </c>
      <c r="G1443" t="s">
        <v>3560</v>
      </c>
      <c r="H1443" s="5" t="s">
        <v>25</v>
      </c>
      <c r="I1443" s="5" t="s">
        <v>255</v>
      </c>
      <c r="J1443" s="5" t="s">
        <v>256</v>
      </c>
      <c r="K1443" s="5" t="s">
        <v>73</v>
      </c>
      <c r="L1443">
        <v>3</v>
      </c>
      <c r="M1443">
        <v>74.239999999999995</v>
      </c>
      <c r="N1443" s="8">
        <v>0</v>
      </c>
      <c r="O1443" s="8">
        <v>222.72</v>
      </c>
      <c r="P1443" s="8">
        <v>11.14</v>
      </c>
      <c r="Q1443" s="10">
        <v>0</v>
      </c>
      <c r="R1443" s="10">
        <v>10</v>
      </c>
      <c r="S1443" s="8">
        <v>243.86</v>
      </c>
      <c r="T1443">
        <v>38</v>
      </c>
      <c r="U1443" t="str">
        <f t="shared" si="22"/>
        <v>Wednesday</v>
      </c>
    </row>
    <row r="1444" spans="1:21" x14ac:dyDescent="0.3">
      <c r="A1444" s="5" t="s">
        <v>3561</v>
      </c>
      <c r="B1444" s="3" t="s">
        <v>3689</v>
      </c>
      <c r="C1444" s="5" t="s">
        <v>1160</v>
      </c>
      <c r="D1444" s="5" t="s">
        <v>21</v>
      </c>
      <c r="E1444" s="5" t="s">
        <v>36</v>
      </c>
      <c r="F1444" s="5" t="s">
        <v>37</v>
      </c>
      <c r="G1444" t="s">
        <v>3562</v>
      </c>
      <c r="H1444" s="5" t="s">
        <v>25</v>
      </c>
      <c r="I1444" s="5" t="s">
        <v>260</v>
      </c>
      <c r="J1444" s="5" t="s">
        <v>261</v>
      </c>
      <c r="K1444" s="5" t="s">
        <v>28</v>
      </c>
      <c r="L1444">
        <v>5</v>
      </c>
      <c r="M1444">
        <v>181.12</v>
      </c>
      <c r="N1444" s="8">
        <v>27.17</v>
      </c>
      <c r="O1444" s="8">
        <v>878.43000000000006</v>
      </c>
      <c r="P1444" s="8">
        <v>43.92</v>
      </c>
      <c r="Q1444" s="10">
        <v>0</v>
      </c>
      <c r="R1444" s="10">
        <v>15</v>
      </c>
      <c r="S1444" s="8">
        <v>937.35</v>
      </c>
      <c r="T1444">
        <v>40</v>
      </c>
      <c r="U1444" t="str">
        <f t="shared" si="22"/>
        <v>Wednesday</v>
      </c>
    </row>
    <row r="1445" spans="1:21" x14ac:dyDescent="0.3">
      <c r="A1445" s="5" t="s">
        <v>3563</v>
      </c>
      <c r="B1445" s="3" t="s">
        <v>3719</v>
      </c>
      <c r="C1445" s="5" t="s">
        <v>1163</v>
      </c>
      <c r="D1445" s="5" t="s">
        <v>21</v>
      </c>
      <c r="E1445" s="5" t="s">
        <v>69</v>
      </c>
      <c r="F1445" s="5" t="s">
        <v>37</v>
      </c>
      <c r="G1445" t="s">
        <v>3564</v>
      </c>
      <c r="H1445" s="5" t="s">
        <v>3676</v>
      </c>
      <c r="I1445" s="5" t="s">
        <v>265</v>
      </c>
      <c r="J1445" s="5" t="s">
        <v>266</v>
      </c>
      <c r="K1445" s="5" t="s">
        <v>103</v>
      </c>
      <c r="L1445">
        <v>1</v>
      </c>
      <c r="M1445">
        <v>54.85</v>
      </c>
      <c r="N1445" s="8">
        <v>8.23</v>
      </c>
      <c r="O1445" s="8">
        <v>46.62</v>
      </c>
      <c r="P1445" s="8">
        <v>2.33</v>
      </c>
      <c r="Q1445" s="10">
        <v>10</v>
      </c>
      <c r="R1445" s="10">
        <v>5</v>
      </c>
      <c r="S1445" s="8">
        <v>63.95</v>
      </c>
      <c r="T1445">
        <v>46</v>
      </c>
      <c r="U1445" t="str">
        <f t="shared" si="22"/>
        <v>Sunday</v>
      </c>
    </row>
    <row r="1446" spans="1:21" x14ac:dyDescent="0.3">
      <c r="A1446" s="5" t="s">
        <v>3565</v>
      </c>
      <c r="B1446" s="3" t="s">
        <v>3680</v>
      </c>
      <c r="C1446" s="5" t="s">
        <v>1165</v>
      </c>
      <c r="D1446" s="5" t="s">
        <v>21</v>
      </c>
      <c r="E1446" s="5" t="s">
        <v>22</v>
      </c>
      <c r="F1446" s="5" t="s">
        <v>23</v>
      </c>
      <c r="G1446" t="s">
        <v>3566</v>
      </c>
      <c r="H1446" s="5" t="s">
        <v>100</v>
      </c>
      <c r="I1446" s="5" t="s">
        <v>270</v>
      </c>
      <c r="J1446" s="5" t="s">
        <v>271</v>
      </c>
      <c r="K1446" s="5" t="s">
        <v>56</v>
      </c>
      <c r="L1446">
        <v>2</v>
      </c>
      <c r="M1446">
        <v>190.41</v>
      </c>
      <c r="N1446" s="8">
        <v>9.52</v>
      </c>
      <c r="O1446" s="8">
        <v>371.3</v>
      </c>
      <c r="P1446" s="8">
        <v>18.57</v>
      </c>
      <c r="Q1446" s="10">
        <v>10</v>
      </c>
      <c r="R1446" s="10">
        <v>0</v>
      </c>
      <c r="S1446" s="8">
        <v>399.87</v>
      </c>
      <c r="T1446">
        <v>16</v>
      </c>
      <c r="U1446" t="str">
        <f t="shared" si="22"/>
        <v>Wednesday</v>
      </c>
    </row>
    <row r="1447" spans="1:21" x14ac:dyDescent="0.3">
      <c r="A1447" s="5" t="s">
        <v>3567</v>
      </c>
      <c r="B1447" s="3" t="s">
        <v>3702</v>
      </c>
      <c r="C1447" s="5" t="s">
        <v>1168</v>
      </c>
      <c r="D1447" s="5" t="s">
        <v>21</v>
      </c>
      <c r="E1447" s="5" t="s">
        <v>76</v>
      </c>
      <c r="F1447" s="5" t="s">
        <v>42</v>
      </c>
      <c r="G1447" t="s">
        <v>3568</v>
      </c>
      <c r="H1447" s="5" t="s">
        <v>3677</v>
      </c>
      <c r="I1447" s="5" t="s">
        <v>275</v>
      </c>
      <c r="J1447" s="5" t="s">
        <v>276</v>
      </c>
      <c r="K1447" s="5" t="s">
        <v>22</v>
      </c>
      <c r="L1447">
        <v>5</v>
      </c>
      <c r="M1447">
        <v>138.41999999999999</v>
      </c>
      <c r="N1447" s="8">
        <v>20.76</v>
      </c>
      <c r="O1447" s="8">
        <v>671.33999999999992</v>
      </c>
      <c r="P1447" s="8">
        <v>33.57</v>
      </c>
      <c r="Q1447" s="10">
        <v>0</v>
      </c>
      <c r="R1447" s="10">
        <v>10</v>
      </c>
      <c r="S1447" s="8">
        <v>714.91</v>
      </c>
      <c r="T1447">
        <v>24.67</v>
      </c>
      <c r="U1447" t="str">
        <f t="shared" si="22"/>
        <v>Monday</v>
      </c>
    </row>
    <row r="1448" spans="1:21" x14ac:dyDescent="0.3">
      <c r="A1448" s="5" t="s">
        <v>3569</v>
      </c>
      <c r="B1448" s="3" t="s">
        <v>3733</v>
      </c>
      <c r="C1448" s="5" t="s">
        <v>1171</v>
      </c>
      <c r="D1448" s="5" t="s">
        <v>21</v>
      </c>
      <c r="E1448" s="5" t="s">
        <v>22</v>
      </c>
      <c r="F1448" s="5" t="s">
        <v>37</v>
      </c>
      <c r="H1448" s="5" t="s">
        <v>3675</v>
      </c>
      <c r="I1448" s="5" t="s">
        <v>280</v>
      </c>
      <c r="J1448" s="5" t="s">
        <v>281</v>
      </c>
      <c r="K1448" s="5" t="s">
        <v>145</v>
      </c>
      <c r="L1448">
        <v>1</v>
      </c>
      <c r="M1448">
        <v>189.16</v>
      </c>
      <c r="N1448" s="8">
        <v>18.920000000000002</v>
      </c>
      <c r="O1448" s="8">
        <v>170.24</v>
      </c>
      <c r="P1448" s="8">
        <v>8.51</v>
      </c>
      <c r="Q1448" s="10">
        <v>30</v>
      </c>
      <c r="R1448" s="10">
        <v>10</v>
      </c>
      <c r="S1448" s="8">
        <v>218.75</v>
      </c>
      <c r="T1448">
        <v>24.67</v>
      </c>
      <c r="U1448" t="str">
        <f t="shared" si="22"/>
        <v>Sunday</v>
      </c>
    </row>
    <row r="1449" spans="1:21" x14ac:dyDescent="0.3">
      <c r="A1449" s="5" t="s">
        <v>3570</v>
      </c>
      <c r="B1449" s="3" t="s">
        <v>3720</v>
      </c>
      <c r="C1449" s="5" t="s">
        <v>1174</v>
      </c>
      <c r="D1449" s="5" t="s">
        <v>21</v>
      </c>
      <c r="E1449" s="5" t="s">
        <v>36</v>
      </c>
      <c r="F1449" s="5" t="s">
        <v>42</v>
      </c>
      <c r="G1449" t="s">
        <v>3571</v>
      </c>
      <c r="H1449" s="5" t="s">
        <v>3673</v>
      </c>
      <c r="I1449" s="5" t="s">
        <v>285</v>
      </c>
      <c r="J1449" s="5" t="s">
        <v>286</v>
      </c>
      <c r="K1449" s="5" t="s">
        <v>103</v>
      </c>
      <c r="L1449">
        <v>1</v>
      </c>
      <c r="M1449">
        <v>145.22</v>
      </c>
      <c r="N1449" s="8">
        <v>0</v>
      </c>
      <c r="O1449" s="8">
        <v>145.22</v>
      </c>
      <c r="P1449" s="8">
        <v>7.26</v>
      </c>
      <c r="Q1449" s="10">
        <v>0</v>
      </c>
      <c r="R1449" s="10">
        <v>10</v>
      </c>
      <c r="S1449" s="8">
        <v>162.47999999999999</v>
      </c>
      <c r="T1449">
        <v>27</v>
      </c>
      <c r="U1449" t="str">
        <f t="shared" si="22"/>
        <v>Monday</v>
      </c>
    </row>
    <row r="1450" spans="1:21" x14ac:dyDescent="0.3">
      <c r="A1450" s="5" t="s">
        <v>3572</v>
      </c>
      <c r="B1450" s="3" t="s">
        <v>3686</v>
      </c>
      <c r="C1450" s="5" t="s">
        <v>1177</v>
      </c>
      <c r="D1450" s="5" t="s">
        <v>21</v>
      </c>
      <c r="E1450" s="5" t="s">
        <v>22</v>
      </c>
      <c r="F1450" s="5" t="s">
        <v>37</v>
      </c>
      <c r="G1450" t="s">
        <v>3573</v>
      </c>
      <c r="H1450" s="5" t="s">
        <v>3676</v>
      </c>
      <c r="I1450" s="5" t="s">
        <v>290</v>
      </c>
      <c r="J1450" s="5" t="s">
        <v>291</v>
      </c>
      <c r="K1450" s="5" t="s">
        <v>56</v>
      </c>
      <c r="L1450">
        <v>1</v>
      </c>
      <c r="M1450">
        <v>167.65</v>
      </c>
      <c r="N1450" s="8">
        <v>0</v>
      </c>
      <c r="O1450" s="8">
        <v>167.65</v>
      </c>
      <c r="P1450" s="8">
        <v>8.3800000000000008</v>
      </c>
      <c r="Q1450" s="10">
        <v>20</v>
      </c>
      <c r="R1450" s="10">
        <v>0</v>
      </c>
      <c r="S1450" s="8">
        <v>196.03</v>
      </c>
      <c r="T1450">
        <v>22</v>
      </c>
      <c r="U1450" t="str">
        <f t="shared" si="22"/>
        <v>Saturday</v>
      </c>
    </row>
    <row r="1451" spans="1:21" x14ac:dyDescent="0.3">
      <c r="A1451" s="5" t="s">
        <v>3574</v>
      </c>
      <c r="B1451" s="3" t="s">
        <v>3727</v>
      </c>
      <c r="C1451" s="5" t="s">
        <v>1180</v>
      </c>
      <c r="D1451" s="5" t="s">
        <v>21</v>
      </c>
      <c r="E1451" s="5" t="s">
        <v>36</v>
      </c>
      <c r="F1451" s="5" t="s">
        <v>42</v>
      </c>
      <c r="G1451" t="s">
        <v>3575</v>
      </c>
      <c r="H1451" s="5" t="s">
        <v>3673</v>
      </c>
      <c r="I1451" s="5" t="s">
        <v>295</v>
      </c>
      <c r="J1451" s="5" t="s">
        <v>296</v>
      </c>
      <c r="K1451" s="5" t="s">
        <v>145</v>
      </c>
      <c r="L1451">
        <v>4</v>
      </c>
      <c r="M1451">
        <v>126.75</v>
      </c>
      <c r="N1451" s="8">
        <v>0</v>
      </c>
      <c r="O1451" s="8">
        <v>507</v>
      </c>
      <c r="P1451" s="8">
        <v>25.35</v>
      </c>
      <c r="Q1451" s="10">
        <v>0</v>
      </c>
      <c r="R1451" s="10">
        <v>5</v>
      </c>
      <c r="S1451" s="8">
        <v>537.35</v>
      </c>
      <c r="T1451">
        <v>21</v>
      </c>
      <c r="U1451" t="str">
        <f t="shared" si="22"/>
        <v>Friday</v>
      </c>
    </row>
    <row r="1452" spans="1:21" x14ac:dyDescent="0.3">
      <c r="A1452" s="5" t="s">
        <v>3576</v>
      </c>
      <c r="B1452" s="3" t="s">
        <v>3690</v>
      </c>
      <c r="C1452" s="5" t="s">
        <v>1183</v>
      </c>
      <c r="D1452" s="5" t="s">
        <v>21</v>
      </c>
      <c r="E1452" s="5" t="s">
        <v>76</v>
      </c>
      <c r="F1452" s="5" t="s">
        <v>23</v>
      </c>
      <c r="G1452" t="s">
        <v>3577</v>
      </c>
      <c r="H1452" s="5" t="s">
        <v>100</v>
      </c>
      <c r="I1452" s="5" t="s">
        <v>300</v>
      </c>
      <c r="J1452" s="5" t="s">
        <v>301</v>
      </c>
      <c r="K1452" s="5" t="s">
        <v>45</v>
      </c>
      <c r="L1452">
        <v>4</v>
      </c>
      <c r="M1452">
        <v>59.47</v>
      </c>
      <c r="N1452" s="8">
        <v>8.92</v>
      </c>
      <c r="O1452" s="8">
        <v>228.96</v>
      </c>
      <c r="P1452" s="8">
        <v>11.45</v>
      </c>
      <c r="Q1452" s="10">
        <v>0</v>
      </c>
      <c r="R1452" s="10">
        <v>10</v>
      </c>
      <c r="S1452" s="8">
        <v>250.41</v>
      </c>
      <c r="T1452">
        <v>29</v>
      </c>
      <c r="U1452" t="str">
        <f t="shared" si="22"/>
        <v>Sunday</v>
      </c>
    </row>
    <row r="1453" spans="1:21" x14ac:dyDescent="0.3">
      <c r="A1453" s="5" t="s">
        <v>3578</v>
      </c>
      <c r="B1453" s="3" t="s">
        <v>3696</v>
      </c>
      <c r="C1453" s="5" t="s">
        <v>1186</v>
      </c>
      <c r="D1453" s="5" t="s">
        <v>21</v>
      </c>
      <c r="E1453" s="5" t="s">
        <v>76</v>
      </c>
      <c r="F1453" s="5" t="s">
        <v>23</v>
      </c>
      <c r="G1453" t="s">
        <v>3579</v>
      </c>
      <c r="H1453" s="5" t="s">
        <v>3676</v>
      </c>
      <c r="I1453" s="5" t="s">
        <v>305</v>
      </c>
      <c r="J1453" s="5" t="s">
        <v>306</v>
      </c>
      <c r="K1453" s="5" t="s">
        <v>73</v>
      </c>
      <c r="L1453">
        <v>1</v>
      </c>
      <c r="M1453">
        <v>57.73</v>
      </c>
      <c r="N1453" s="8">
        <v>2.89</v>
      </c>
      <c r="O1453" s="8">
        <v>54.84</v>
      </c>
      <c r="P1453" s="8">
        <v>2.74</v>
      </c>
      <c r="Q1453" s="10">
        <v>10</v>
      </c>
      <c r="R1453" s="10">
        <v>15</v>
      </c>
      <c r="S1453" s="8">
        <v>82.58</v>
      </c>
      <c r="T1453">
        <v>24.67</v>
      </c>
      <c r="U1453" t="str">
        <f t="shared" si="22"/>
        <v>Friday</v>
      </c>
    </row>
    <row r="1454" spans="1:21" x14ac:dyDescent="0.3">
      <c r="A1454" s="5" t="s">
        <v>3580</v>
      </c>
      <c r="B1454" s="3" t="s">
        <v>3723</v>
      </c>
      <c r="C1454" s="5" t="s">
        <v>1189</v>
      </c>
      <c r="D1454" s="5" t="s">
        <v>21</v>
      </c>
      <c r="E1454" s="5" t="s">
        <v>76</v>
      </c>
      <c r="F1454" s="5" t="s">
        <v>42</v>
      </c>
      <c r="G1454" t="s">
        <v>3581</v>
      </c>
      <c r="H1454" s="5" t="s">
        <v>3673</v>
      </c>
      <c r="I1454" s="5" t="s">
        <v>310</v>
      </c>
      <c r="J1454" s="5" t="s">
        <v>311</v>
      </c>
      <c r="K1454" s="5" t="s">
        <v>45</v>
      </c>
      <c r="L1454">
        <v>5</v>
      </c>
      <c r="M1454">
        <v>64.459999999999994</v>
      </c>
      <c r="N1454" s="8">
        <v>3.22</v>
      </c>
      <c r="O1454" s="8">
        <v>319.07999999999993</v>
      </c>
      <c r="P1454" s="8">
        <v>15.95</v>
      </c>
      <c r="Q1454" s="10">
        <v>10</v>
      </c>
      <c r="R1454" s="10">
        <v>20</v>
      </c>
      <c r="S1454" s="8">
        <v>365.02999999999992</v>
      </c>
      <c r="T1454">
        <v>22</v>
      </c>
      <c r="U1454" t="str">
        <f t="shared" si="22"/>
        <v>Monday</v>
      </c>
    </row>
    <row r="1455" spans="1:21" x14ac:dyDescent="0.3">
      <c r="A1455" s="5" t="s">
        <v>3582</v>
      </c>
      <c r="B1455" s="3" t="s">
        <v>3681</v>
      </c>
      <c r="C1455" s="5" t="s">
        <v>1192</v>
      </c>
      <c r="D1455" s="5" t="s">
        <v>82</v>
      </c>
      <c r="E1455" s="5" t="s">
        <v>83</v>
      </c>
      <c r="F1455" s="5" t="s">
        <v>42</v>
      </c>
      <c r="G1455" t="s">
        <v>3583</v>
      </c>
      <c r="H1455" s="5" t="s">
        <v>3676</v>
      </c>
      <c r="I1455" s="5" t="s">
        <v>315</v>
      </c>
      <c r="J1455" s="5" t="s">
        <v>316</v>
      </c>
      <c r="K1455" s="5" t="s">
        <v>145</v>
      </c>
      <c r="L1455">
        <v>3</v>
      </c>
      <c r="M1455">
        <v>85.35</v>
      </c>
      <c r="N1455" s="8">
        <v>0</v>
      </c>
      <c r="O1455" s="8">
        <v>256.05</v>
      </c>
      <c r="P1455" s="8">
        <v>12.8</v>
      </c>
      <c r="Q1455" s="10">
        <v>0</v>
      </c>
      <c r="R1455" s="10">
        <v>5</v>
      </c>
      <c r="S1455" s="8">
        <v>273.85000000000002</v>
      </c>
      <c r="T1455">
        <v>23</v>
      </c>
      <c r="U1455" t="str">
        <f t="shared" si="22"/>
        <v>Wednesday</v>
      </c>
    </row>
    <row r="1456" spans="1:21" x14ac:dyDescent="0.3">
      <c r="A1456" s="5" t="s">
        <v>3584</v>
      </c>
      <c r="B1456" s="3" t="s">
        <v>3685</v>
      </c>
      <c r="C1456" s="5" t="s">
        <v>1195</v>
      </c>
      <c r="D1456" s="5" t="s">
        <v>21</v>
      </c>
      <c r="E1456" s="5" t="s">
        <v>76</v>
      </c>
      <c r="F1456" s="5" t="s">
        <v>42</v>
      </c>
      <c r="H1456" s="5" t="s">
        <v>3674</v>
      </c>
      <c r="I1456" s="5" t="s">
        <v>320</v>
      </c>
      <c r="J1456" s="5" t="s">
        <v>321</v>
      </c>
      <c r="K1456" s="5" t="s">
        <v>56</v>
      </c>
      <c r="L1456">
        <v>2</v>
      </c>
      <c r="M1456">
        <v>129.74</v>
      </c>
      <c r="N1456" s="8">
        <v>6.49</v>
      </c>
      <c r="O1456" s="8">
        <v>252.99</v>
      </c>
      <c r="P1456" s="8">
        <v>12.65</v>
      </c>
      <c r="Q1456" s="10">
        <v>30</v>
      </c>
      <c r="R1456" s="10">
        <v>5</v>
      </c>
      <c r="S1456" s="8">
        <v>300.64</v>
      </c>
      <c r="T1456">
        <v>14</v>
      </c>
      <c r="U1456" t="str">
        <f t="shared" si="22"/>
        <v>Thursday</v>
      </c>
    </row>
    <row r="1457" spans="1:21" x14ac:dyDescent="0.3">
      <c r="A1457" s="5" t="s">
        <v>3585</v>
      </c>
      <c r="B1457" s="3" t="s">
        <v>3708</v>
      </c>
      <c r="C1457" s="5" t="s">
        <v>1198</v>
      </c>
      <c r="D1457" s="5" t="s">
        <v>21</v>
      </c>
      <c r="E1457" s="5" t="s">
        <v>69</v>
      </c>
      <c r="F1457" s="5" t="s">
        <v>37</v>
      </c>
      <c r="G1457" t="s">
        <v>3586</v>
      </c>
      <c r="H1457" s="5" t="s">
        <v>3677</v>
      </c>
      <c r="I1457" s="5" t="s">
        <v>325</v>
      </c>
      <c r="J1457" s="5" t="s">
        <v>326</v>
      </c>
      <c r="K1457" s="5" t="s">
        <v>145</v>
      </c>
      <c r="L1457">
        <v>1</v>
      </c>
      <c r="M1457">
        <v>84.77</v>
      </c>
      <c r="N1457" s="8">
        <v>0</v>
      </c>
      <c r="O1457" s="8">
        <v>84.77</v>
      </c>
      <c r="P1457" s="8">
        <v>4.24</v>
      </c>
      <c r="Q1457" s="10">
        <v>20</v>
      </c>
      <c r="R1457" s="10">
        <v>20</v>
      </c>
      <c r="S1457" s="8">
        <v>129.01</v>
      </c>
      <c r="T1457">
        <v>13</v>
      </c>
      <c r="U1457" t="str">
        <f t="shared" si="22"/>
        <v>Sunday</v>
      </c>
    </row>
    <row r="1458" spans="1:21" x14ac:dyDescent="0.3">
      <c r="A1458" s="5" t="s">
        <v>3587</v>
      </c>
      <c r="B1458" s="3" t="s">
        <v>3719</v>
      </c>
      <c r="C1458" s="5" t="s">
        <v>1201</v>
      </c>
      <c r="D1458" s="5" t="s">
        <v>21</v>
      </c>
      <c r="E1458" s="5" t="s">
        <v>69</v>
      </c>
      <c r="F1458" s="5" t="s">
        <v>23</v>
      </c>
      <c r="G1458" t="s">
        <v>3588</v>
      </c>
      <c r="H1458" s="5" t="s">
        <v>3676</v>
      </c>
      <c r="I1458" s="5" t="s">
        <v>329</v>
      </c>
      <c r="J1458" s="5" t="s">
        <v>330</v>
      </c>
      <c r="K1458" s="5" t="s">
        <v>45</v>
      </c>
      <c r="L1458">
        <v>1</v>
      </c>
      <c r="M1458">
        <v>129.07</v>
      </c>
      <c r="N1458" s="8">
        <v>0</v>
      </c>
      <c r="O1458" s="8">
        <v>129.07</v>
      </c>
      <c r="P1458" s="8">
        <v>6.45</v>
      </c>
      <c r="Q1458" s="10">
        <v>0</v>
      </c>
      <c r="R1458" s="10">
        <v>20</v>
      </c>
      <c r="S1458" s="8">
        <v>155.52000000000001</v>
      </c>
      <c r="T1458">
        <v>44</v>
      </c>
      <c r="U1458" t="str">
        <f t="shared" si="22"/>
        <v>Sunday</v>
      </c>
    </row>
    <row r="1459" spans="1:21" x14ac:dyDescent="0.3">
      <c r="A1459" s="5" t="s">
        <v>3589</v>
      </c>
      <c r="B1459" s="3" t="s">
        <v>3737</v>
      </c>
      <c r="C1459" s="5" t="s">
        <v>1204</v>
      </c>
      <c r="D1459" s="5" t="s">
        <v>21</v>
      </c>
      <c r="E1459" s="5" t="s">
        <v>76</v>
      </c>
      <c r="F1459" s="5" t="s">
        <v>23</v>
      </c>
      <c r="G1459" t="s">
        <v>3590</v>
      </c>
      <c r="H1459" s="5" t="s">
        <v>100</v>
      </c>
      <c r="I1459" s="5" t="s">
        <v>334</v>
      </c>
      <c r="J1459" s="5" t="s">
        <v>335</v>
      </c>
      <c r="K1459" s="5" t="s">
        <v>56</v>
      </c>
      <c r="L1459">
        <v>4</v>
      </c>
      <c r="M1459">
        <v>18.3</v>
      </c>
      <c r="N1459" s="8">
        <v>1.83</v>
      </c>
      <c r="O1459" s="8">
        <v>71.37</v>
      </c>
      <c r="P1459" s="8">
        <v>3.57</v>
      </c>
      <c r="Q1459" s="10">
        <v>10</v>
      </c>
      <c r="R1459" s="10">
        <v>10</v>
      </c>
      <c r="S1459" s="8">
        <v>94.94</v>
      </c>
      <c r="T1459">
        <v>38</v>
      </c>
      <c r="U1459" t="str">
        <f t="shared" si="22"/>
        <v>Saturday</v>
      </c>
    </row>
    <row r="1460" spans="1:21" x14ac:dyDescent="0.3">
      <c r="A1460" s="5" t="s">
        <v>3591</v>
      </c>
      <c r="B1460" s="3" t="s">
        <v>3680</v>
      </c>
      <c r="C1460" s="5" t="s">
        <v>1207</v>
      </c>
      <c r="D1460" s="5" t="s">
        <v>21</v>
      </c>
      <c r="E1460" s="5" t="s">
        <v>36</v>
      </c>
      <c r="F1460" s="5" t="s">
        <v>37</v>
      </c>
      <c r="G1460" t="s">
        <v>3592</v>
      </c>
      <c r="H1460" s="5" t="s">
        <v>3674</v>
      </c>
      <c r="I1460" s="5" t="s">
        <v>339</v>
      </c>
      <c r="J1460" s="5" t="s">
        <v>340</v>
      </c>
      <c r="K1460" s="5" t="s">
        <v>196</v>
      </c>
      <c r="L1460">
        <v>3</v>
      </c>
      <c r="M1460">
        <v>169.66</v>
      </c>
      <c r="N1460" s="8">
        <v>0</v>
      </c>
      <c r="O1460" s="8">
        <v>508.98</v>
      </c>
      <c r="P1460" s="8">
        <v>25.45</v>
      </c>
      <c r="Q1460" s="10">
        <v>10</v>
      </c>
      <c r="R1460" s="10">
        <v>5</v>
      </c>
      <c r="S1460" s="8">
        <v>549.43000000000006</v>
      </c>
      <c r="T1460">
        <v>34</v>
      </c>
      <c r="U1460" t="str">
        <f t="shared" si="22"/>
        <v>Wednesday</v>
      </c>
    </row>
    <row r="1461" spans="1:21" x14ac:dyDescent="0.3">
      <c r="A1461" s="5" t="s">
        <v>3593</v>
      </c>
      <c r="B1461" s="3" t="s">
        <v>3699</v>
      </c>
      <c r="C1461" s="5" t="s">
        <v>1210</v>
      </c>
      <c r="D1461" s="5" t="s">
        <v>21</v>
      </c>
      <c r="E1461" s="5" t="s">
        <v>36</v>
      </c>
      <c r="F1461" s="5" t="s">
        <v>23</v>
      </c>
      <c r="G1461" t="s">
        <v>3594</v>
      </c>
      <c r="H1461" s="5" t="s">
        <v>3674</v>
      </c>
      <c r="I1461" s="5" t="s">
        <v>344</v>
      </c>
      <c r="J1461" s="5" t="s">
        <v>345</v>
      </c>
      <c r="K1461" s="5" t="s">
        <v>145</v>
      </c>
      <c r="L1461">
        <v>3</v>
      </c>
      <c r="M1461">
        <v>108.3</v>
      </c>
      <c r="N1461" s="8">
        <v>0</v>
      </c>
      <c r="O1461" s="8">
        <v>324.89999999999998</v>
      </c>
      <c r="P1461" s="8">
        <v>16.25</v>
      </c>
      <c r="Q1461" s="10">
        <v>20</v>
      </c>
      <c r="R1461" s="10">
        <v>10</v>
      </c>
      <c r="S1461" s="8">
        <v>371.15</v>
      </c>
      <c r="T1461">
        <v>24.67</v>
      </c>
      <c r="U1461" t="str">
        <f t="shared" si="22"/>
        <v>Sunday</v>
      </c>
    </row>
    <row r="1462" spans="1:21" x14ac:dyDescent="0.3">
      <c r="A1462" s="5" t="s">
        <v>3595</v>
      </c>
      <c r="B1462" s="3" t="s">
        <v>3719</v>
      </c>
      <c r="C1462" s="5" t="s">
        <v>1213</v>
      </c>
      <c r="D1462" s="5" t="s">
        <v>21</v>
      </c>
      <c r="E1462" s="5" t="s">
        <v>22</v>
      </c>
      <c r="F1462" s="5" t="s">
        <v>37</v>
      </c>
      <c r="G1462" t="s">
        <v>3596</v>
      </c>
      <c r="H1462" s="5" t="s">
        <v>100</v>
      </c>
      <c r="I1462" s="5" t="s">
        <v>349</v>
      </c>
      <c r="J1462" s="5" t="s">
        <v>350</v>
      </c>
      <c r="K1462" s="5" t="s">
        <v>196</v>
      </c>
      <c r="L1462">
        <v>2</v>
      </c>
      <c r="M1462">
        <v>169.81</v>
      </c>
      <c r="N1462" s="8">
        <v>8.49</v>
      </c>
      <c r="O1462" s="8">
        <v>331.13</v>
      </c>
      <c r="P1462" s="8">
        <v>16.559999999999999</v>
      </c>
      <c r="Q1462" s="10">
        <v>10</v>
      </c>
      <c r="R1462" s="10">
        <v>0</v>
      </c>
      <c r="S1462" s="8">
        <v>357.69</v>
      </c>
      <c r="T1462">
        <v>11</v>
      </c>
      <c r="U1462" t="str">
        <f t="shared" si="22"/>
        <v>Sunday</v>
      </c>
    </row>
    <row r="1463" spans="1:21" x14ac:dyDescent="0.3">
      <c r="A1463" s="5" t="s">
        <v>3597</v>
      </c>
      <c r="B1463" s="3" t="s">
        <v>3734</v>
      </c>
      <c r="C1463" s="5" t="s">
        <v>1216</v>
      </c>
      <c r="D1463" s="5" t="s">
        <v>21</v>
      </c>
      <c r="E1463" s="5" t="s">
        <v>22</v>
      </c>
      <c r="F1463" s="5" t="s">
        <v>37</v>
      </c>
      <c r="G1463" t="s">
        <v>3598</v>
      </c>
      <c r="H1463" s="5" t="s">
        <v>100</v>
      </c>
      <c r="I1463" s="5" t="s">
        <v>354</v>
      </c>
      <c r="J1463" s="5" t="s">
        <v>355</v>
      </c>
      <c r="K1463" s="5" t="s">
        <v>196</v>
      </c>
      <c r="L1463">
        <v>1</v>
      </c>
      <c r="M1463">
        <v>165.04</v>
      </c>
      <c r="N1463" s="8">
        <v>8.25</v>
      </c>
      <c r="O1463" s="8">
        <v>156.79</v>
      </c>
      <c r="P1463" s="8">
        <v>7.84</v>
      </c>
      <c r="Q1463" s="10">
        <v>20</v>
      </c>
      <c r="R1463" s="10">
        <v>20</v>
      </c>
      <c r="S1463" s="8">
        <v>204.63</v>
      </c>
      <c r="T1463">
        <v>24.67</v>
      </c>
      <c r="U1463" t="str">
        <f t="shared" si="22"/>
        <v>Monday</v>
      </c>
    </row>
    <row r="1464" spans="1:21" x14ac:dyDescent="0.3">
      <c r="A1464" s="5" t="s">
        <v>3599</v>
      </c>
      <c r="B1464" s="3" t="s">
        <v>3690</v>
      </c>
      <c r="C1464" s="5" t="s">
        <v>1219</v>
      </c>
      <c r="D1464" s="5" t="s">
        <v>21</v>
      </c>
      <c r="E1464" s="5" t="s">
        <v>22</v>
      </c>
      <c r="F1464" s="5" t="s">
        <v>42</v>
      </c>
      <c r="G1464" t="s">
        <v>3600</v>
      </c>
      <c r="H1464" s="5" t="s">
        <v>100</v>
      </c>
      <c r="I1464" s="5" t="s">
        <v>359</v>
      </c>
      <c r="J1464" s="5" t="s">
        <v>360</v>
      </c>
      <c r="K1464" s="5" t="s">
        <v>34</v>
      </c>
      <c r="L1464">
        <v>3</v>
      </c>
      <c r="M1464">
        <v>179.75</v>
      </c>
      <c r="N1464" s="8">
        <v>8.99</v>
      </c>
      <c r="O1464" s="8">
        <v>530.26</v>
      </c>
      <c r="P1464" s="8">
        <v>26.51</v>
      </c>
      <c r="Q1464" s="10">
        <v>0</v>
      </c>
      <c r="R1464" s="10">
        <v>5</v>
      </c>
      <c r="S1464" s="8">
        <v>561.77</v>
      </c>
      <c r="T1464">
        <v>26</v>
      </c>
      <c r="U1464" t="str">
        <f t="shared" si="22"/>
        <v>Sunday</v>
      </c>
    </row>
    <row r="1465" spans="1:21" x14ac:dyDescent="0.3">
      <c r="A1465" s="5" t="s">
        <v>3601</v>
      </c>
      <c r="B1465" s="3" t="s">
        <v>3715</v>
      </c>
      <c r="C1465" s="5" t="s">
        <v>1222</v>
      </c>
      <c r="D1465" s="5" t="s">
        <v>82</v>
      </c>
      <c r="E1465" s="5" t="s">
        <v>83</v>
      </c>
      <c r="F1465" s="5" t="s">
        <v>42</v>
      </c>
      <c r="G1465" t="s">
        <v>3602</v>
      </c>
      <c r="H1465" s="5" t="s">
        <v>3673</v>
      </c>
      <c r="I1465" s="5" t="s">
        <v>364</v>
      </c>
      <c r="J1465" s="5" t="s">
        <v>365</v>
      </c>
      <c r="K1465" s="5" t="s">
        <v>28</v>
      </c>
      <c r="L1465">
        <v>8</v>
      </c>
      <c r="M1465">
        <v>155.88999999999999</v>
      </c>
      <c r="N1465" s="8">
        <v>15.59</v>
      </c>
      <c r="O1465" s="8">
        <v>1231.53</v>
      </c>
      <c r="P1465" s="8">
        <v>61.58</v>
      </c>
      <c r="Q1465" s="10">
        <v>0</v>
      </c>
      <c r="R1465" s="10">
        <v>15</v>
      </c>
      <c r="S1465" s="8">
        <v>1308.1099999999999</v>
      </c>
      <c r="T1465">
        <v>6</v>
      </c>
      <c r="U1465" t="str">
        <f t="shared" si="22"/>
        <v>Saturday</v>
      </c>
    </row>
    <row r="1466" spans="1:21" x14ac:dyDescent="0.3">
      <c r="A1466" s="5" t="s">
        <v>3603</v>
      </c>
      <c r="B1466" s="3" t="s">
        <v>3700</v>
      </c>
      <c r="C1466" s="5" t="s">
        <v>1225</v>
      </c>
      <c r="D1466" s="5" t="s">
        <v>21</v>
      </c>
      <c r="E1466" s="5" t="s">
        <v>112</v>
      </c>
      <c r="F1466" s="5" t="s">
        <v>37</v>
      </c>
      <c r="G1466" t="s">
        <v>3604</v>
      </c>
      <c r="H1466" s="5" t="s">
        <v>100</v>
      </c>
      <c r="I1466" s="5" t="s">
        <v>369</v>
      </c>
      <c r="J1466" s="5" t="s">
        <v>370</v>
      </c>
      <c r="K1466" s="5" t="s">
        <v>196</v>
      </c>
      <c r="L1466">
        <v>3</v>
      </c>
      <c r="M1466">
        <v>259.26</v>
      </c>
      <c r="N1466" s="8">
        <v>25.93</v>
      </c>
      <c r="O1466" s="8">
        <v>751.85</v>
      </c>
      <c r="P1466" s="8">
        <v>37.590000000000003</v>
      </c>
      <c r="Q1466" s="10">
        <v>30</v>
      </c>
      <c r="R1466" s="10">
        <v>15</v>
      </c>
      <c r="S1466" s="8">
        <v>834.44</v>
      </c>
      <c r="T1466">
        <v>31</v>
      </c>
      <c r="U1466" t="str">
        <f t="shared" si="22"/>
        <v>Saturday</v>
      </c>
    </row>
    <row r="1467" spans="1:21" x14ac:dyDescent="0.3">
      <c r="A1467" s="5" t="s">
        <v>3605</v>
      </c>
      <c r="B1467" s="3" t="s">
        <v>3698</v>
      </c>
      <c r="C1467" s="5" t="s">
        <v>1228</v>
      </c>
      <c r="D1467" s="5" t="s">
        <v>82</v>
      </c>
      <c r="E1467" s="5" t="s">
        <v>83</v>
      </c>
      <c r="F1467" s="5" t="s">
        <v>23</v>
      </c>
      <c r="G1467" t="s">
        <v>3606</v>
      </c>
      <c r="H1467" s="5" t="s">
        <v>3673</v>
      </c>
      <c r="I1467" s="5" t="s">
        <v>374</v>
      </c>
      <c r="J1467" s="5" t="s">
        <v>375</v>
      </c>
      <c r="K1467" s="5" t="s">
        <v>73</v>
      </c>
      <c r="L1467">
        <v>3</v>
      </c>
      <c r="M1467">
        <v>103.62</v>
      </c>
      <c r="N1467" s="8">
        <v>5.18</v>
      </c>
      <c r="O1467" s="8">
        <v>305.68</v>
      </c>
      <c r="P1467" s="8">
        <v>15.28</v>
      </c>
      <c r="Q1467" s="10">
        <v>0</v>
      </c>
      <c r="R1467" s="10">
        <v>20</v>
      </c>
      <c r="S1467" s="8">
        <v>340.96</v>
      </c>
      <c r="T1467">
        <v>29</v>
      </c>
      <c r="U1467" t="str">
        <f t="shared" si="22"/>
        <v>Sunday</v>
      </c>
    </row>
    <row r="1468" spans="1:21" x14ac:dyDescent="0.3">
      <c r="A1468" s="5" t="s">
        <v>3607</v>
      </c>
      <c r="B1468" s="3" t="s">
        <v>3708</v>
      </c>
      <c r="C1468" s="5" t="s">
        <v>1231</v>
      </c>
      <c r="D1468" s="5" t="s">
        <v>21</v>
      </c>
      <c r="E1468" s="5" t="s">
        <v>76</v>
      </c>
      <c r="F1468" s="5" t="s">
        <v>42</v>
      </c>
      <c r="G1468" t="s">
        <v>3608</v>
      </c>
      <c r="H1468" s="5" t="s">
        <v>25</v>
      </c>
      <c r="I1468" s="5" t="s">
        <v>379</v>
      </c>
      <c r="J1468" s="5" t="s">
        <v>380</v>
      </c>
      <c r="K1468" s="5" t="s">
        <v>145</v>
      </c>
      <c r="L1468">
        <v>1</v>
      </c>
      <c r="M1468">
        <v>216.39</v>
      </c>
      <c r="N1468" s="8">
        <v>21.64</v>
      </c>
      <c r="O1468" s="8">
        <v>194.75</v>
      </c>
      <c r="P1468" s="8">
        <v>9.74</v>
      </c>
      <c r="Q1468" s="10">
        <v>10</v>
      </c>
      <c r="R1468" s="10">
        <v>20</v>
      </c>
      <c r="S1468" s="8">
        <v>234.49</v>
      </c>
      <c r="T1468">
        <v>29</v>
      </c>
      <c r="U1468" t="str">
        <f t="shared" si="22"/>
        <v>Sunday</v>
      </c>
    </row>
    <row r="1469" spans="1:21" x14ac:dyDescent="0.3">
      <c r="A1469" s="5" t="s">
        <v>3609</v>
      </c>
      <c r="B1469" s="3" t="s">
        <v>3690</v>
      </c>
      <c r="C1469" s="5" t="s">
        <v>1234</v>
      </c>
      <c r="D1469" s="5" t="s">
        <v>21</v>
      </c>
      <c r="E1469" s="5" t="s">
        <v>22</v>
      </c>
      <c r="F1469" s="5" t="s">
        <v>42</v>
      </c>
      <c r="G1469" t="s">
        <v>3610</v>
      </c>
      <c r="H1469" s="5" t="s">
        <v>100</v>
      </c>
      <c r="I1469" s="5" t="s">
        <v>383</v>
      </c>
      <c r="J1469" s="5" t="s">
        <v>384</v>
      </c>
      <c r="K1469" s="5" t="s">
        <v>45</v>
      </c>
      <c r="L1469">
        <v>4</v>
      </c>
      <c r="M1469">
        <v>128.47999999999999</v>
      </c>
      <c r="N1469" s="8">
        <v>0</v>
      </c>
      <c r="O1469" s="8">
        <v>513.91999999999996</v>
      </c>
      <c r="P1469" s="8">
        <v>25.7</v>
      </c>
      <c r="Q1469" s="10">
        <v>30</v>
      </c>
      <c r="R1469" s="10">
        <v>15</v>
      </c>
      <c r="S1469" s="8">
        <v>584.62</v>
      </c>
      <c r="T1469">
        <v>42</v>
      </c>
      <c r="U1469" t="str">
        <f t="shared" si="22"/>
        <v>Sunday</v>
      </c>
    </row>
    <row r="1470" spans="1:21" x14ac:dyDescent="0.3">
      <c r="A1470" s="5" t="s">
        <v>3611</v>
      </c>
      <c r="B1470" s="3" t="s">
        <v>3697</v>
      </c>
      <c r="C1470" s="5" t="s">
        <v>1237</v>
      </c>
      <c r="D1470" s="5" t="s">
        <v>21</v>
      </c>
      <c r="E1470" s="5" t="s">
        <v>69</v>
      </c>
      <c r="F1470" s="5" t="s">
        <v>37</v>
      </c>
      <c r="G1470" t="s">
        <v>3612</v>
      </c>
      <c r="H1470" s="5" t="s">
        <v>25</v>
      </c>
      <c r="I1470" s="5" t="s">
        <v>388</v>
      </c>
      <c r="J1470" s="5" t="s">
        <v>389</v>
      </c>
      <c r="K1470" s="5" t="s">
        <v>34</v>
      </c>
      <c r="L1470">
        <v>1</v>
      </c>
      <c r="M1470">
        <v>164.33</v>
      </c>
      <c r="N1470" s="8">
        <v>24.65</v>
      </c>
      <c r="O1470" s="8">
        <v>139.68</v>
      </c>
      <c r="P1470" s="8">
        <v>6.98</v>
      </c>
      <c r="Q1470" s="10">
        <v>0</v>
      </c>
      <c r="R1470" s="10">
        <v>15</v>
      </c>
      <c r="S1470" s="8">
        <v>161.66</v>
      </c>
      <c r="T1470">
        <v>37</v>
      </c>
      <c r="U1470" t="str">
        <f t="shared" si="22"/>
        <v>Saturday</v>
      </c>
    </row>
    <row r="1471" spans="1:21" x14ac:dyDescent="0.3">
      <c r="A1471" s="5" t="s">
        <v>3613</v>
      </c>
      <c r="B1471" s="3" t="s">
        <v>3680</v>
      </c>
      <c r="C1471" s="5" t="s">
        <v>1240</v>
      </c>
      <c r="D1471" s="5" t="s">
        <v>21</v>
      </c>
      <c r="E1471" s="5" t="s">
        <v>36</v>
      </c>
      <c r="F1471" s="5" t="s">
        <v>42</v>
      </c>
      <c r="G1471" t="s">
        <v>3614</v>
      </c>
      <c r="H1471" s="5" t="s">
        <v>100</v>
      </c>
      <c r="I1471" s="5" t="s">
        <v>393</v>
      </c>
      <c r="J1471" s="5" t="s">
        <v>394</v>
      </c>
      <c r="K1471" s="5" t="s">
        <v>45</v>
      </c>
      <c r="L1471">
        <v>6</v>
      </c>
      <c r="M1471">
        <v>139.21</v>
      </c>
      <c r="N1471" s="8">
        <v>6.96</v>
      </c>
      <c r="O1471" s="8">
        <v>828.3</v>
      </c>
      <c r="P1471" s="8">
        <v>41.41</v>
      </c>
      <c r="Q1471" s="10">
        <v>30</v>
      </c>
      <c r="R1471" s="10">
        <v>5</v>
      </c>
      <c r="S1471" s="8">
        <v>904.70999999999992</v>
      </c>
      <c r="T1471">
        <v>18</v>
      </c>
      <c r="U1471" t="str">
        <f t="shared" si="22"/>
        <v>Wednesday</v>
      </c>
    </row>
    <row r="1472" spans="1:21" x14ac:dyDescent="0.3">
      <c r="A1472" s="5" t="s">
        <v>3615</v>
      </c>
      <c r="B1472" s="3" t="s">
        <v>3699</v>
      </c>
      <c r="C1472" s="5" t="s">
        <v>1243</v>
      </c>
      <c r="D1472" s="5" t="s">
        <v>21</v>
      </c>
      <c r="E1472" s="5" t="s">
        <v>76</v>
      </c>
      <c r="F1472" s="5" t="s">
        <v>37</v>
      </c>
      <c r="G1472" t="s">
        <v>3616</v>
      </c>
      <c r="H1472" s="5" t="s">
        <v>100</v>
      </c>
      <c r="I1472" s="5" t="s">
        <v>398</v>
      </c>
      <c r="J1472" s="5" t="s">
        <v>399</v>
      </c>
      <c r="K1472" s="5" t="s">
        <v>40</v>
      </c>
      <c r="L1472">
        <v>1</v>
      </c>
      <c r="M1472">
        <v>74.06</v>
      </c>
      <c r="N1472" s="8">
        <v>7.41</v>
      </c>
      <c r="O1472" s="8">
        <v>66.650000000000006</v>
      </c>
      <c r="P1472" s="8">
        <v>3.33</v>
      </c>
      <c r="Q1472" s="10">
        <v>20</v>
      </c>
      <c r="R1472" s="10">
        <v>0</v>
      </c>
      <c r="S1472" s="8">
        <v>89.98</v>
      </c>
      <c r="T1472">
        <v>24</v>
      </c>
      <c r="U1472" t="str">
        <f t="shared" si="22"/>
        <v>Sunday</v>
      </c>
    </row>
    <row r="1473" spans="1:21" x14ac:dyDescent="0.3">
      <c r="A1473" s="5" t="s">
        <v>3617</v>
      </c>
      <c r="B1473" s="3" t="s">
        <v>3694</v>
      </c>
      <c r="C1473" s="5" t="s">
        <v>1246</v>
      </c>
      <c r="D1473" s="5" t="s">
        <v>82</v>
      </c>
      <c r="E1473" s="5" t="s">
        <v>83</v>
      </c>
      <c r="F1473" s="5" t="s">
        <v>42</v>
      </c>
      <c r="G1473" t="s">
        <v>3618</v>
      </c>
      <c r="H1473" s="5" t="s">
        <v>25</v>
      </c>
      <c r="I1473" s="5" t="s">
        <v>403</v>
      </c>
      <c r="J1473" s="5" t="s">
        <v>404</v>
      </c>
      <c r="K1473" s="5" t="s">
        <v>145</v>
      </c>
      <c r="L1473">
        <v>3</v>
      </c>
      <c r="M1473">
        <v>117.58</v>
      </c>
      <c r="N1473" s="8">
        <v>5.88</v>
      </c>
      <c r="O1473" s="8">
        <v>346.86</v>
      </c>
      <c r="P1473" s="8">
        <v>17.34</v>
      </c>
      <c r="Q1473" s="10">
        <v>20</v>
      </c>
      <c r="R1473" s="10">
        <v>0</v>
      </c>
      <c r="S1473" s="8">
        <v>384.2</v>
      </c>
      <c r="T1473">
        <v>12</v>
      </c>
      <c r="U1473" t="str">
        <f t="shared" si="22"/>
        <v>Thursday</v>
      </c>
    </row>
    <row r="1474" spans="1:21" x14ac:dyDescent="0.3">
      <c r="A1474" s="5" t="s">
        <v>3619</v>
      </c>
      <c r="B1474" s="3" t="s">
        <v>3689</v>
      </c>
      <c r="C1474" s="5" t="s">
        <v>1249</v>
      </c>
      <c r="D1474" s="5" t="s">
        <v>21</v>
      </c>
      <c r="E1474" s="5" t="s">
        <v>22</v>
      </c>
      <c r="F1474" s="5" t="s">
        <v>42</v>
      </c>
      <c r="G1474" t="s">
        <v>3620</v>
      </c>
      <c r="H1474" s="5" t="s">
        <v>3673</v>
      </c>
      <c r="I1474" s="5" t="s">
        <v>408</v>
      </c>
      <c r="J1474" s="5" t="s">
        <v>409</v>
      </c>
      <c r="K1474" s="5" t="s">
        <v>73</v>
      </c>
      <c r="L1474">
        <v>2</v>
      </c>
      <c r="M1474">
        <v>143.91</v>
      </c>
      <c r="N1474" s="8">
        <v>14.39</v>
      </c>
      <c r="O1474" s="8">
        <v>273.43</v>
      </c>
      <c r="P1474" s="8">
        <v>13.67</v>
      </c>
      <c r="Q1474" s="10">
        <v>10</v>
      </c>
      <c r="R1474" s="10">
        <v>20</v>
      </c>
      <c r="S1474" s="8">
        <v>317.10000000000002</v>
      </c>
      <c r="T1474">
        <v>27</v>
      </c>
      <c r="U1474" t="str">
        <f t="shared" si="22"/>
        <v>Wednesday</v>
      </c>
    </row>
    <row r="1475" spans="1:21" x14ac:dyDescent="0.3">
      <c r="A1475" s="5" t="s">
        <v>3621</v>
      </c>
      <c r="B1475" s="3" t="s">
        <v>3729</v>
      </c>
      <c r="C1475" s="5" t="s">
        <v>1252</v>
      </c>
      <c r="D1475" s="5" t="s">
        <v>21</v>
      </c>
      <c r="E1475" s="5" t="s">
        <v>112</v>
      </c>
      <c r="F1475" s="5" t="s">
        <v>23</v>
      </c>
      <c r="G1475" t="s">
        <v>3622</v>
      </c>
      <c r="H1475" s="5" t="s">
        <v>25</v>
      </c>
      <c r="I1475" s="5" t="s">
        <v>413</v>
      </c>
      <c r="J1475" s="5" t="s">
        <v>414</v>
      </c>
      <c r="K1475" s="5" t="s">
        <v>28</v>
      </c>
      <c r="L1475">
        <v>2</v>
      </c>
      <c r="M1475">
        <v>67.73</v>
      </c>
      <c r="N1475" s="8">
        <v>10.16</v>
      </c>
      <c r="O1475" s="8">
        <v>125.3</v>
      </c>
      <c r="P1475" s="8">
        <v>6.27</v>
      </c>
      <c r="Q1475" s="10">
        <v>0</v>
      </c>
      <c r="R1475" s="10">
        <v>5</v>
      </c>
      <c r="S1475" s="8">
        <v>136.57</v>
      </c>
      <c r="T1475">
        <v>24.67</v>
      </c>
      <c r="U1475" t="str">
        <f t="shared" ref="U1475:U1499" si="23">TEXT(B1475,"dddd")</f>
        <v>Monday</v>
      </c>
    </row>
    <row r="1476" spans="1:21" x14ac:dyDescent="0.3">
      <c r="A1476" s="5" t="s">
        <v>3623</v>
      </c>
      <c r="B1476" s="3" t="s">
        <v>3716</v>
      </c>
      <c r="C1476" s="5" t="s">
        <v>1255</v>
      </c>
      <c r="D1476" s="5" t="s">
        <v>21</v>
      </c>
      <c r="E1476" s="5" t="s">
        <v>36</v>
      </c>
      <c r="F1476" s="5" t="s">
        <v>42</v>
      </c>
      <c r="G1476" t="s">
        <v>3624</v>
      </c>
      <c r="H1476" s="5" t="s">
        <v>3674</v>
      </c>
      <c r="I1476" s="5" t="s">
        <v>418</v>
      </c>
      <c r="J1476" s="5" t="s">
        <v>419</v>
      </c>
      <c r="K1476" s="5" t="s">
        <v>73</v>
      </c>
      <c r="L1476">
        <v>6</v>
      </c>
      <c r="M1476">
        <v>272.5</v>
      </c>
      <c r="N1476" s="8">
        <v>40.880000000000003</v>
      </c>
      <c r="O1476" s="8">
        <v>1594.12</v>
      </c>
      <c r="P1476" s="8">
        <v>79.709999999999994</v>
      </c>
      <c r="Q1476" s="10">
        <v>10</v>
      </c>
      <c r="R1476" s="10">
        <v>5</v>
      </c>
      <c r="S1476" s="8">
        <v>1688.83</v>
      </c>
      <c r="T1476">
        <v>23</v>
      </c>
      <c r="U1476" t="str">
        <f t="shared" si="23"/>
        <v>Saturday</v>
      </c>
    </row>
    <row r="1477" spans="1:21" x14ac:dyDescent="0.3">
      <c r="A1477" s="5" t="s">
        <v>3625</v>
      </c>
      <c r="B1477" s="3" t="s">
        <v>3733</v>
      </c>
      <c r="C1477" s="5" t="s">
        <v>1258</v>
      </c>
      <c r="D1477" s="5" t="s">
        <v>21</v>
      </c>
      <c r="E1477" s="5" t="s">
        <v>76</v>
      </c>
      <c r="F1477" s="5" t="s">
        <v>37</v>
      </c>
      <c r="G1477" t="s">
        <v>3626</v>
      </c>
      <c r="H1477" s="5" t="s">
        <v>3675</v>
      </c>
      <c r="I1477" s="5" t="s">
        <v>423</v>
      </c>
      <c r="J1477" s="5" t="s">
        <v>424</v>
      </c>
      <c r="K1477" s="5" t="s">
        <v>145</v>
      </c>
      <c r="L1477">
        <v>3</v>
      </c>
      <c r="M1477">
        <v>133.97999999999999</v>
      </c>
      <c r="N1477" s="8">
        <v>0</v>
      </c>
      <c r="O1477" s="8">
        <v>401.93999999999988</v>
      </c>
      <c r="P1477" s="8">
        <v>20.100000000000001</v>
      </c>
      <c r="Q1477" s="10">
        <v>10</v>
      </c>
      <c r="R1477" s="10">
        <v>0</v>
      </c>
      <c r="S1477" s="8">
        <v>432.04</v>
      </c>
      <c r="T1477">
        <v>17</v>
      </c>
      <c r="U1477" t="str">
        <f t="shared" si="23"/>
        <v>Sunday</v>
      </c>
    </row>
    <row r="1478" spans="1:21" x14ac:dyDescent="0.3">
      <c r="A1478" s="5" t="s">
        <v>3627</v>
      </c>
      <c r="B1478" s="3" t="s">
        <v>3736</v>
      </c>
      <c r="C1478" s="5" t="s">
        <v>1261</v>
      </c>
      <c r="D1478" s="5" t="s">
        <v>21</v>
      </c>
      <c r="E1478" s="5" t="s">
        <v>22</v>
      </c>
      <c r="F1478" s="5" t="s">
        <v>23</v>
      </c>
      <c r="G1478" t="s">
        <v>3628</v>
      </c>
      <c r="H1478" s="5" t="s">
        <v>25</v>
      </c>
      <c r="I1478" s="5" t="s">
        <v>427</v>
      </c>
      <c r="J1478" s="5" t="s">
        <v>428</v>
      </c>
      <c r="K1478" s="5" t="s">
        <v>28</v>
      </c>
      <c r="L1478">
        <v>4</v>
      </c>
      <c r="M1478">
        <v>53.94</v>
      </c>
      <c r="N1478" s="8">
        <v>8.09</v>
      </c>
      <c r="O1478" s="8">
        <v>207.67</v>
      </c>
      <c r="P1478" s="8">
        <v>10.38</v>
      </c>
      <c r="Q1478" s="10">
        <v>30</v>
      </c>
      <c r="R1478" s="10">
        <v>10</v>
      </c>
      <c r="S1478" s="8">
        <v>258.05</v>
      </c>
      <c r="T1478">
        <v>29</v>
      </c>
      <c r="U1478" t="str">
        <f t="shared" si="23"/>
        <v>Tuesday</v>
      </c>
    </row>
    <row r="1479" spans="1:21" x14ac:dyDescent="0.3">
      <c r="A1479" s="5" t="s">
        <v>3629</v>
      </c>
      <c r="B1479" s="3" t="s">
        <v>3712</v>
      </c>
      <c r="C1479" s="5" t="s">
        <v>1264</v>
      </c>
      <c r="D1479" s="5" t="s">
        <v>21</v>
      </c>
      <c r="E1479" s="5" t="s">
        <v>69</v>
      </c>
      <c r="F1479" s="5" t="s">
        <v>42</v>
      </c>
      <c r="G1479" t="s">
        <v>3630</v>
      </c>
      <c r="H1479" s="5" t="s">
        <v>3674</v>
      </c>
      <c r="I1479" s="5" t="s">
        <v>432</v>
      </c>
      <c r="J1479" s="5" t="s">
        <v>433</v>
      </c>
      <c r="K1479" s="5" t="s">
        <v>196</v>
      </c>
      <c r="L1479">
        <v>1</v>
      </c>
      <c r="M1479">
        <v>66.28</v>
      </c>
      <c r="N1479" s="8">
        <v>3.31</v>
      </c>
      <c r="O1479" s="8">
        <v>62.97</v>
      </c>
      <c r="P1479" s="8">
        <v>3.15</v>
      </c>
      <c r="Q1479" s="10">
        <v>30</v>
      </c>
      <c r="R1479" s="10">
        <v>0</v>
      </c>
      <c r="S1479" s="8">
        <v>96.12</v>
      </c>
      <c r="T1479">
        <v>35</v>
      </c>
      <c r="U1479" t="str">
        <f t="shared" si="23"/>
        <v>Thursday</v>
      </c>
    </row>
    <row r="1480" spans="1:21" x14ac:dyDescent="0.3">
      <c r="A1480" s="5" t="s">
        <v>3631</v>
      </c>
      <c r="B1480" s="3" t="s">
        <v>3681</v>
      </c>
      <c r="C1480" s="5" t="s">
        <v>1267</v>
      </c>
      <c r="D1480" s="5" t="s">
        <v>21</v>
      </c>
      <c r="E1480" s="5" t="s">
        <v>69</v>
      </c>
      <c r="F1480" s="5" t="s">
        <v>37</v>
      </c>
      <c r="G1480" t="s">
        <v>3632</v>
      </c>
      <c r="H1480" s="5" t="s">
        <v>3677</v>
      </c>
      <c r="I1480" s="5" t="s">
        <v>437</v>
      </c>
      <c r="J1480" s="5" t="s">
        <v>438</v>
      </c>
      <c r="K1480" s="5" t="s">
        <v>73</v>
      </c>
      <c r="L1480">
        <v>1</v>
      </c>
      <c r="M1480">
        <v>141.29</v>
      </c>
      <c r="N1480" s="8">
        <v>14.13</v>
      </c>
      <c r="O1480" s="8">
        <v>127.16</v>
      </c>
      <c r="P1480" s="8">
        <v>6.36</v>
      </c>
      <c r="Q1480" s="10">
        <v>0</v>
      </c>
      <c r="R1480" s="10">
        <v>10</v>
      </c>
      <c r="S1480" s="8">
        <v>143.52000000000001</v>
      </c>
      <c r="T1480">
        <v>23</v>
      </c>
      <c r="U1480" t="str">
        <f t="shared" si="23"/>
        <v>Wednesday</v>
      </c>
    </row>
    <row r="1481" spans="1:21" x14ac:dyDescent="0.3">
      <c r="A1481" s="5" t="s">
        <v>3633</v>
      </c>
      <c r="B1481" s="3" t="s">
        <v>3704</v>
      </c>
      <c r="C1481" s="5" t="s">
        <v>1270</v>
      </c>
      <c r="D1481" s="5" t="s">
        <v>21</v>
      </c>
      <c r="E1481" s="5" t="s">
        <v>36</v>
      </c>
      <c r="F1481" s="5" t="s">
        <v>23</v>
      </c>
      <c r="G1481" t="s">
        <v>3634</v>
      </c>
      <c r="H1481" s="5" t="s">
        <v>3673</v>
      </c>
      <c r="I1481" s="5" t="s">
        <v>442</v>
      </c>
      <c r="J1481" s="5" t="s">
        <v>443</v>
      </c>
      <c r="K1481" s="5" t="s">
        <v>196</v>
      </c>
      <c r="L1481">
        <v>1</v>
      </c>
      <c r="M1481">
        <v>107.58</v>
      </c>
      <c r="N1481" s="8">
        <v>0</v>
      </c>
      <c r="O1481" s="8">
        <v>107.58</v>
      </c>
      <c r="P1481" s="8">
        <v>5.38</v>
      </c>
      <c r="Q1481" s="10">
        <v>0</v>
      </c>
      <c r="R1481" s="10">
        <v>5</v>
      </c>
      <c r="S1481" s="8">
        <v>117.96</v>
      </c>
      <c r="T1481">
        <v>14</v>
      </c>
      <c r="U1481" t="str">
        <f t="shared" si="23"/>
        <v>Tuesday</v>
      </c>
    </row>
    <row r="1482" spans="1:21" x14ac:dyDescent="0.3">
      <c r="A1482" s="5" t="s">
        <v>3635</v>
      </c>
      <c r="B1482" s="3" t="s">
        <v>3701</v>
      </c>
      <c r="C1482" s="5" t="s">
        <v>1273</v>
      </c>
      <c r="D1482" s="5" t="s">
        <v>21</v>
      </c>
      <c r="E1482" s="5" t="s">
        <v>69</v>
      </c>
      <c r="F1482" s="5" t="s">
        <v>42</v>
      </c>
      <c r="H1482" s="5" t="s">
        <v>3673</v>
      </c>
      <c r="I1482" s="5" t="s">
        <v>447</v>
      </c>
      <c r="J1482" s="5" t="s">
        <v>448</v>
      </c>
      <c r="K1482" s="5" t="s">
        <v>196</v>
      </c>
      <c r="L1482">
        <v>1</v>
      </c>
      <c r="M1482">
        <v>172.99</v>
      </c>
      <c r="N1482" s="8">
        <v>0</v>
      </c>
      <c r="O1482" s="8">
        <v>172.99</v>
      </c>
      <c r="P1482" s="8">
        <v>8.65</v>
      </c>
      <c r="Q1482" s="10">
        <v>30</v>
      </c>
      <c r="R1482" s="10">
        <v>10</v>
      </c>
      <c r="S1482" s="8">
        <v>221.64</v>
      </c>
      <c r="T1482">
        <v>37</v>
      </c>
      <c r="U1482" t="str">
        <f t="shared" si="23"/>
        <v>Tuesday</v>
      </c>
    </row>
    <row r="1483" spans="1:21" x14ac:dyDescent="0.3">
      <c r="A1483" s="5" t="s">
        <v>3636</v>
      </c>
      <c r="B1483" s="3" t="s">
        <v>3705</v>
      </c>
      <c r="C1483" s="5" t="s">
        <v>1276</v>
      </c>
      <c r="D1483" s="5" t="s">
        <v>106</v>
      </c>
      <c r="E1483" s="5" t="s">
        <v>83</v>
      </c>
      <c r="F1483" s="5" t="s">
        <v>37</v>
      </c>
      <c r="G1483" t="s">
        <v>3637</v>
      </c>
      <c r="H1483" s="5" t="s">
        <v>3676</v>
      </c>
      <c r="I1483" s="5" t="s">
        <v>452</v>
      </c>
      <c r="J1483" s="5" t="s">
        <v>453</v>
      </c>
      <c r="K1483" s="5" t="s">
        <v>73</v>
      </c>
      <c r="L1483">
        <v>7</v>
      </c>
      <c r="M1483">
        <v>161.11000000000001</v>
      </c>
      <c r="N1483" s="8">
        <v>8.06</v>
      </c>
      <c r="O1483" s="8">
        <v>1119.71</v>
      </c>
      <c r="P1483" s="8">
        <v>55.99</v>
      </c>
      <c r="Q1483" s="10">
        <v>10</v>
      </c>
      <c r="R1483" s="10">
        <v>10</v>
      </c>
      <c r="S1483" s="8">
        <v>1195.7</v>
      </c>
      <c r="T1483">
        <v>26</v>
      </c>
      <c r="U1483" t="str">
        <f t="shared" si="23"/>
        <v>Tuesday</v>
      </c>
    </row>
    <row r="1484" spans="1:21" x14ac:dyDescent="0.3">
      <c r="A1484" s="5" t="s">
        <v>3638</v>
      </c>
      <c r="B1484" s="3" t="s">
        <v>3728</v>
      </c>
      <c r="C1484" s="5" t="s">
        <v>1279</v>
      </c>
      <c r="D1484" s="5" t="s">
        <v>21</v>
      </c>
      <c r="E1484" s="5" t="s">
        <v>112</v>
      </c>
      <c r="F1484" s="5" t="s">
        <v>23</v>
      </c>
      <c r="G1484" t="s">
        <v>3639</v>
      </c>
      <c r="H1484" s="5" t="s">
        <v>3676</v>
      </c>
      <c r="I1484" s="5" t="s">
        <v>456</v>
      </c>
      <c r="J1484" s="5" t="s">
        <v>457</v>
      </c>
      <c r="K1484" s="5" t="s">
        <v>28</v>
      </c>
      <c r="L1484">
        <v>1</v>
      </c>
      <c r="M1484">
        <v>169.6</v>
      </c>
      <c r="N1484" s="8">
        <v>16.96</v>
      </c>
      <c r="O1484" s="8">
        <v>152.63999999999999</v>
      </c>
      <c r="P1484" s="8">
        <v>7.63</v>
      </c>
      <c r="Q1484" s="10">
        <v>0</v>
      </c>
      <c r="R1484" s="10">
        <v>10</v>
      </c>
      <c r="S1484" s="8">
        <v>170.27</v>
      </c>
      <c r="T1484">
        <v>29</v>
      </c>
      <c r="U1484" t="str">
        <f t="shared" si="23"/>
        <v>Friday</v>
      </c>
    </row>
    <row r="1485" spans="1:21" x14ac:dyDescent="0.3">
      <c r="A1485" s="5" t="s">
        <v>3640</v>
      </c>
      <c r="B1485" s="3" t="s">
        <v>3683</v>
      </c>
      <c r="C1485" s="5" t="s">
        <v>1282</v>
      </c>
      <c r="D1485" s="5" t="s">
        <v>21</v>
      </c>
      <c r="E1485" s="5" t="s">
        <v>112</v>
      </c>
      <c r="F1485" s="5" t="s">
        <v>23</v>
      </c>
      <c r="G1485" t="s">
        <v>3641</v>
      </c>
      <c r="H1485" s="5" t="s">
        <v>3673</v>
      </c>
      <c r="I1485" s="5" t="s">
        <v>460</v>
      </c>
      <c r="J1485" s="5" t="s">
        <v>461</v>
      </c>
      <c r="K1485" s="5" t="s">
        <v>196</v>
      </c>
      <c r="L1485">
        <v>5</v>
      </c>
      <c r="M1485">
        <v>232.12</v>
      </c>
      <c r="N1485" s="8">
        <v>23.21</v>
      </c>
      <c r="O1485" s="8">
        <v>1137.3900000000001</v>
      </c>
      <c r="P1485" s="8">
        <v>56.87</v>
      </c>
      <c r="Q1485" s="10">
        <v>20</v>
      </c>
      <c r="R1485" s="10">
        <v>0</v>
      </c>
      <c r="S1485" s="8">
        <v>1214.26</v>
      </c>
      <c r="T1485">
        <v>24.67</v>
      </c>
      <c r="U1485" t="str">
        <f t="shared" si="23"/>
        <v>Thursday</v>
      </c>
    </row>
    <row r="1486" spans="1:21" x14ac:dyDescent="0.3">
      <c r="A1486" s="5" t="s">
        <v>3642</v>
      </c>
      <c r="B1486" s="3" t="s">
        <v>3714</v>
      </c>
      <c r="C1486" s="5" t="s">
        <v>1285</v>
      </c>
      <c r="D1486" s="5" t="s">
        <v>106</v>
      </c>
      <c r="E1486" s="5" t="s">
        <v>83</v>
      </c>
      <c r="F1486" s="5" t="s">
        <v>37</v>
      </c>
      <c r="G1486" t="s">
        <v>3643</v>
      </c>
      <c r="H1486" s="5" t="s">
        <v>3675</v>
      </c>
      <c r="I1486" s="5" t="s">
        <v>465</v>
      </c>
      <c r="J1486" s="5" t="s">
        <v>466</v>
      </c>
      <c r="K1486" s="5" t="s">
        <v>45</v>
      </c>
      <c r="L1486">
        <v>3</v>
      </c>
      <c r="M1486">
        <v>49.71</v>
      </c>
      <c r="N1486" s="8">
        <v>7.46</v>
      </c>
      <c r="O1486" s="8">
        <v>141.66999999999999</v>
      </c>
      <c r="P1486" s="8">
        <v>7.08</v>
      </c>
      <c r="Q1486" s="10">
        <v>0</v>
      </c>
      <c r="R1486" s="10">
        <v>0</v>
      </c>
      <c r="S1486" s="8">
        <v>148.75</v>
      </c>
      <c r="T1486">
        <v>12</v>
      </c>
      <c r="U1486" t="str">
        <f t="shared" si="23"/>
        <v>Thursday</v>
      </c>
    </row>
    <row r="1487" spans="1:21" x14ac:dyDescent="0.3">
      <c r="A1487" s="5" t="s">
        <v>3644</v>
      </c>
      <c r="B1487" s="3" t="s">
        <v>3724</v>
      </c>
      <c r="C1487" s="5" t="s">
        <v>1288</v>
      </c>
      <c r="D1487" s="5" t="s">
        <v>82</v>
      </c>
      <c r="E1487" s="5" t="s">
        <v>83</v>
      </c>
      <c r="F1487" s="5" t="s">
        <v>37</v>
      </c>
      <c r="G1487" t="s">
        <v>3645</v>
      </c>
      <c r="H1487" s="5" t="s">
        <v>3676</v>
      </c>
      <c r="I1487" s="5" t="s">
        <v>470</v>
      </c>
      <c r="J1487" s="5" t="s">
        <v>471</v>
      </c>
      <c r="K1487" s="5" t="s">
        <v>40</v>
      </c>
      <c r="L1487">
        <v>5</v>
      </c>
      <c r="M1487">
        <v>85.73</v>
      </c>
      <c r="N1487" s="8">
        <v>12.86</v>
      </c>
      <c r="O1487" s="8">
        <v>415.79</v>
      </c>
      <c r="P1487" s="8">
        <v>20.79</v>
      </c>
      <c r="Q1487" s="10">
        <v>10</v>
      </c>
      <c r="R1487" s="10">
        <v>5</v>
      </c>
      <c r="S1487" s="8">
        <v>451.58</v>
      </c>
      <c r="T1487">
        <v>32</v>
      </c>
      <c r="U1487" t="str">
        <f t="shared" si="23"/>
        <v>Sunday</v>
      </c>
    </row>
    <row r="1488" spans="1:21" x14ac:dyDescent="0.3">
      <c r="A1488" s="5" t="s">
        <v>3646</v>
      </c>
      <c r="B1488" s="3" t="s">
        <v>3709</v>
      </c>
      <c r="C1488" s="5" t="s">
        <v>1291</v>
      </c>
      <c r="D1488" s="5" t="s">
        <v>106</v>
      </c>
      <c r="E1488" s="5" t="s">
        <v>83</v>
      </c>
      <c r="F1488" s="5" t="s">
        <v>23</v>
      </c>
      <c r="G1488" t="s">
        <v>3647</v>
      </c>
      <c r="H1488" s="5" t="s">
        <v>100</v>
      </c>
      <c r="I1488" s="5" t="s">
        <v>475</v>
      </c>
      <c r="J1488" s="5" t="s">
        <v>476</v>
      </c>
      <c r="K1488" s="5" t="s">
        <v>145</v>
      </c>
      <c r="L1488">
        <v>2</v>
      </c>
      <c r="M1488">
        <v>8.35</v>
      </c>
      <c r="N1488" s="8">
        <v>1.25</v>
      </c>
      <c r="O1488" s="8">
        <v>15.45</v>
      </c>
      <c r="P1488" s="8">
        <v>0.77</v>
      </c>
      <c r="Q1488" s="10">
        <v>20</v>
      </c>
      <c r="R1488" s="10">
        <v>10</v>
      </c>
      <c r="S1488" s="8">
        <v>46.22</v>
      </c>
      <c r="T1488">
        <v>23</v>
      </c>
      <c r="U1488" t="str">
        <f t="shared" si="23"/>
        <v>Thursday</v>
      </c>
    </row>
    <row r="1489" spans="1:21" x14ac:dyDescent="0.3">
      <c r="A1489" s="5" t="s">
        <v>3648</v>
      </c>
      <c r="B1489" s="3" t="s">
        <v>3725</v>
      </c>
      <c r="C1489" s="5" t="s">
        <v>1294</v>
      </c>
      <c r="D1489" s="5" t="s">
        <v>21</v>
      </c>
      <c r="E1489" s="5" t="s">
        <v>69</v>
      </c>
      <c r="F1489" s="5" t="s">
        <v>42</v>
      </c>
      <c r="G1489" t="s">
        <v>3649</v>
      </c>
      <c r="H1489" s="5" t="s">
        <v>3675</v>
      </c>
      <c r="I1489" s="5" t="s">
        <v>480</v>
      </c>
      <c r="J1489" s="5" t="s">
        <v>481</v>
      </c>
      <c r="K1489" s="5" t="s">
        <v>34</v>
      </c>
      <c r="L1489">
        <v>3</v>
      </c>
      <c r="M1489">
        <v>97.69</v>
      </c>
      <c r="N1489" s="8">
        <v>9.77</v>
      </c>
      <c r="O1489" s="8">
        <v>283.3</v>
      </c>
      <c r="P1489" s="8">
        <v>14.17</v>
      </c>
      <c r="Q1489" s="10">
        <v>30</v>
      </c>
      <c r="R1489" s="10">
        <v>0</v>
      </c>
      <c r="S1489" s="8">
        <v>327.47000000000003</v>
      </c>
      <c r="T1489">
        <v>21</v>
      </c>
      <c r="U1489" t="str">
        <f t="shared" si="23"/>
        <v>Wednesday</v>
      </c>
    </row>
    <row r="1490" spans="1:21" x14ac:dyDescent="0.3">
      <c r="A1490" s="5" t="s">
        <v>3650</v>
      </c>
      <c r="B1490" s="3" t="s">
        <v>3717</v>
      </c>
      <c r="C1490" s="5" t="s">
        <v>1297</v>
      </c>
      <c r="D1490" s="5" t="s">
        <v>21</v>
      </c>
      <c r="E1490" s="5" t="s">
        <v>36</v>
      </c>
      <c r="F1490" s="5" t="s">
        <v>37</v>
      </c>
      <c r="H1490" s="5" t="s">
        <v>3674</v>
      </c>
      <c r="I1490" s="5" t="s">
        <v>485</v>
      </c>
      <c r="J1490" s="5" t="s">
        <v>486</v>
      </c>
      <c r="K1490" s="5" t="s">
        <v>145</v>
      </c>
      <c r="L1490">
        <v>1</v>
      </c>
      <c r="M1490">
        <v>60.91</v>
      </c>
      <c r="N1490" s="8">
        <v>0</v>
      </c>
      <c r="O1490" s="8">
        <v>60.91</v>
      </c>
      <c r="P1490" s="8">
        <v>3.05</v>
      </c>
      <c r="Q1490" s="10">
        <v>30</v>
      </c>
      <c r="R1490" s="10">
        <v>10</v>
      </c>
      <c r="S1490" s="8">
        <v>103.96</v>
      </c>
      <c r="T1490">
        <v>30</v>
      </c>
      <c r="U1490" t="str">
        <f t="shared" si="23"/>
        <v>Tuesday</v>
      </c>
    </row>
    <row r="1491" spans="1:21" x14ac:dyDescent="0.3">
      <c r="A1491" s="5" t="s">
        <v>3651</v>
      </c>
      <c r="B1491" s="3" t="s">
        <v>3690</v>
      </c>
      <c r="C1491" s="5" t="s">
        <v>1300</v>
      </c>
      <c r="D1491" s="5" t="s">
        <v>21</v>
      </c>
      <c r="E1491" s="5" t="s">
        <v>36</v>
      </c>
      <c r="F1491" s="5" t="s">
        <v>42</v>
      </c>
      <c r="G1491" t="s">
        <v>3652</v>
      </c>
      <c r="H1491" s="5" t="s">
        <v>100</v>
      </c>
      <c r="I1491" s="5" t="s">
        <v>490</v>
      </c>
      <c r="J1491" s="5" t="s">
        <v>491</v>
      </c>
      <c r="K1491" s="5" t="s">
        <v>196</v>
      </c>
      <c r="L1491">
        <v>4</v>
      </c>
      <c r="M1491">
        <v>146.91</v>
      </c>
      <c r="N1491" s="8">
        <v>14.69</v>
      </c>
      <c r="O1491" s="8">
        <v>572.94999999999993</v>
      </c>
      <c r="P1491" s="8">
        <v>28.65</v>
      </c>
      <c r="Q1491" s="10">
        <v>30</v>
      </c>
      <c r="R1491" s="10">
        <v>0</v>
      </c>
      <c r="S1491" s="8">
        <v>631.59999999999991</v>
      </c>
      <c r="T1491">
        <v>20</v>
      </c>
      <c r="U1491" t="str">
        <f t="shared" si="23"/>
        <v>Sunday</v>
      </c>
    </row>
    <row r="1492" spans="1:21" x14ac:dyDescent="0.3">
      <c r="A1492" s="5" t="s">
        <v>3653</v>
      </c>
      <c r="B1492" s="3" t="s">
        <v>3731</v>
      </c>
      <c r="C1492" s="5" t="s">
        <v>1303</v>
      </c>
      <c r="D1492" s="5" t="s">
        <v>21</v>
      </c>
      <c r="E1492" s="5" t="s">
        <v>69</v>
      </c>
      <c r="F1492" s="5" t="s">
        <v>23</v>
      </c>
      <c r="G1492" t="s">
        <v>3654</v>
      </c>
      <c r="H1492" s="5" t="s">
        <v>3676</v>
      </c>
      <c r="I1492" s="5" t="s">
        <v>495</v>
      </c>
      <c r="J1492" s="5" t="s">
        <v>496</v>
      </c>
      <c r="K1492" s="5" t="s">
        <v>145</v>
      </c>
      <c r="L1492">
        <v>4</v>
      </c>
      <c r="M1492">
        <v>31.06</v>
      </c>
      <c r="N1492" s="8">
        <v>1.55</v>
      </c>
      <c r="O1492" s="8">
        <v>122.69</v>
      </c>
      <c r="P1492" s="8">
        <v>6.13</v>
      </c>
      <c r="Q1492" s="10">
        <v>10</v>
      </c>
      <c r="R1492" s="10">
        <v>0</v>
      </c>
      <c r="S1492" s="8">
        <v>138.82</v>
      </c>
      <c r="T1492">
        <v>21</v>
      </c>
      <c r="U1492" t="str">
        <f t="shared" si="23"/>
        <v>Monday</v>
      </c>
    </row>
    <row r="1493" spans="1:21" x14ac:dyDescent="0.3">
      <c r="A1493" s="5" t="s">
        <v>3655</v>
      </c>
      <c r="B1493" s="3" t="s">
        <v>3692</v>
      </c>
      <c r="C1493" s="5" t="s">
        <v>1306</v>
      </c>
      <c r="D1493" s="5" t="s">
        <v>21</v>
      </c>
      <c r="E1493" s="5" t="s">
        <v>22</v>
      </c>
      <c r="F1493" s="5" t="s">
        <v>42</v>
      </c>
      <c r="G1493" t="s">
        <v>3656</v>
      </c>
      <c r="H1493" s="5" t="s">
        <v>3673</v>
      </c>
      <c r="I1493" s="5" t="s">
        <v>500</v>
      </c>
      <c r="J1493" s="5" t="s">
        <v>501</v>
      </c>
      <c r="K1493" s="5" t="s">
        <v>73</v>
      </c>
      <c r="L1493">
        <v>5</v>
      </c>
      <c r="M1493">
        <v>192.89</v>
      </c>
      <c r="N1493" s="8">
        <v>9.64</v>
      </c>
      <c r="O1493" s="8">
        <v>954.81</v>
      </c>
      <c r="P1493" s="8">
        <v>47.74</v>
      </c>
      <c r="Q1493" s="10">
        <v>0</v>
      </c>
      <c r="R1493" s="10">
        <v>0</v>
      </c>
      <c r="S1493" s="8">
        <v>1002.55</v>
      </c>
      <c r="T1493">
        <v>5</v>
      </c>
      <c r="U1493" t="str">
        <f t="shared" si="23"/>
        <v>Wednesday</v>
      </c>
    </row>
    <row r="1494" spans="1:21" x14ac:dyDescent="0.3">
      <c r="A1494" s="5" t="s">
        <v>3657</v>
      </c>
      <c r="B1494" s="3" t="s">
        <v>3686</v>
      </c>
      <c r="C1494" s="5" t="s">
        <v>1309</v>
      </c>
      <c r="D1494" s="5" t="s">
        <v>106</v>
      </c>
      <c r="E1494" s="5" t="s">
        <v>83</v>
      </c>
      <c r="F1494" s="5" t="s">
        <v>23</v>
      </c>
      <c r="G1494" t="s">
        <v>3658</v>
      </c>
      <c r="H1494" s="5" t="s">
        <v>100</v>
      </c>
      <c r="I1494" s="5" t="s">
        <v>505</v>
      </c>
      <c r="J1494" s="5" t="s">
        <v>506</v>
      </c>
      <c r="K1494" s="5" t="s">
        <v>22</v>
      </c>
      <c r="L1494">
        <v>4</v>
      </c>
      <c r="M1494">
        <v>227.07</v>
      </c>
      <c r="N1494" s="8">
        <v>0</v>
      </c>
      <c r="O1494" s="8">
        <v>908.28</v>
      </c>
      <c r="P1494" s="8">
        <v>45.41</v>
      </c>
      <c r="Q1494" s="10">
        <v>30</v>
      </c>
      <c r="R1494" s="10">
        <v>0</v>
      </c>
      <c r="S1494" s="8">
        <v>983.68999999999994</v>
      </c>
      <c r="T1494">
        <v>28</v>
      </c>
      <c r="U1494" t="str">
        <f t="shared" si="23"/>
        <v>Saturday</v>
      </c>
    </row>
    <row r="1495" spans="1:21" x14ac:dyDescent="0.3">
      <c r="A1495" s="5" t="s">
        <v>3659</v>
      </c>
      <c r="B1495" s="3" t="s">
        <v>3685</v>
      </c>
      <c r="C1495" s="5" t="s">
        <v>1312</v>
      </c>
      <c r="D1495" s="5" t="s">
        <v>21</v>
      </c>
      <c r="E1495" s="5" t="s">
        <v>36</v>
      </c>
      <c r="F1495" s="5" t="s">
        <v>23</v>
      </c>
      <c r="G1495" t="s">
        <v>3660</v>
      </c>
      <c r="H1495" s="5" t="s">
        <v>100</v>
      </c>
      <c r="I1495" s="5" t="s">
        <v>510</v>
      </c>
      <c r="J1495" s="5" t="s">
        <v>511</v>
      </c>
      <c r="K1495" s="5" t="s">
        <v>56</v>
      </c>
      <c r="L1495">
        <v>4</v>
      </c>
      <c r="M1495">
        <v>4.66</v>
      </c>
      <c r="N1495" s="8">
        <v>0</v>
      </c>
      <c r="O1495" s="8">
        <v>18.64</v>
      </c>
      <c r="P1495" s="8">
        <v>0.93</v>
      </c>
      <c r="Q1495" s="10">
        <v>0</v>
      </c>
      <c r="R1495" s="10">
        <v>10</v>
      </c>
      <c r="S1495" s="8">
        <v>29.57</v>
      </c>
      <c r="T1495">
        <v>15</v>
      </c>
      <c r="U1495" t="str">
        <f t="shared" si="23"/>
        <v>Thursday</v>
      </c>
    </row>
    <row r="1496" spans="1:21" x14ac:dyDescent="0.3">
      <c r="A1496" s="5" t="s">
        <v>3661</v>
      </c>
      <c r="B1496" s="3" t="s">
        <v>3732</v>
      </c>
      <c r="C1496" s="5" t="s">
        <v>1315</v>
      </c>
      <c r="D1496" s="5" t="s">
        <v>21</v>
      </c>
      <c r="E1496" s="5" t="s">
        <v>112</v>
      </c>
      <c r="F1496" s="5" t="s">
        <v>23</v>
      </c>
      <c r="G1496" t="s">
        <v>3662</v>
      </c>
      <c r="H1496" s="5" t="s">
        <v>3674</v>
      </c>
      <c r="I1496" s="5" t="s">
        <v>515</v>
      </c>
      <c r="J1496" s="5" t="s">
        <v>516</v>
      </c>
      <c r="K1496" s="5" t="s">
        <v>40</v>
      </c>
      <c r="L1496">
        <v>2</v>
      </c>
      <c r="M1496">
        <v>140.25</v>
      </c>
      <c r="N1496" s="8">
        <v>14.03</v>
      </c>
      <c r="O1496" s="8">
        <v>266.47000000000003</v>
      </c>
      <c r="P1496" s="8">
        <v>13.32</v>
      </c>
      <c r="Q1496" s="10">
        <v>20</v>
      </c>
      <c r="R1496" s="10">
        <v>0</v>
      </c>
      <c r="S1496" s="8">
        <v>299.79000000000002</v>
      </c>
      <c r="T1496">
        <v>22</v>
      </c>
      <c r="U1496" t="str">
        <f t="shared" si="23"/>
        <v>Wednesday</v>
      </c>
    </row>
    <row r="1497" spans="1:21" x14ac:dyDescent="0.3">
      <c r="A1497" s="5" t="s">
        <v>3663</v>
      </c>
      <c r="B1497" s="3" t="s">
        <v>3737</v>
      </c>
      <c r="C1497" s="5" t="s">
        <v>1318</v>
      </c>
      <c r="D1497" s="5" t="s">
        <v>21</v>
      </c>
      <c r="E1497" s="5" t="s">
        <v>36</v>
      </c>
      <c r="F1497" s="5" t="s">
        <v>42</v>
      </c>
      <c r="G1497" t="s">
        <v>3664</v>
      </c>
      <c r="H1497" s="5" t="s">
        <v>3673</v>
      </c>
      <c r="I1497" s="5" t="s">
        <v>520</v>
      </c>
      <c r="J1497" s="5" t="s">
        <v>521</v>
      </c>
      <c r="K1497" s="5" t="s">
        <v>22</v>
      </c>
      <c r="L1497">
        <v>7</v>
      </c>
      <c r="M1497">
        <v>63.66</v>
      </c>
      <c r="N1497" s="8">
        <v>0</v>
      </c>
      <c r="O1497" s="8">
        <v>445.62</v>
      </c>
      <c r="P1497" s="8">
        <v>22.28</v>
      </c>
      <c r="Q1497" s="10">
        <v>0</v>
      </c>
      <c r="R1497" s="10">
        <v>0</v>
      </c>
      <c r="S1497" s="8">
        <v>467.9</v>
      </c>
      <c r="T1497">
        <v>24.67</v>
      </c>
      <c r="U1497" t="str">
        <f t="shared" si="23"/>
        <v>Saturday</v>
      </c>
    </row>
    <row r="1498" spans="1:21" x14ac:dyDescent="0.3">
      <c r="A1498" s="5" t="s">
        <v>3665</v>
      </c>
      <c r="B1498" s="3" t="s">
        <v>3712</v>
      </c>
      <c r="C1498" s="5" t="s">
        <v>1321</v>
      </c>
      <c r="D1498" s="5" t="s">
        <v>21</v>
      </c>
      <c r="E1498" s="5" t="s">
        <v>36</v>
      </c>
      <c r="F1498" s="5" t="s">
        <v>37</v>
      </c>
      <c r="G1498" t="s">
        <v>3666</v>
      </c>
      <c r="H1498" s="5" t="s">
        <v>3677</v>
      </c>
      <c r="I1498" s="5" t="s">
        <v>525</v>
      </c>
      <c r="J1498" s="5" t="s">
        <v>526</v>
      </c>
      <c r="K1498" s="5" t="s">
        <v>40</v>
      </c>
      <c r="L1498">
        <v>4</v>
      </c>
      <c r="M1498">
        <v>101.67</v>
      </c>
      <c r="N1498" s="8">
        <v>0</v>
      </c>
      <c r="O1498" s="8">
        <v>406.68</v>
      </c>
      <c r="P1498" s="8">
        <v>20.329999999999998</v>
      </c>
      <c r="Q1498" s="10">
        <v>20</v>
      </c>
      <c r="R1498" s="10">
        <v>15</v>
      </c>
      <c r="S1498" s="8">
        <v>462.01</v>
      </c>
      <c r="T1498">
        <v>32</v>
      </c>
      <c r="U1498" t="str">
        <f t="shared" si="23"/>
        <v>Thursday</v>
      </c>
    </row>
    <row r="1499" spans="1:21" x14ac:dyDescent="0.3">
      <c r="A1499" s="5" t="s">
        <v>3667</v>
      </c>
      <c r="B1499" s="3" t="s">
        <v>3682</v>
      </c>
      <c r="C1499" s="5" t="s">
        <v>1323</v>
      </c>
      <c r="D1499" s="5" t="s">
        <v>21</v>
      </c>
      <c r="E1499" s="5" t="s">
        <v>36</v>
      </c>
      <c r="F1499" s="5" t="s">
        <v>37</v>
      </c>
      <c r="G1499" t="s">
        <v>3668</v>
      </c>
      <c r="H1499" s="5" t="s">
        <v>25</v>
      </c>
      <c r="I1499" s="5" t="s">
        <v>530</v>
      </c>
      <c r="J1499" s="5" t="s">
        <v>531</v>
      </c>
      <c r="K1499" s="5" t="s">
        <v>34</v>
      </c>
      <c r="L1499">
        <v>1</v>
      </c>
      <c r="M1499">
        <v>198.94</v>
      </c>
      <c r="N1499" s="8">
        <v>29.84</v>
      </c>
      <c r="O1499" s="8">
        <v>169.1</v>
      </c>
      <c r="P1499" s="8">
        <v>8.4600000000000009</v>
      </c>
      <c r="Q1499" s="10">
        <v>30</v>
      </c>
      <c r="R1499" s="10">
        <v>15</v>
      </c>
      <c r="S1499" s="8">
        <v>222.56</v>
      </c>
      <c r="T1499">
        <v>23</v>
      </c>
      <c r="U1499" t="str">
        <f t="shared" si="23"/>
        <v>Tuesday</v>
      </c>
    </row>
  </sheetData>
  <autoFilter ref="A1:T1499" xr:uid="{A7A1D384-7DB2-4756-943D-42B9CA39338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69B3-F410-4D16-880F-DBF6B5B15F37}">
  <dimension ref="A1:C5"/>
  <sheetViews>
    <sheetView workbookViewId="0">
      <selection activeCell="B1" sqref="B1"/>
    </sheetView>
  </sheetViews>
  <sheetFormatPr defaultRowHeight="14.4" x14ac:dyDescent="0.3"/>
  <cols>
    <col min="1" max="1" width="19" customWidth="1"/>
    <col min="2" max="2" width="9.5546875" customWidth="1"/>
    <col min="3" max="3" width="17.88671875" customWidth="1"/>
  </cols>
  <sheetData>
    <row r="1" spans="1:3" x14ac:dyDescent="0.3">
      <c r="A1" t="s">
        <v>3738</v>
      </c>
      <c r="B1" s="8">
        <f>SUM(Sheet2!S2:S1499)</f>
        <v>563284.74999999953</v>
      </c>
      <c r="C1" s="2" t="s">
        <v>3745</v>
      </c>
    </row>
    <row r="2" spans="1:3" x14ac:dyDescent="0.3">
      <c r="A2" t="s">
        <v>3739</v>
      </c>
      <c r="B2">
        <f>COUNTA(_xlfn.UNIQUE(Sheet2!J2:J1499))</f>
        <v>200</v>
      </c>
      <c r="C2" s="11" t="s">
        <v>3743</v>
      </c>
    </row>
    <row r="3" spans="1:3" x14ac:dyDescent="0.3">
      <c r="A3" t="s">
        <v>3740</v>
      </c>
      <c r="B3">
        <f>COUNTA(_xlfn.UNIQUE(Sheet2!I2:I1499))</f>
        <v>200</v>
      </c>
      <c r="C3" s="11" t="s">
        <v>3743</v>
      </c>
    </row>
    <row r="4" spans="1:3" x14ac:dyDescent="0.3">
      <c r="A4" t="s">
        <v>3742</v>
      </c>
      <c r="B4">
        <f>COUNTA(_xlfn.UNIQUE(Sheet2!A2:A1499))</f>
        <v>1498</v>
      </c>
      <c r="C4" s="12" t="s">
        <v>3744</v>
      </c>
    </row>
    <row r="5" spans="1:3" x14ac:dyDescent="0.3">
      <c r="A5" t="s">
        <v>3741</v>
      </c>
      <c r="B5">
        <f>AVERAGE(Sheet2!T2:T1499)</f>
        <v>24.671214953270859</v>
      </c>
      <c r="C5" s="13" t="s">
        <v>3672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A187-1D00-48C1-B4AB-2CD34F7B7448}">
  <dimension ref="A1:H121"/>
  <sheetViews>
    <sheetView topLeftCell="A110" workbookViewId="0">
      <selection activeCell="C135" sqref="C135:C138"/>
    </sheetView>
  </sheetViews>
  <sheetFormatPr defaultRowHeight="14.4" x14ac:dyDescent="0.3"/>
  <cols>
    <col min="1" max="1" width="13.109375" bestFit="1" customWidth="1"/>
    <col min="2" max="2" width="23.88671875" bestFit="1" customWidth="1"/>
  </cols>
  <sheetData>
    <row r="1" spans="1:6" x14ac:dyDescent="0.3">
      <c r="A1" s="18" t="s">
        <v>3746</v>
      </c>
      <c r="B1" s="18"/>
      <c r="C1" s="18"/>
      <c r="D1" s="18"/>
      <c r="E1" s="18"/>
      <c r="F1" s="18"/>
    </row>
    <row r="3" spans="1:6" x14ac:dyDescent="0.3">
      <c r="A3" s="15" t="s">
        <v>3749</v>
      </c>
      <c r="B3" t="s">
        <v>3747</v>
      </c>
    </row>
    <row r="4" spans="1:6" x14ac:dyDescent="0.3">
      <c r="A4" s="16" t="s">
        <v>3750</v>
      </c>
      <c r="B4" s="8">
        <v>89688.339999999895</v>
      </c>
    </row>
    <row r="5" spans="1:6" x14ac:dyDescent="0.3">
      <c r="A5" s="16" t="s">
        <v>3751</v>
      </c>
      <c r="B5" s="8">
        <v>63297.72</v>
      </c>
    </row>
    <row r="6" spans="1:6" x14ac:dyDescent="0.3">
      <c r="A6" s="16" t="s">
        <v>3752</v>
      </c>
      <c r="B6" s="8">
        <v>69215.700000000012</v>
      </c>
    </row>
    <row r="7" spans="1:6" x14ac:dyDescent="0.3">
      <c r="A7" s="16" t="s">
        <v>3753</v>
      </c>
      <c r="B7" s="8">
        <v>89028.190000000104</v>
      </c>
    </row>
    <row r="8" spans="1:6" x14ac:dyDescent="0.3">
      <c r="A8" s="16" t="s">
        <v>3754</v>
      </c>
      <c r="B8" s="8">
        <v>91118.899999999921</v>
      </c>
    </row>
    <row r="9" spans="1:6" x14ac:dyDescent="0.3">
      <c r="A9" s="16" t="s">
        <v>3755</v>
      </c>
      <c r="B9" s="8">
        <v>75665.629999999961</v>
      </c>
    </row>
    <row r="10" spans="1:6" x14ac:dyDescent="0.3">
      <c r="A10" s="16" t="s">
        <v>3756</v>
      </c>
      <c r="B10" s="8">
        <v>85270.26999999996</v>
      </c>
    </row>
    <row r="11" spans="1:6" x14ac:dyDescent="0.3">
      <c r="A11" s="16" t="s">
        <v>3757</v>
      </c>
      <c r="B11" s="8">
        <v>563284.74999999977</v>
      </c>
    </row>
    <row r="18" spans="1:4" x14ac:dyDescent="0.3">
      <c r="A18" s="17" t="s">
        <v>3758</v>
      </c>
      <c r="B18" s="18"/>
      <c r="C18" s="18"/>
      <c r="D18" s="18"/>
    </row>
    <row r="20" spans="1:4" x14ac:dyDescent="0.3">
      <c r="A20" s="15" t="s">
        <v>3749</v>
      </c>
      <c r="B20" t="s">
        <v>3747</v>
      </c>
    </row>
    <row r="21" spans="1:4" x14ac:dyDescent="0.3">
      <c r="A21" s="16" t="s">
        <v>545</v>
      </c>
      <c r="B21" s="8">
        <v>4361.1099999999997</v>
      </c>
    </row>
    <row r="22" spans="1:4" x14ac:dyDescent="0.3">
      <c r="A22" s="16" t="s">
        <v>96</v>
      </c>
      <c r="B22" s="8">
        <v>4753.8300000000008</v>
      </c>
    </row>
    <row r="23" spans="1:4" x14ac:dyDescent="0.3">
      <c r="A23" s="16" t="s">
        <v>102</v>
      </c>
      <c r="B23" s="8">
        <v>4338.5</v>
      </c>
    </row>
    <row r="24" spans="1:4" x14ac:dyDescent="0.3">
      <c r="A24" s="16" t="s">
        <v>730</v>
      </c>
      <c r="B24" s="8">
        <v>5111.6000000000004</v>
      </c>
    </row>
    <row r="25" spans="1:4" x14ac:dyDescent="0.3">
      <c r="A25" s="16" t="s">
        <v>833</v>
      </c>
      <c r="B25" s="8">
        <v>4726.7299999999996</v>
      </c>
    </row>
    <row r="26" spans="1:4" x14ac:dyDescent="0.3">
      <c r="A26" s="16" t="s">
        <v>130</v>
      </c>
      <c r="B26" s="8">
        <v>4194.3600000000006</v>
      </c>
    </row>
    <row r="27" spans="1:4" x14ac:dyDescent="0.3">
      <c r="A27" s="16" t="s">
        <v>1023</v>
      </c>
      <c r="B27" s="8">
        <v>4337.62</v>
      </c>
    </row>
    <row r="28" spans="1:4" x14ac:dyDescent="0.3">
      <c r="A28" s="16" t="s">
        <v>190</v>
      </c>
      <c r="B28" s="8">
        <v>5188.1699999999992</v>
      </c>
    </row>
    <row r="29" spans="1:4" x14ac:dyDescent="0.3">
      <c r="A29" s="16" t="s">
        <v>457</v>
      </c>
      <c r="B29" s="8">
        <v>4399.3900000000003</v>
      </c>
    </row>
    <row r="30" spans="1:4" x14ac:dyDescent="0.3">
      <c r="A30" s="16" t="s">
        <v>461</v>
      </c>
      <c r="B30" s="8">
        <v>4295.97</v>
      </c>
    </row>
    <row r="31" spans="1:4" x14ac:dyDescent="0.3">
      <c r="A31" s="16" t="s">
        <v>3757</v>
      </c>
      <c r="B31" s="8">
        <v>45707.28</v>
      </c>
    </row>
    <row r="37" spans="1:4" x14ac:dyDescent="0.3">
      <c r="A37" s="17" t="s">
        <v>3759</v>
      </c>
      <c r="B37" s="17"/>
      <c r="C37" s="17" t="s">
        <v>3760</v>
      </c>
      <c r="D37" s="18"/>
    </row>
    <row r="40" spans="1:4" x14ac:dyDescent="0.3">
      <c r="A40" s="15" t="s">
        <v>3749</v>
      </c>
      <c r="B40" t="s">
        <v>3747</v>
      </c>
    </row>
    <row r="41" spans="1:4" x14ac:dyDescent="0.3">
      <c r="A41" s="16" t="s">
        <v>554</v>
      </c>
      <c r="B41" s="8">
        <v>1447.1999999999998</v>
      </c>
    </row>
    <row r="42" spans="1:4" x14ac:dyDescent="0.3">
      <c r="A42" s="16" t="s">
        <v>569</v>
      </c>
      <c r="B42" s="8">
        <v>1531.74</v>
      </c>
    </row>
    <row r="43" spans="1:4" x14ac:dyDescent="0.3">
      <c r="A43" s="16" t="s">
        <v>629</v>
      </c>
      <c r="B43" s="8">
        <v>1531.4900000000002</v>
      </c>
    </row>
    <row r="44" spans="1:4" x14ac:dyDescent="0.3">
      <c r="A44" s="16" t="s">
        <v>709</v>
      </c>
      <c r="B44" s="8">
        <v>1108.3</v>
      </c>
    </row>
    <row r="45" spans="1:4" x14ac:dyDescent="0.3">
      <c r="A45" s="16" t="s">
        <v>789</v>
      </c>
      <c r="B45" s="8">
        <v>1529.1799999999998</v>
      </c>
    </row>
    <row r="46" spans="1:4" x14ac:dyDescent="0.3">
      <c r="A46" s="16" t="s">
        <v>872</v>
      </c>
      <c r="B46" s="8">
        <v>1113.3499999999999</v>
      </c>
    </row>
    <row r="47" spans="1:4" x14ac:dyDescent="0.3">
      <c r="A47" s="16" t="s">
        <v>962</v>
      </c>
      <c r="B47" s="8">
        <v>1316.78</v>
      </c>
    </row>
    <row r="48" spans="1:4" x14ac:dyDescent="0.3">
      <c r="A48" s="16" t="s">
        <v>972</v>
      </c>
      <c r="B48" s="8">
        <v>1413.1799999999996</v>
      </c>
    </row>
    <row r="49" spans="1:7" x14ac:dyDescent="0.3">
      <c r="A49" s="16" t="s">
        <v>977</v>
      </c>
      <c r="B49" s="8">
        <v>1294.9199999999998</v>
      </c>
    </row>
    <row r="50" spans="1:7" x14ac:dyDescent="0.3">
      <c r="A50" s="16" t="s">
        <v>250</v>
      </c>
      <c r="B50" s="8">
        <v>1469.3400000000001</v>
      </c>
    </row>
    <row r="51" spans="1:7" x14ac:dyDescent="0.3">
      <c r="A51" s="16" t="s">
        <v>3757</v>
      </c>
      <c r="B51" s="8">
        <v>13755.480000000001</v>
      </c>
    </row>
    <row r="57" spans="1:7" x14ac:dyDescent="0.3">
      <c r="A57" s="17" t="s">
        <v>3761</v>
      </c>
      <c r="B57" s="18"/>
      <c r="C57" s="18"/>
      <c r="D57" s="18"/>
      <c r="E57" s="18"/>
      <c r="F57" s="18"/>
      <c r="G57" s="18"/>
    </row>
    <row r="59" spans="1:7" x14ac:dyDescent="0.3">
      <c r="A59" s="15" t="s">
        <v>3749</v>
      </c>
      <c r="B59" t="s">
        <v>3747</v>
      </c>
    </row>
    <row r="60" spans="1:7" x14ac:dyDescent="0.3">
      <c r="A60" s="16" t="s">
        <v>42</v>
      </c>
      <c r="B60" s="8">
        <v>201528.98000000024</v>
      </c>
    </row>
    <row r="61" spans="1:7" x14ac:dyDescent="0.3">
      <c r="A61" s="16" t="s">
        <v>37</v>
      </c>
      <c r="B61" s="8">
        <v>180200.3100000002</v>
      </c>
    </row>
    <row r="62" spans="1:7" x14ac:dyDescent="0.3">
      <c r="A62" s="16" t="s">
        <v>23</v>
      </c>
      <c r="B62" s="8">
        <v>169384.45999999973</v>
      </c>
    </row>
    <row r="63" spans="1:7" x14ac:dyDescent="0.3">
      <c r="A63" s="16" t="s">
        <v>3671</v>
      </c>
      <c r="B63" s="8">
        <v>12170.999999999998</v>
      </c>
    </row>
    <row r="64" spans="1:7" x14ac:dyDescent="0.3">
      <c r="A64" s="16" t="s">
        <v>3757</v>
      </c>
      <c r="B64" s="8">
        <v>563284.75000000023</v>
      </c>
    </row>
    <row r="74" spans="1:6" x14ac:dyDescent="0.3">
      <c r="A74" s="17" t="s">
        <v>3762</v>
      </c>
      <c r="B74" s="18"/>
      <c r="C74" s="18"/>
      <c r="D74" s="18"/>
      <c r="E74" s="18"/>
      <c r="F74" s="18"/>
    </row>
    <row r="77" spans="1:6" x14ac:dyDescent="0.3">
      <c r="A77" s="15" t="s">
        <v>3749</v>
      </c>
      <c r="B77" t="s">
        <v>3763</v>
      </c>
    </row>
    <row r="78" spans="1:6" x14ac:dyDescent="0.3">
      <c r="A78" s="16" t="s">
        <v>42</v>
      </c>
      <c r="B78">
        <v>12613.600000000006</v>
      </c>
    </row>
    <row r="79" spans="1:6" x14ac:dyDescent="0.3">
      <c r="A79" s="16" t="s">
        <v>37</v>
      </c>
      <c r="B79">
        <v>12226.930000000006</v>
      </c>
    </row>
    <row r="80" spans="1:6" x14ac:dyDescent="0.3">
      <c r="A80" s="16" t="s">
        <v>23</v>
      </c>
      <c r="B80">
        <v>11418.930000000004</v>
      </c>
    </row>
    <row r="81" spans="1:5" x14ac:dyDescent="0.3">
      <c r="A81" s="16" t="s">
        <v>3671</v>
      </c>
      <c r="B81">
        <v>698.01999999999987</v>
      </c>
    </row>
    <row r="82" spans="1:5" x14ac:dyDescent="0.3">
      <c r="A82" s="16" t="s">
        <v>3757</v>
      </c>
      <c r="B82">
        <v>36957.480000000018</v>
      </c>
    </row>
    <row r="92" spans="1:5" x14ac:dyDescent="0.3">
      <c r="A92" s="17" t="s">
        <v>3764</v>
      </c>
      <c r="B92" s="18"/>
      <c r="C92" s="18"/>
      <c r="D92" s="18"/>
      <c r="E92" s="18"/>
    </row>
    <row r="95" spans="1:5" x14ac:dyDescent="0.3">
      <c r="A95" s="15" t="s">
        <v>3749</v>
      </c>
      <c r="B95" t="s">
        <v>3747</v>
      </c>
    </row>
    <row r="96" spans="1:5" x14ac:dyDescent="0.3">
      <c r="A96" s="16" t="s">
        <v>103</v>
      </c>
      <c r="B96" s="8">
        <v>34273.769999999997</v>
      </c>
    </row>
    <row r="97" spans="1:8" x14ac:dyDescent="0.3">
      <c r="A97" s="16" t="s">
        <v>22</v>
      </c>
      <c r="B97" s="8">
        <v>29579.420000000006</v>
      </c>
    </row>
    <row r="98" spans="1:8" x14ac:dyDescent="0.3">
      <c r="A98" s="16" t="s">
        <v>145</v>
      </c>
      <c r="B98" s="8">
        <v>82603.269999999975</v>
      </c>
    </row>
    <row r="99" spans="1:8" x14ac:dyDescent="0.3">
      <c r="A99" s="16" t="s">
        <v>196</v>
      </c>
      <c r="B99" s="8">
        <v>61073.329999999994</v>
      </c>
    </row>
    <row r="100" spans="1:8" x14ac:dyDescent="0.3">
      <c r="A100" s="16" t="s">
        <v>34</v>
      </c>
      <c r="B100" s="8">
        <v>36990.659999999996</v>
      </c>
    </row>
    <row r="101" spans="1:8" x14ac:dyDescent="0.3">
      <c r="A101" s="16" t="s">
        <v>45</v>
      </c>
      <c r="B101" s="8">
        <v>75706.820000000036</v>
      </c>
    </row>
    <row r="102" spans="1:8" x14ac:dyDescent="0.3">
      <c r="A102" s="16" t="s">
        <v>40</v>
      </c>
      <c r="B102" s="8">
        <v>61343.100000000035</v>
      </c>
    </row>
    <row r="103" spans="1:8" x14ac:dyDescent="0.3">
      <c r="A103" s="16" t="s">
        <v>56</v>
      </c>
      <c r="B103" s="8">
        <v>35419.250000000007</v>
      </c>
    </row>
    <row r="104" spans="1:8" x14ac:dyDescent="0.3">
      <c r="A104" s="16" t="s">
        <v>73</v>
      </c>
      <c r="B104" s="8">
        <v>72712.83000000006</v>
      </c>
    </row>
    <row r="105" spans="1:8" x14ac:dyDescent="0.3">
      <c r="A105" s="16" t="s">
        <v>28</v>
      </c>
      <c r="B105" s="8">
        <v>73582.299999999959</v>
      </c>
    </row>
    <row r="106" spans="1:8" x14ac:dyDescent="0.3">
      <c r="A106" s="16" t="s">
        <v>3757</v>
      </c>
      <c r="B106" s="8">
        <v>563284.75000000012</v>
      </c>
    </row>
    <row r="111" spans="1:8" x14ac:dyDescent="0.3">
      <c r="A111" s="17" t="s">
        <v>3765</v>
      </c>
      <c r="B111" s="18"/>
      <c r="C111" s="18"/>
      <c r="D111" s="18"/>
      <c r="E111" s="18"/>
      <c r="F111" s="18"/>
      <c r="G111" s="18"/>
      <c r="H111" s="18"/>
    </row>
    <row r="114" spans="1:2" x14ac:dyDescent="0.3">
      <c r="A114" s="15" t="s">
        <v>3749</v>
      </c>
      <c r="B114" t="s">
        <v>3766</v>
      </c>
    </row>
    <row r="115" spans="1:2" x14ac:dyDescent="0.3">
      <c r="A115" s="16" t="s">
        <v>22</v>
      </c>
      <c r="B115" s="19">
        <v>226</v>
      </c>
    </row>
    <row r="116" spans="1:2" x14ac:dyDescent="0.3">
      <c r="A116" s="16" t="s">
        <v>36</v>
      </c>
      <c r="B116" s="19">
        <v>241</v>
      </c>
    </row>
    <row r="117" spans="1:2" x14ac:dyDescent="0.3">
      <c r="A117" s="16" t="s">
        <v>76</v>
      </c>
      <c r="B117" s="19">
        <v>258</v>
      </c>
    </row>
    <row r="118" spans="1:2" x14ac:dyDescent="0.3">
      <c r="A118" s="16" t="s">
        <v>83</v>
      </c>
      <c r="B118" s="19">
        <v>253</v>
      </c>
    </row>
    <row r="119" spans="1:2" x14ac:dyDescent="0.3">
      <c r="A119" s="16" t="s">
        <v>69</v>
      </c>
      <c r="B119" s="19">
        <v>272</v>
      </c>
    </row>
    <row r="120" spans="1:2" x14ac:dyDescent="0.3">
      <c r="A120" s="16" t="s">
        <v>112</v>
      </c>
      <c r="B120" s="19">
        <v>248</v>
      </c>
    </row>
    <row r="121" spans="1:2" x14ac:dyDescent="0.3">
      <c r="A121" s="16" t="s">
        <v>3757</v>
      </c>
      <c r="B121" s="19">
        <v>1498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5CA0-A0E9-4966-99FA-E93C041EA725}">
  <dimension ref="A1"/>
  <sheetViews>
    <sheetView tabSelected="1" workbookViewId="0">
      <selection activeCell="S10" sqref="S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KPI</vt:lpstr>
      <vt:lpstr>CHARTS</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Shivanee Patel</dc:creator>
  <cp:lastModifiedBy>Shivanee Patel</cp:lastModifiedBy>
  <dcterms:created xsi:type="dcterms:W3CDTF">2026-01-22T10:12:55Z</dcterms:created>
  <dcterms:modified xsi:type="dcterms:W3CDTF">2026-10-27T18:35:23Z</dcterms:modified>
</cp:coreProperties>
</file>